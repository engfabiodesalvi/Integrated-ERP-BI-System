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914e38f2c05d3/Documentos/5by5 Empresa/Portifolio_Adm_Fin_5by5/"/>
    </mc:Choice>
  </mc:AlternateContent>
  <xr:revisionPtr revIDLastSave="1845" documentId="8_{10B29295-3E5A-4AD6-A58F-C4D9C51F867C}" xr6:coauthVersionLast="47" xr6:coauthVersionMax="47" xr10:uidLastSave="{09718BEF-91DE-49FF-9C02-39EE5D59AB71}"/>
  <bookViews>
    <workbookView xWindow="0" yWindow="0" windowWidth="23040" windowHeight="12960" firstSheet="1" activeTab="3" xr2:uid="{826DA317-9F19-4241-84F4-0E2FDF8189A9}"/>
  </bookViews>
  <sheets>
    <sheet name="DB_MOVIMENTACAO" sheetId="10" r:id="rId1"/>
    <sheet name="AUX_CADASTROS" sheetId="7" r:id="rId2"/>
    <sheet name="CONTROLE_ESTOQUE" sheetId="9" r:id="rId3"/>
    <sheet name="CALCULUS" sheetId="12" r:id="rId4"/>
    <sheet name="DASHBOARD" sheetId="11" r:id="rId5"/>
  </sheets>
  <definedNames>
    <definedName name="CALCULUS">Dashboard2[]</definedName>
    <definedName name="SegmentaçãodeDados_Meses__Data">#N/A</definedName>
    <definedName name="SegmentaçãodeDados_Tipo_Fluxo">#N/A</definedName>
  </definedNames>
  <calcPr calcId="191029" iterate="1" iterateCount="1" calcCompleted="0"/>
  <pivotCaches>
    <pivotCache cacheId="13" r:id="rId6"/>
    <pivotCache cacheId="29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2" i="10" l="1"/>
  <c r="E21" i="10"/>
  <c r="G21" i="10"/>
  <c r="I21" i="10"/>
  <c r="J21" i="10" s="1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J19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I2" i="10"/>
  <c r="J2" i="10" s="1"/>
  <c r="I3" i="10"/>
  <c r="J3" i="10" s="1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I20" i="10"/>
  <c r="J20" i="10" s="1"/>
  <c r="A11" i="12"/>
  <c r="S14" i="12" s="1"/>
  <c r="K27" i="12"/>
  <c r="B11" i="12"/>
  <c r="H18" i="12" l="1"/>
  <c r="A35" i="12"/>
  <c r="A13" i="12"/>
  <c r="C2" i="9"/>
  <c r="P30" i="10"/>
  <c r="C2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C20" i="12"/>
  <c r="D20" i="12"/>
  <c r="E20" i="12"/>
  <c r="F20" i="12"/>
  <c r="C22" i="12"/>
  <c r="D22" i="12"/>
  <c r="E22" i="12"/>
  <c r="F22" i="12"/>
  <c r="D2" i="9"/>
  <c r="E2" i="9"/>
  <c r="F2" i="9"/>
  <c r="G2" i="9"/>
  <c r="D3" i="9"/>
  <c r="E3" i="9"/>
  <c r="F3" i="9"/>
  <c r="G3" i="9"/>
  <c r="D4" i="9"/>
  <c r="E4" i="9"/>
  <c r="F4" i="9"/>
  <c r="G4" i="9"/>
  <c r="D5" i="9"/>
  <c r="E5" i="9"/>
  <c r="F5" i="9"/>
  <c r="G5" i="9"/>
  <c r="D6" i="9"/>
  <c r="E6" i="9"/>
  <c r="F6" i="9"/>
  <c r="G6" i="9"/>
  <c r="D7" i="9"/>
  <c r="E7" i="9"/>
  <c r="F7" i="9"/>
  <c r="G7" i="9"/>
  <c r="D8" i="9"/>
  <c r="E8" i="9"/>
  <c r="F8" i="9"/>
  <c r="G8" i="9"/>
  <c r="D9" i="9"/>
  <c r="E9" i="9"/>
  <c r="F9" i="9"/>
  <c r="G9" i="9"/>
  <c r="D10" i="9"/>
  <c r="E10" i="9"/>
  <c r="F10" i="9"/>
  <c r="G10" i="9"/>
  <c r="D11" i="9"/>
  <c r="E11" i="9"/>
  <c r="F11" i="9"/>
  <c r="G11" i="9"/>
  <c r="D12" i="9"/>
  <c r="E12" i="9"/>
  <c r="F12" i="9"/>
  <c r="G12" i="9"/>
  <c r="D13" i="9"/>
  <c r="E13" i="9"/>
  <c r="F13" i="9"/>
  <c r="G13" i="9"/>
  <c r="D14" i="9"/>
  <c r="E14" i="9"/>
  <c r="F14" i="9"/>
  <c r="G14" i="9"/>
  <c r="D15" i="9"/>
  <c r="E15" i="9"/>
  <c r="F15" i="9"/>
  <c r="G15" i="9"/>
  <c r="D16" i="9"/>
  <c r="E16" i="9"/>
  <c r="F16" i="9"/>
  <c r="G16" i="9"/>
  <c r="D17" i="9"/>
  <c r="E17" i="9"/>
  <c r="F17" i="9"/>
  <c r="G17" i="9"/>
  <c r="D18" i="9"/>
  <c r="E18" i="9"/>
  <c r="F18" i="9"/>
  <c r="G18" i="9"/>
  <c r="D19" i="9"/>
  <c r="E19" i="9"/>
  <c r="F19" i="9"/>
  <c r="G19" i="9"/>
  <c r="D20" i="9"/>
  <c r="E20" i="9"/>
  <c r="F20" i="9"/>
  <c r="G20" i="9"/>
  <c r="D21" i="9"/>
  <c r="E21" i="9"/>
  <c r="F21" i="9"/>
  <c r="G21" i="9"/>
  <c r="D22" i="9"/>
  <c r="E22" i="9"/>
  <c r="F22" i="9"/>
  <c r="G22" i="9"/>
  <c r="D23" i="9"/>
  <c r="E23" i="9"/>
  <c r="F23" i="9"/>
  <c r="G23" i="9"/>
  <c r="D24" i="9"/>
  <c r="E24" i="9"/>
  <c r="F24" i="9"/>
  <c r="G24" i="9"/>
  <c r="D25" i="9"/>
  <c r="E25" i="9"/>
  <c r="F25" i="9"/>
  <c r="G25" i="9"/>
  <c r="D26" i="9"/>
  <c r="E26" i="9"/>
  <c r="F26" i="9"/>
  <c r="G26" i="9"/>
  <c r="D27" i="9"/>
  <c r="E27" i="9"/>
  <c r="F27" i="9"/>
  <c r="G27" i="9"/>
  <c r="D28" i="9"/>
  <c r="E28" i="9"/>
  <c r="F28" i="9"/>
  <c r="G28" i="9"/>
  <c r="D29" i="9"/>
  <c r="E29" i="9"/>
  <c r="F29" i="9"/>
  <c r="G29" i="9"/>
  <c r="D30" i="9"/>
  <c r="E30" i="9"/>
  <c r="F30" i="9"/>
  <c r="G30" i="9"/>
  <c r="D31" i="9"/>
  <c r="E31" i="9"/>
  <c r="F31" i="9"/>
  <c r="G31" i="9"/>
  <c r="D32" i="9"/>
  <c r="E32" i="9"/>
  <c r="F32" i="9"/>
  <c r="G32" i="9"/>
  <c r="D33" i="9"/>
  <c r="E33" i="9"/>
  <c r="F33" i="9"/>
  <c r="G33" i="9"/>
  <c r="D34" i="9"/>
  <c r="E34" i="9"/>
  <c r="F34" i="9"/>
  <c r="G34" i="9"/>
  <c r="D35" i="9"/>
  <c r="E35" i="9"/>
  <c r="F35" i="9"/>
  <c r="G35" i="9"/>
  <c r="D36" i="9"/>
  <c r="E36" i="9"/>
  <c r="F36" i="9"/>
  <c r="G36" i="9"/>
  <c r="D37" i="9"/>
  <c r="E37" i="9"/>
  <c r="F37" i="9"/>
  <c r="G37" i="9"/>
  <c r="D38" i="9"/>
  <c r="E38" i="9"/>
  <c r="F38" i="9"/>
  <c r="G38" i="9"/>
  <c r="D39" i="9"/>
  <c r="E39" i="9"/>
  <c r="F39" i="9"/>
  <c r="G39" i="9"/>
  <c r="D40" i="9"/>
  <c r="E40" i="9"/>
  <c r="F40" i="9"/>
  <c r="G40" i="9"/>
  <c r="D41" i="9"/>
  <c r="E41" i="9"/>
  <c r="F41" i="9"/>
  <c r="G41" i="9"/>
  <c r="D42" i="9"/>
  <c r="E42" i="9"/>
  <c r="F42" i="9"/>
  <c r="G42" i="9"/>
  <c r="D43" i="9"/>
  <c r="E43" i="9"/>
  <c r="F43" i="9"/>
  <c r="G43" i="9"/>
  <c r="D44" i="9"/>
  <c r="E44" i="9"/>
  <c r="F44" i="9"/>
  <c r="G44" i="9"/>
  <c r="D45" i="9"/>
  <c r="E45" i="9"/>
  <c r="F45" i="9"/>
  <c r="G45" i="9"/>
  <c r="D46" i="9"/>
  <c r="E46" i="9"/>
  <c r="F46" i="9"/>
  <c r="G46" i="9"/>
  <c r="D47" i="9"/>
  <c r="E47" i="9"/>
  <c r="F47" i="9"/>
  <c r="G47" i="9"/>
  <c r="D48" i="9"/>
  <c r="E48" i="9"/>
  <c r="F48" i="9"/>
  <c r="G48" i="9"/>
  <c r="D49" i="9"/>
  <c r="E49" i="9"/>
  <c r="F49" i="9"/>
  <c r="G49" i="9"/>
  <c r="D50" i="9"/>
  <c r="E50" i="9"/>
  <c r="F50" i="9"/>
  <c r="G50" i="9"/>
  <c r="D51" i="9"/>
  <c r="E51" i="9"/>
  <c r="F51" i="9"/>
  <c r="G51" i="9"/>
  <c r="D52" i="9"/>
  <c r="E52" i="9"/>
  <c r="F52" i="9"/>
  <c r="G52" i="9"/>
  <c r="D53" i="9"/>
  <c r="E53" i="9"/>
  <c r="F53" i="9"/>
  <c r="G53" i="9"/>
  <c r="D54" i="9"/>
  <c r="E54" i="9"/>
  <c r="F54" i="9"/>
  <c r="G54" i="9"/>
  <c r="D55" i="9"/>
  <c r="E55" i="9"/>
  <c r="F55" i="9"/>
  <c r="G55" i="9"/>
  <c r="D56" i="9"/>
  <c r="E56" i="9"/>
  <c r="F56" i="9"/>
  <c r="G56" i="9"/>
  <c r="D57" i="9"/>
  <c r="E57" i="9"/>
  <c r="F57" i="9"/>
  <c r="G57" i="9"/>
  <c r="D58" i="9"/>
  <c r="E58" i="9"/>
  <c r="F58" i="9"/>
  <c r="G58" i="9"/>
  <c r="D59" i="9"/>
  <c r="E59" i="9"/>
  <c r="F59" i="9"/>
  <c r="G59" i="9"/>
  <c r="D60" i="9"/>
  <c r="E60" i="9"/>
  <c r="F60" i="9"/>
  <c r="G60" i="9"/>
  <c r="D61" i="9"/>
  <c r="E61" i="9"/>
  <c r="F61" i="9"/>
  <c r="G61" i="9"/>
  <c r="D62" i="9"/>
  <c r="E62" i="9"/>
  <c r="F62" i="9"/>
  <c r="G62" i="9"/>
  <c r="D63" i="9"/>
  <c r="E63" i="9"/>
  <c r="F63" i="9"/>
  <c r="G63" i="9"/>
  <c r="D64" i="9"/>
  <c r="E64" i="9"/>
  <c r="F64" i="9"/>
  <c r="G64" i="9"/>
  <c r="D65" i="9"/>
  <c r="E65" i="9"/>
  <c r="F65" i="9"/>
  <c r="G65" i="9"/>
  <c r="D66" i="9"/>
  <c r="E66" i="9"/>
  <c r="F66" i="9"/>
  <c r="G66" i="9"/>
  <c r="D67" i="9"/>
  <c r="E67" i="9"/>
  <c r="F67" i="9"/>
  <c r="G67" i="9"/>
  <c r="D68" i="9"/>
  <c r="E68" i="9"/>
  <c r="F68" i="9"/>
  <c r="G68" i="9"/>
  <c r="D69" i="9"/>
  <c r="E69" i="9"/>
  <c r="F69" i="9"/>
  <c r="G69" i="9"/>
  <c r="D70" i="9"/>
  <c r="E70" i="9"/>
  <c r="F70" i="9"/>
  <c r="G70" i="9"/>
  <c r="D71" i="9"/>
  <c r="E71" i="9"/>
  <c r="F71" i="9"/>
  <c r="G71" i="9"/>
  <c r="D72" i="9"/>
  <c r="E72" i="9"/>
  <c r="F72" i="9"/>
  <c r="G72" i="9"/>
  <c r="D73" i="9"/>
  <c r="E73" i="9"/>
  <c r="F73" i="9"/>
  <c r="G73" i="9"/>
  <c r="D74" i="9"/>
  <c r="E74" i="9"/>
  <c r="F74" i="9"/>
  <c r="G74" i="9"/>
  <c r="D75" i="9"/>
  <c r="E75" i="9"/>
  <c r="F75" i="9"/>
  <c r="G75" i="9"/>
  <c r="D76" i="9"/>
  <c r="E76" i="9"/>
  <c r="F76" i="9"/>
  <c r="G76" i="9"/>
  <c r="D77" i="9"/>
  <c r="E77" i="9"/>
  <c r="F77" i="9"/>
  <c r="G77" i="9"/>
  <c r="D78" i="9"/>
  <c r="E78" i="9"/>
  <c r="F78" i="9"/>
  <c r="G78" i="9"/>
  <c r="D79" i="9"/>
  <c r="E79" i="9"/>
  <c r="F79" i="9"/>
  <c r="G79" i="9"/>
  <c r="D80" i="9"/>
  <c r="E80" i="9"/>
  <c r="F80" i="9"/>
  <c r="G80" i="9"/>
  <c r="D81" i="9"/>
  <c r="E81" i="9"/>
  <c r="F81" i="9"/>
  <c r="G81" i="9"/>
  <c r="D82" i="9"/>
  <c r="E82" i="9"/>
  <c r="F82" i="9"/>
  <c r="G82" i="9"/>
  <c r="D83" i="9"/>
  <c r="E83" i="9"/>
  <c r="F83" i="9"/>
  <c r="G83" i="9"/>
  <c r="D84" i="9"/>
  <c r="E84" i="9"/>
  <c r="F84" i="9"/>
  <c r="G84" i="9"/>
  <c r="D85" i="9"/>
  <c r="E85" i="9"/>
  <c r="F85" i="9"/>
  <c r="G85" i="9"/>
  <c r="D86" i="9"/>
  <c r="E86" i="9"/>
  <c r="F86" i="9"/>
  <c r="G86" i="9"/>
  <c r="D87" i="9"/>
  <c r="E87" i="9"/>
  <c r="F87" i="9"/>
  <c r="G87" i="9"/>
  <c r="D88" i="9"/>
  <c r="E88" i="9"/>
  <c r="F88" i="9"/>
  <c r="G88" i="9"/>
  <c r="D89" i="9"/>
  <c r="E89" i="9"/>
  <c r="F89" i="9"/>
  <c r="G89" i="9"/>
  <c r="D90" i="9"/>
  <c r="E90" i="9"/>
  <c r="F90" i="9"/>
  <c r="G90" i="9"/>
  <c r="D91" i="9"/>
  <c r="E91" i="9"/>
  <c r="F91" i="9"/>
  <c r="G91" i="9"/>
  <c r="D92" i="9"/>
  <c r="E92" i="9"/>
  <c r="F92" i="9"/>
  <c r="G92" i="9"/>
  <c r="D93" i="9"/>
  <c r="E93" i="9"/>
  <c r="F93" i="9"/>
  <c r="G93" i="9"/>
  <c r="D94" i="9"/>
  <c r="E94" i="9"/>
  <c r="F94" i="9"/>
  <c r="G94" i="9"/>
  <c r="D95" i="9"/>
  <c r="E95" i="9"/>
  <c r="F95" i="9"/>
  <c r="G95" i="9"/>
  <c r="D96" i="9"/>
  <c r="E96" i="9"/>
  <c r="F96" i="9"/>
  <c r="G96" i="9"/>
  <c r="D97" i="9"/>
  <c r="E97" i="9"/>
  <c r="F97" i="9"/>
  <c r="G97" i="9"/>
  <c r="D98" i="9"/>
  <c r="E98" i="9"/>
  <c r="F98" i="9"/>
  <c r="G98" i="9"/>
  <c r="D99" i="9"/>
  <c r="E99" i="9"/>
  <c r="F99" i="9"/>
  <c r="G99" i="9"/>
  <c r="D100" i="9"/>
  <c r="E100" i="9"/>
  <c r="F100" i="9"/>
  <c r="G100" i="9"/>
  <c r="D101" i="9"/>
  <c r="E101" i="9"/>
  <c r="F101" i="9"/>
  <c r="G101" i="9"/>
  <c r="D102" i="9"/>
  <c r="E102" i="9"/>
  <c r="F102" i="9"/>
  <c r="G102" i="9"/>
  <c r="D103" i="9"/>
  <c r="E103" i="9"/>
  <c r="F103" i="9"/>
  <c r="G103" i="9"/>
  <c r="D104" i="9"/>
  <c r="E104" i="9"/>
  <c r="F104" i="9"/>
  <c r="G104" i="9"/>
  <c r="D105" i="9"/>
  <c r="E105" i="9"/>
  <c r="F105" i="9"/>
  <c r="G105" i="9"/>
  <c r="D106" i="9"/>
  <c r="E106" i="9"/>
  <c r="F106" i="9"/>
  <c r="G106" i="9"/>
  <c r="D107" i="9"/>
  <c r="E107" i="9"/>
  <c r="F107" i="9"/>
  <c r="G107" i="9"/>
  <c r="D108" i="9"/>
  <c r="E108" i="9"/>
  <c r="F108" i="9"/>
  <c r="G108" i="9"/>
  <c r="D109" i="9"/>
  <c r="E109" i="9"/>
  <c r="F109" i="9"/>
  <c r="G109" i="9"/>
  <c r="D110" i="9"/>
  <c r="E110" i="9"/>
  <c r="F110" i="9"/>
  <c r="G110" i="9"/>
  <c r="D111" i="9"/>
  <c r="E111" i="9"/>
  <c r="F111" i="9"/>
  <c r="G111" i="9"/>
  <c r="D112" i="9"/>
  <c r="E112" i="9"/>
  <c r="F112" i="9"/>
  <c r="G112" i="9"/>
  <c r="D113" i="9"/>
  <c r="E113" i="9"/>
  <c r="F113" i="9"/>
  <c r="G113" i="9"/>
  <c r="D114" i="9"/>
  <c r="E114" i="9"/>
  <c r="F114" i="9"/>
  <c r="G114" i="9"/>
  <c r="D115" i="9"/>
  <c r="E115" i="9"/>
  <c r="F115" i="9"/>
  <c r="G115" i="9"/>
  <c r="D116" i="9"/>
  <c r="E116" i="9"/>
  <c r="F116" i="9"/>
  <c r="G116" i="9"/>
  <c r="D117" i="9"/>
  <c r="E117" i="9"/>
  <c r="F117" i="9"/>
  <c r="G117" i="9"/>
  <c r="D118" i="9"/>
  <c r="E118" i="9"/>
  <c r="F118" i="9"/>
  <c r="G118" i="9"/>
  <c r="D119" i="9"/>
  <c r="E119" i="9"/>
  <c r="F119" i="9"/>
  <c r="G119" i="9"/>
  <c r="D120" i="9"/>
  <c r="E120" i="9"/>
  <c r="F120" i="9"/>
  <c r="G120" i="9"/>
  <c r="D121" i="9"/>
  <c r="E121" i="9"/>
  <c r="F121" i="9"/>
  <c r="G121" i="9"/>
  <c r="D122" i="9"/>
  <c r="E122" i="9"/>
  <c r="F122" i="9"/>
  <c r="G122" i="9"/>
  <c r="D123" i="9"/>
  <c r="E123" i="9"/>
  <c r="F123" i="9"/>
  <c r="G123" i="9"/>
  <c r="D124" i="9"/>
  <c r="E124" i="9"/>
  <c r="F124" i="9"/>
  <c r="G124" i="9"/>
  <c r="D125" i="9"/>
  <c r="E125" i="9"/>
  <c r="F125" i="9"/>
  <c r="G125" i="9"/>
  <c r="D126" i="9"/>
  <c r="E126" i="9"/>
  <c r="F126" i="9"/>
  <c r="G126" i="9"/>
  <c r="D127" i="9"/>
  <c r="E127" i="9"/>
  <c r="F127" i="9"/>
  <c r="G127" i="9"/>
  <c r="D128" i="9"/>
  <c r="E128" i="9"/>
  <c r="F128" i="9"/>
  <c r="G128" i="9"/>
  <c r="D129" i="9"/>
  <c r="E129" i="9"/>
  <c r="F129" i="9"/>
  <c r="G129" i="9"/>
  <c r="D130" i="9"/>
  <c r="E130" i="9"/>
  <c r="F130" i="9"/>
  <c r="G130" i="9"/>
  <c r="D131" i="9"/>
  <c r="E131" i="9"/>
  <c r="F131" i="9"/>
  <c r="G131" i="9"/>
  <c r="D132" i="9"/>
  <c r="E132" i="9"/>
  <c r="F132" i="9"/>
  <c r="G132" i="9"/>
  <c r="D133" i="9"/>
  <c r="E133" i="9"/>
  <c r="F133" i="9"/>
  <c r="G133" i="9"/>
  <c r="D134" i="9"/>
  <c r="E134" i="9"/>
  <c r="F134" i="9"/>
  <c r="G134" i="9"/>
  <c r="D135" i="9"/>
  <c r="E135" i="9"/>
  <c r="F135" i="9"/>
  <c r="G135" i="9"/>
  <c r="D136" i="9"/>
  <c r="E136" i="9"/>
  <c r="F136" i="9"/>
  <c r="G136" i="9"/>
  <c r="D137" i="9"/>
  <c r="E137" i="9"/>
  <c r="F137" i="9"/>
  <c r="G137" i="9"/>
  <c r="D138" i="9"/>
  <c r="E138" i="9"/>
  <c r="F138" i="9"/>
  <c r="G138" i="9"/>
  <c r="D139" i="9"/>
  <c r="E139" i="9"/>
  <c r="F139" i="9"/>
  <c r="G139" i="9"/>
  <c r="D140" i="9"/>
  <c r="E140" i="9"/>
  <c r="F140" i="9"/>
  <c r="G140" i="9"/>
  <c r="D141" i="9"/>
  <c r="E141" i="9"/>
  <c r="F141" i="9"/>
  <c r="G141" i="9"/>
  <c r="D142" i="9"/>
  <c r="E142" i="9"/>
  <c r="F142" i="9"/>
  <c r="G142" i="9"/>
  <c r="D143" i="9"/>
  <c r="E143" i="9"/>
  <c r="F143" i="9"/>
  <c r="G143" i="9"/>
  <c r="D144" i="9"/>
  <c r="E144" i="9"/>
  <c r="F144" i="9"/>
  <c r="G144" i="9"/>
  <c r="D145" i="9"/>
  <c r="E145" i="9"/>
  <c r="F145" i="9"/>
  <c r="G145" i="9"/>
  <c r="D146" i="9"/>
  <c r="E146" i="9"/>
  <c r="F146" i="9"/>
  <c r="G146" i="9"/>
  <c r="D147" i="9"/>
  <c r="E147" i="9"/>
  <c r="F147" i="9"/>
  <c r="G147" i="9"/>
  <c r="D148" i="9"/>
  <c r="E148" i="9"/>
  <c r="F148" i="9"/>
  <c r="G148" i="9"/>
  <c r="D149" i="9"/>
  <c r="E149" i="9"/>
  <c r="F149" i="9"/>
  <c r="G149" i="9"/>
  <c r="D150" i="9"/>
  <c r="E150" i="9"/>
  <c r="F150" i="9"/>
  <c r="G150" i="9"/>
  <c r="D151" i="9"/>
  <c r="E151" i="9"/>
  <c r="F151" i="9"/>
  <c r="G151" i="9"/>
  <c r="D152" i="9"/>
  <c r="E152" i="9"/>
  <c r="F152" i="9"/>
  <c r="G152" i="9"/>
  <c r="D153" i="9"/>
  <c r="E153" i="9"/>
  <c r="F153" i="9"/>
  <c r="G153" i="9"/>
  <c r="D154" i="9"/>
  <c r="E154" i="9"/>
  <c r="F154" i="9"/>
  <c r="G154" i="9"/>
  <c r="D155" i="9"/>
  <c r="E155" i="9"/>
  <c r="F155" i="9"/>
  <c r="G155" i="9"/>
  <c r="D156" i="9"/>
  <c r="E156" i="9"/>
  <c r="F156" i="9"/>
  <c r="G156" i="9"/>
  <c r="D157" i="9"/>
  <c r="E157" i="9"/>
  <c r="F157" i="9"/>
  <c r="G157" i="9"/>
  <c r="D158" i="9"/>
  <c r="E158" i="9"/>
  <c r="F158" i="9"/>
  <c r="G158" i="9"/>
  <c r="D159" i="9"/>
  <c r="E159" i="9"/>
  <c r="F159" i="9"/>
  <c r="G159" i="9"/>
  <c r="D160" i="9"/>
  <c r="E160" i="9"/>
  <c r="F160" i="9"/>
  <c r="G160" i="9"/>
  <c r="D161" i="9"/>
  <c r="E161" i="9"/>
  <c r="F161" i="9"/>
  <c r="G161" i="9"/>
  <c r="D162" i="9"/>
  <c r="E162" i="9"/>
  <c r="F162" i="9"/>
  <c r="G162" i="9"/>
  <c r="D163" i="9"/>
  <c r="E163" i="9"/>
  <c r="F163" i="9"/>
  <c r="G163" i="9"/>
  <c r="D164" i="9"/>
  <c r="E164" i="9"/>
  <c r="F164" i="9"/>
  <c r="G164" i="9"/>
  <c r="D165" i="9"/>
  <c r="E165" i="9"/>
  <c r="F165" i="9"/>
  <c r="G165" i="9"/>
  <c r="D166" i="9"/>
  <c r="E166" i="9"/>
  <c r="F166" i="9"/>
  <c r="G166" i="9"/>
  <c r="D167" i="9"/>
  <c r="E167" i="9"/>
  <c r="F167" i="9"/>
  <c r="G167" i="9"/>
  <c r="D168" i="9"/>
  <c r="E168" i="9"/>
  <c r="F168" i="9"/>
  <c r="G168" i="9"/>
  <c r="D169" i="9"/>
  <c r="E169" i="9"/>
  <c r="F169" i="9"/>
  <c r="G169" i="9"/>
  <c r="D170" i="9"/>
  <c r="E170" i="9"/>
  <c r="F170" i="9"/>
  <c r="G170" i="9"/>
  <c r="D171" i="9"/>
  <c r="E171" i="9"/>
  <c r="F171" i="9"/>
  <c r="G171" i="9"/>
  <c r="D172" i="9"/>
  <c r="E172" i="9"/>
  <c r="F172" i="9"/>
  <c r="G172" i="9"/>
  <c r="D173" i="9"/>
  <c r="E173" i="9"/>
  <c r="F173" i="9"/>
  <c r="G173" i="9"/>
  <c r="D174" i="9"/>
  <c r="E174" i="9"/>
  <c r="F174" i="9"/>
  <c r="G174" i="9"/>
  <c r="D175" i="9"/>
  <c r="E175" i="9"/>
  <c r="F175" i="9"/>
  <c r="G175" i="9"/>
  <c r="D176" i="9"/>
  <c r="E176" i="9"/>
  <c r="F176" i="9"/>
  <c r="G176" i="9"/>
  <c r="D177" i="9"/>
  <c r="E177" i="9"/>
  <c r="F177" i="9"/>
  <c r="G177" i="9"/>
  <c r="D178" i="9"/>
  <c r="E178" i="9"/>
  <c r="F178" i="9"/>
  <c r="G178" i="9"/>
  <c r="D179" i="9"/>
  <c r="E179" i="9"/>
  <c r="F179" i="9"/>
  <c r="G179" i="9"/>
  <c r="D180" i="9"/>
  <c r="E180" i="9"/>
  <c r="F180" i="9"/>
  <c r="G180" i="9"/>
  <c r="D181" i="9"/>
  <c r="E181" i="9"/>
  <c r="F181" i="9"/>
  <c r="G181" i="9"/>
  <c r="D182" i="9"/>
  <c r="E182" i="9"/>
  <c r="F182" i="9"/>
  <c r="G182" i="9"/>
  <c r="D183" i="9"/>
  <c r="E183" i="9"/>
  <c r="F183" i="9"/>
  <c r="G183" i="9"/>
  <c r="D184" i="9"/>
  <c r="E184" i="9"/>
  <c r="F184" i="9"/>
  <c r="G184" i="9"/>
  <c r="D185" i="9"/>
  <c r="E185" i="9"/>
  <c r="F185" i="9"/>
  <c r="G185" i="9"/>
  <c r="D186" i="9"/>
  <c r="E186" i="9"/>
  <c r="F186" i="9"/>
  <c r="G186" i="9"/>
  <c r="D187" i="9"/>
  <c r="E187" i="9"/>
  <c r="F187" i="9"/>
  <c r="G187" i="9"/>
  <c r="D188" i="9"/>
  <c r="E188" i="9"/>
  <c r="F188" i="9"/>
  <c r="G188" i="9"/>
  <c r="D189" i="9"/>
  <c r="E189" i="9"/>
  <c r="F189" i="9"/>
  <c r="G189" i="9"/>
  <c r="D190" i="9"/>
  <c r="E190" i="9"/>
  <c r="F190" i="9"/>
  <c r="G190" i="9"/>
  <c r="D191" i="9"/>
  <c r="E191" i="9"/>
  <c r="F191" i="9"/>
  <c r="G191" i="9"/>
  <c r="D192" i="9"/>
  <c r="E192" i="9"/>
  <c r="F192" i="9"/>
  <c r="G192" i="9"/>
  <c r="D193" i="9"/>
  <c r="E193" i="9"/>
  <c r="F193" i="9"/>
  <c r="G193" i="9"/>
  <c r="D194" i="9"/>
  <c r="E194" i="9"/>
  <c r="F194" i="9"/>
  <c r="G194" i="9"/>
  <c r="D195" i="9"/>
  <c r="E195" i="9"/>
  <c r="F195" i="9"/>
  <c r="G195" i="9"/>
  <c r="D196" i="9"/>
  <c r="E196" i="9"/>
  <c r="F196" i="9"/>
  <c r="G196" i="9"/>
  <c r="D197" i="9"/>
  <c r="E197" i="9"/>
  <c r="F197" i="9"/>
  <c r="G197" i="9"/>
  <c r="D198" i="9"/>
  <c r="E198" i="9"/>
  <c r="F198" i="9"/>
  <c r="G198" i="9"/>
  <c r="D199" i="9"/>
  <c r="E199" i="9"/>
  <c r="F199" i="9"/>
  <c r="G199" i="9"/>
  <c r="D200" i="9"/>
  <c r="E200" i="9"/>
  <c r="F200" i="9"/>
  <c r="G200" i="9"/>
  <c r="D201" i="9"/>
  <c r="E201" i="9"/>
  <c r="F201" i="9"/>
  <c r="G201" i="9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C22" i="10" a="1"/>
  <c r="C22" i="10"/>
  <c r="D22" i="10"/>
  <c r="E22" i="10"/>
  <c r="F22" i="10"/>
  <c r="G22" i="10"/>
  <c r="H22" i="10" a="1"/>
  <c r="H22" i="10"/>
  <c r="I22" i="10"/>
  <c r="J22" i="10"/>
  <c r="K22" i="10"/>
  <c r="L22" i="10"/>
  <c r="M22" i="10"/>
  <c r="C23" i="10" a="1"/>
  <c r="C23" i="10"/>
  <c r="D23" i="10"/>
  <c r="E23" i="10"/>
  <c r="F23" i="10"/>
  <c r="G23" i="10"/>
  <c r="H23" i="10" a="1"/>
  <c r="H23" i="10"/>
  <c r="I23" i="10"/>
  <c r="J23" i="10"/>
  <c r="K23" i="10"/>
  <c r="L23" i="10"/>
  <c r="M23" i="10"/>
  <c r="C24" i="10" a="1"/>
  <c r="C24" i="10"/>
  <c r="D24" i="10"/>
  <c r="E24" i="10"/>
  <c r="F24" i="10"/>
  <c r="G24" i="10"/>
  <c r="H24" i="10" a="1"/>
  <c r="H24" i="10"/>
  <c r="I24" i="10"/>
  <c r="J24" i="10"/>
  <c r="K24" i="10"/>
  <c r="L24" i="10"/>
  <c r="M24" i="10"/>
  <c r="C25" i="10" a="1"/>
  <c r="C25" i="10"/>
  <c r="D25" i="10"/>
  <c r="E25" i="10"/>
  <c r="F25" i="10"/>
  <c r="G25" i="10"/>
  <c r="H25" i="10" a="1"/>
  <c r="H25" i="10"/>
  <c r="I25" i="10"/>
  <c r="J25" i="10"/>
  <c r="K25" i="10"/>
  <c r="L25" i="10"/>
  <c r="M25" i="10"/>
  <c r="C26" i="10" a="1"/>
  <c r="C26" i="10"/>
  <c r="D26" i="10"/>
  <c r="E26" i="10"/>
  <c r="F26" i="10"/>
  <c r="G26" i="10"/>
  <c r="H26" i="10" a="1"/>
  <c r="H26" i="10"/>
  <c r="I26" i="10"/>
  <c r="J26" i="10"/>
  <c r="K26" i="10"/>
  <c r="L26" i="10"/>
  <c r="M26" i="10"/>
  <c r="C27" i="10" a="1"/>
  <c r="C27" i="10"/>
  <c r="D27" i="10"/>
  <c r="E27" i="10"/>
  <c r="F27" i="10"/>
  <c r="G27" i="10"/>
  <c r="H27" i="10" a="1"/>
  <c r="H27" i="10"/>
  <c r="I27" i="10"/>
  <c r="J27" i="10"/>
  <c r="K27" i="10"/>
  <c r="L27" i="10"/>
  <c r="M27" i="10"/>
  <c r="C28" i="10" a="1"/>
  <c r="C28" i="10"/>
  <c r="D28" i="10"/>
  <c r="E28" i="10"/>
  <c r="F28" i="10"/>
  <c r="G28" i="10"/>
  <c r="H28" i="10" a="1"/>
  <c r="H28" i="10"/>
  <c r="I28" i="10"/>
  <c r="J28" i="10"/>
  <c r="K28" i="10"/>
  <c r="L28" i="10"/>
  <c r="M28" i="10"/>
  <c r="C29" i="10" a="1"/>
  <c r="C29" i="10"/>
  <c r="D29" i="10"/>
  <c r="E29" i="10"/>
  <c r="F29" i="10"/>
  <c r="G29" i="10"/>
  <c r="H29" i="10" a="1"/>
  <c r="H29" i="10"/>
  <c r="I29" i="10"/>
  <c r="J29" i="10"/>
  <c r="K29" i="10"/>
  <c r="L29" i="10"/>
  <c r="M29" i="10"/>
  <c r="C30" i="10" a="1"/>
  <c r="C30" i="10"/>
  <c r="D30" i="10"/>
  <c r="E30" i="10"/>
  <c r="F30" i="10"/>
  <c r="G30" i="10"/>
  <c r="H30" i="10" a="1"/>
  <c r="H30" i="10"/>
  <c r="I30" i="10"/>
  <c r="J30" i="10"/>
  <c r="K30" i="10"/>
  <c r="L30" i="10"/>
  <c r="M30" i="10"/>
  <c r="C31" i="10" a="1"/>
  <c r="C31" i="10"/>
  <c r="D31" i="10"/>
  <c r="E31" i="10"/>
  <c r="F31" i="10"/>
  <c r="G31" i="10"/>
  <c r="H31" i="10" a="1"/>
  <c r="H31" i="10"/>
  <c r="I31" i="10"/>
  <c r="J31" i="10"/>
  <c r="K31" i="10"/>
  <c r="L31" i="10"/>
  <c r="M31" i="10"/>
  <c r="C32" i="10" a="1"/>
  <c r="C32" i="10"/>
  <c r="D32" i="10"/>
  <c r="E32" i="10"/>
  <c r="F32" i="10"/>
  <c r="G32" i="10"/>
  <c r="H32" i="10" a="1"/>
  <c r="H32" i="10"/>
  <c r="I32" i="10"/>
  <c r="J32" i="10"/>
  <c r="K32" i="10"/>
  <c r="L32" i="10"/>
  <c r="M32" i="10"/>
  <c r="C33" i="10" a="1"/>
  <c r="C33" i="10"/>
  <c r="D33" i="10"/>
  <c r="E33" i="10"/>
  <c r="F33" i="10"/>
  <c r="G33" i="10"/>
  <c r="H33" i="10" a="1"/>
  <c r="H33" i="10"/>
  <c r="I33" i="10"/>
  <c r="J33" i="10"/>
  <c r="K33" i="10"/>
  <c r="L33" i="10"/>
  <c r="M33" i="10"/>
  <c r="C34" i="10" a="1"/>
  <c r="C34" i="10"/>
  <c r="D34" i="10"/>
  <c r="E34" i="10"/>
  <c r="F34" i="10"/>
  <c r="G34" i="10"/>
  <c r="H34" i="10" a="1"/>
  <c r="H34" i="10"/>
  <c r="I34" i="10"/>
  <c r="J34" i="10"/>
  <c r="K34" i="10"/>
  <c r="L34" i="10"/>
  <c r="M34" i="10"/>
  <c r="C35" i="10" a="1"/>
  <c r="C35" i="10"/>
  <c r="D35" i="10"/>
  <c r="E35" i="10"/>
  <c r="F35" i="10"/>
  <c r="G35" i="10"/>
  <c r="H35" i="10" a="1"/>
  <c r="H35" i="10"/>
  <c r="I35" i="10"/>
  <c r="J35" i="10"/>
  <c r="K35" i="10"/>
  <c r="L35" i="10"/>
  <c r="M35" i="10"/>
  <c r="C36" i="10" a="1"/>
  <c r="C36" i="10"/>
  <c r="D36" i="10"/>
  <c r="E36" i="10"/>
  <c r="F36" i="10"/>
  <c r="G36" i="10"/>
  <c r="H36" i="10" a="1"/>
  <c r="H36" i="10"/>
  <c r="I36" i="10"/>
  <c r="J36" i="10"/>
  <c r="K36" i="10"/>
  <c r="L36" i="10"/>
  <c r="M36" i="10"/>
  <c r="C37" i="10" a="1"/>
  <c r="C37" i="10"/>
  <c r="D37" i="10"/>
  <c r="E37" i="10"/>
  <c r="F37" i="10"/>
  <c r="G37" i="10"/>
  <c r="H37" i="10" a="1"/>
  <c r="H37" i="10"/>
  <c r="I37" i="10"/>
  <c r="J37" i="10"/>
  <c r="K37" i="10"/>
  <c r="L37" i="10"/>
  <c r="M37" i="10"/>
  <c r="C38" i="10" a="1"/>
  <c r="C38" i="10"/>
  <c r="D38" i="10"/>
  <c r="E38" i="10"/>
  <c r="F38" i="10"/>
  <c r="G38" i="10"/>
  <c r="H38" i="10" a="1"/>
  <c r="H38" i="10"/>
  <c r="I38" i="10"/>
  <c r="J38" i="10"/>
  <c r="K38" i="10"/>
  <c r="L38" i="10"/>
  <c r="M38" i="10"/>
  <c r="C39" i="10" a="1"/>
  <c r="C39" i="10"/>
  <c r="D39" i="10"/>
  <c r="E39" i="10"/>
  <c r="F39" i="10"/>
  <c r="G39" i="10"/>
  <c r="H39" i="10" a="1"/>
  <c r="H39" i="10"/>
  <c r="I39" i="10"/>
  <c r="J39" i="10"/>
  <c r="K39" i="10"/>
  <c r="L39" i="10"/>
  <c r="M39" i="10"/>
  <c r="C40" i="10" a="1"/>
  <c r="C40" i="10"/>
  <c r="D40" i="10"/>
  <c r="E40" i="10"/>
  <c r="F40" i="10"/>
  <c r="G40" i="10"/>
  <c r="H40" i="10" a="1"/>
  <c r="H40" i="10"/>
  <c r="I40" i="10"/>
  <c r="J40" i="10"/>
  <c r="K40" i="10"/>
  <c r="L40" i="10"/>
  <c r="M40" i="10"/>
  <c r="C41" i="10" a="1"/>
  <c r="C41" i="10"/>
  <c r="D41" i="10"/>
  <c r="E41" i="10"/>
  <c r="F41" i="10"/>
  <c r="G41" i="10"/>
  <c r="H41" i="10" a="1"/>
  <c r="H41" i="10"/>
  <c r="I41" i="10"/>
  <c r="J41" i="10"/>
  <c r="K41" i="10"/>
  <c r="L41" i="10"/>
  <c r="M41" i="10"/>
  <c r="C42" i="10" a="1"/>
  <c r="C42" i="10"/>
  <c r="D42" i="10"/>
  <c r="E42" i="10"/>
  <c r="F42" i="10"/>
  <c r="G42" i="10"/>
  <c r="H42" i="10" a="1"/>
  <c r="H42" i="10"/>
  <c r="I42" i="10"/>
  <c r="J42" i="10"/>
  <c r="K42" i="10"/>
  <c r="L42" i="10"/>
  <c r="M42" i="10"/>
  <c r="C43" i="10" a="1"/>
  <c r="C43" i="10"/>
  <c r="D43" i="10"/>
  <c r="E43" i="10"/>
  <c r="F43" i="10"/>
  <c r="G43" i="10"/>
  <c r="H43" i="10" a="1"/>
  <c r="H43" i="10"/>
  <c r="I43" i="10"/>
  <c r="J43" i="10"/>
  <c r="K43" i="10"/>
  <c r="L43" i="10"/>
  <c r="M43" i="10"/>
  <c r="C44" i="10" a="1"/>
  <c r="C44" i="10"/>
  <c r="D44" i="10"/>
  <c r="E44" i="10"/>
  <c r="F44" i="10"/>
  <c r="G44" i="10"/>
  <c r="H44" i="10" a="1"/>
  <c r="H44" i="10"/>
  <c r="I44" i="10"/>
  <c r="J44" i="10"/>
  <c r="K44" i="10"/>
  <c r="L44" i="10"/>
  <c r="M44" i="10"/>
  <c r="C45" i="10" a="1"/>
  <c r="C45" i="10"/>
  <c r="D45" i="10"/>
  <c r="E45" i="10"/>
  <c r="F45" i="10"/>
  <c r="G45" i="10"/>
  <c r="H45" i="10" a="1"/>
  <c r="H45" i="10"/>
  <c r="I45" i="10"/>
  <c r="J45" i="10"/>
  <c r="K45" i="10"/>
  <c r="L45" i="10"/>
  <c r="M45" i="10"/>
  <c r="C46" i="10" a="1"/>
  <c r="C46" i="10"/>
  <c r="D46" i="10"/>
  <c r="E46" i="10"/>
  <c r="F46" i="10"/>
  <c r="G46" i="10"/>
  <c r="H46" i="10" a="1"/>
  <c r="H46" i="10"/>
  <c r="I46" i="10"/>
  <c r="J46" i="10"/>
  <c r="K46" i="10"/>
  <c r="L46" i="10"/>
  <c r="M46" i="10"/>
  <c r="C47" i="10" a="1"/>
  <c r="C47" i="10"/>
  <c r="D47" i="10"/>
  <c r="E47" i="10"/>
  <c r="F47" i="10"/>
  <c r="G47" i="10"/>
  <c r="H47" i="10" a="1"/>
  <c r="H47" i="10"/>
  <c r="I47" i="10"/>
  <c r="J47" i="10"/>
  <c r="K47" i="10"/>
  <c r="L47" i="10"/>
  <c r="M47" i="10"/>
  <c r="C48" i="10" a="1"/>
  <c r="C48" i="10"/>
  <c r="D48" i="10"/>
  <c r="E48" i="10"/>
  <c r="F48" i="10"/>
  <c r="G48" i="10"/>
  <c r="H48" i="10" a="1"/>
  <c r="H48" i="10"/>
  <c r="I48" i="10"/>
  <c r="J48" i="10"/>
  <c r="K48" i="10"/>
  <c r="L48" i="10"/>
  <c r="M48" i="10"/>
  <c r="C49" i="10" a="1"/>
  <c r="C49" i="10"/>
  <c r="D49" i="10"/>
  <c r="E49" i="10"/>
  <c r="F49" i="10"/>
  <c r="G49" i="10"/>
  <c r="H49" i="10" a="1"/>
  <c r="H49" i="10"/>
  <c r="I49" i="10"/>
  <c r="J49" i="10"/>
  <c r="K49" i="10"/>
  <c r="L49" i="10"/>
  <c r="M49" i="10"/>
  <c r="C50" i="10" a="1"/>
  <c r="C50" i="10"/>
  <c r="D50" i="10"/>
  <c r="E50" i="10"/>
  <c r="F50" i="10"/>
  <c r="G50" i="10"/>
  <c r="H50" i="10" a="1"/>
  <c r="H50" i="10"/>
  <c r="I50" i="10"/>
  <c r="J50" i="10"/>
  <c r="K50" i="10"/>
  <c r="L50" i="10"/>
  <c r="M50" i="10"/>
  <c r="C51" i="10" a="1"/>
  <c r="C51" i="10"/>
  <c r="D51" i="10"/>
  <c r="E51" i="10"/>
  <c r="F51" i="10"/>
  <c r="G51" i="10"/>
  <c r="H51" i="10" a="1"/>
  <c r="H51" i="10"/>
  <c r="I51" i="10"/>
  <c r="J51" i="10"/>
  <c r="K51" i="10"/>
  <c r="L51" i="10"/>
  <c r="M51" i="10"/>
  <c r="C52" i="10" a="1"/>
  <c r="C52" i="10"/>
  <c r="D52" i="10"/>
  <c r="E52" i="10"/>
  <c r="F52" i="10"/>
  <c r="G52" i="10"/>
  <c r="H52" i="10" a="1"/>
  <c r="H52" i="10"/>
  <c r="I52" i="10"/>
  <c r="J52" i="10"/>
  <c r="K52" i="10"/>
  <c r="L52" i="10"/>
  <c r="M52" i="10"/>
  <c r="C53" i="10" a="1"/>
  <c r="C53" i="10"/>
  <c r="D53" i="10"/>
  <c r="E53" i="10"/>
  <c r="F53" i="10"/>
  <c r="G53" i="10"/>
  <c r="H53" i="10" a="1"/>
  <c r="H53" i="10"/>
  <c r="I53" i="10"/>
  <c r="J53" i="10"/>
  <c r="K53" i="10"/>
  <c r="L53" i="10"/>
  <c r="M53" i="10"/>
  <c r="C54" i="10" a="1"/>
  <c r="C54" i="10"/>
  <c r="D54" i="10"/>
  <c r="E54" i="10"/>
  <c r="F54" i="10"/>
  <c r="G54" i="10"/>
  <c r="H54" i="10" a="1"/>
  <c r="H54" i="10"/>
  <c r="I54" i="10"/>
  <c r="J54" i="10"/>
  <c r="K54" i="10"/>
  <c r="L54" i="10"/>
  <c r="M54" i="10"/>
  <c r="C55" i="10" a="1"/>
  <c r="C55" i="10"/>
  <c r="D55" i="10"/>
  <c r="E55" i="10"/>
  <c r="F55" i="10"/>
  <c r="G55" i="10"/>
  <c r="H55" i="10" a="1"/>
  <c r="H55" i="10"/>
  <c r="I55" i="10"/>
  <c r="J55" i="10"/>
  <c r="K55" i="10"/>
  <c r="L55" i="10"/>
  <c r="M55" i="10"/>
  <c r="C56" i="10" a="1"/>
  <c r="C56" i="10"/>
  <c r="D56" i="10"/>
  <c r="E56" i="10"/>
  <c r="F56" i="10"/>
  <c r="G56" i="10"/>
  <c r="H56" i="10" a="1"/>
  <c r="H56" i="10"/>
  <c r="I56" i="10"/>
  <c r="J56" i="10"/>
  <c r="K56" i="10"/>
  <c r="L56" i="10"/>
  <c r="M56" i="10"/>
  <c r="C57" i="10" a="1"/>
  <c r="C57" i="10"/>
  <c r="D57" i="10"/>
  <c r="E57" i="10"/>
  <c r="F57" i="10"/>
  <c r="G57" i="10"/>
  <c r="H57" i="10" a="1"/>
  <c r="H57" i="10"/>
  <c r="I57" i="10"/>
  <c r="J57" i="10"/>
  <c r="K57" i="10"/>
  <c r="L57" i="10"/>
  <c r="M57" i="10"/>
  <c r="C58" i="10" a="1"/>
  <c r="C58" i="10"/>
  <c r="D58" i="10"/>
  <c r="E58" i="10"/>
  <c r="F58" i="10"/>
  <c r="G58" i="10"/>
  <c r="H58" i="10" a="1"/>
  <c r="H58" i="10"/>
  <c r="I58" i="10"/>
  <c r="J58" i="10"/>
  <c r="K58" i="10"/>
  <c r="L58" i="10"/>
  <c r="M58" i="10"/>
  <c r="C59" i="10" a="1"/>
  <c r="C59" i="10"/>
  <c r="D59" i="10"/>
  <c r="E59" i="10"/>
  <c r="F59" i="10"/>
  <c r="G59" i="10"/>
  <c r="H59" i="10" a="1"/>
  <c r="H59" i="10"/>
  <c r="I59" i="10"/>
  <c r="J59" i="10"/>
  <c r="K59" i="10"/>
  <c r="L59" i="10"/>
  <c r="M59" i="10"/>
  <c r="C60" i="10" a="1"/>
  <c r="C60" i="10"/>
  <c r="D60" i="10"/>
  <c r="E60" i="10"/>
  <c r="F60" i="10"/>
  <c r="G60" i="10"/>
  <c r="H60" i="10" a="1"/>
  <c r="H60" i="10"/>
  <c r="I60" i="10"/>
  <c r="J60" i="10"/>
  <c r="K60" i="10"/>
  <c r="L60" i="10"/>
  <c r="M60" i="10"/>
  <c r="C61" i="10" a="1"/>
  <c r="C61" i="10"/>
  <c r="D61" i="10"/>
  <c r="E61" i="10"/>
  <c r="F61" i="10"/>
  <c r="G61" i="10"/>
  <c r="H61" i="10" a="1"/>
  <c r="H61" i="10"/>
  <c r="I61" i="10"/>
  <c r="J61" i="10"/>
  <c r="K61" i="10"/>
  <c r="L61" i="10"/>
  <c r="M61" i="10"/>
  <c r="C62" i="10" a="1"/>
  <c r="C62" i="10"/>
  <c r="D62" i="10"/>
  <c r="E62" i="10"/>
  <c r="F62" i="10"/>
  <c r="G62" i="10"/>
  <c r="H62" i="10" a="1"/>
  <c r="H62" i="10"/>
  <c r="I62" i="10"/>
  <c r="J62" i="10"/>
  <c r="K62" i="10"/>
  <c r="L62" i="10"/>
  <c r="M62" i="10"/>
  <c r="C63" i="10" a="1"/>
  <c r="C63" i="10"/>
  <c r="D63" i="10"/>
  <c r="E63" i="10"/>
  <c r="F63" i="10"/>
  <c r="G63" i="10"/>
  <c r="H63" i="10" a="1"/>
  <c r="H63" i="10"/>
  <c r="I63" i="10"/>
  <c r="J63" i="10"/>
  <c r="K63" i="10"/>
  <c r="L63" i="10"/>
  <c r="M63" i="10"/>
  <c r="C64" i="10" a="1"/>
  <c r="C64" i="10"/>
  <c r="D64" i="10"/>
  <c r="E64" i="10"/>
  <c r="F64" i="10"/>
  <c r="G64" i="10"/>
  <c r="H64" i="10" a="1"/>
  <c r="H64" i="10"/>
  <c r="I64" i="10"/>
  <c r="J64" i="10"/>
  <c r="K64" i="10"/>
  <c r="L64" i="10"/>
  <c r="M64" i="10"/>
  <c r="C65" i="10" a="1"/>
  <c r="C65" i="10"/>
  <c r="D65" i="10"/>
  <c r="E65" i="10"/>
  <c r="F65" i="10"/>
  <c r="G65" i="10"/>
  <c r="H65" i="10" a="1"/>
  <c r="H65" i="10"/>
  <c r="I65" i="10"/>
  <c r="J65" i="10"/>
  <c r="K65" i="10"/>
  <c r="L65" i="10"/>
  <c r="M65" i="10"/>
  <c r="C66" i="10" a="1"/>
  <c r="C66" i="10"/>
  <c r="D66" i="10"/>
  <c r="E66" i="10"/>
  <c r="F66" i="10"/>
  <c r="G66" i="10"/>
  <c r="H66" i="10" a="1"/>
  <c r="H66" i="10"/>
  <c r="I66" i="10"/>
  <c r="J66" i="10"/>
  <c r="K66" i="10"/>
  <c r="L66" i="10"/>
  <c r="M66" i="10"/>
  <c r="C67" i="10" a="1"/>
  <c r="C67" i="10"/>
  <c r="D67" i="10"/>
  <c r="E67" i="10"/>
  <c r="F67" i="10"/>
  <c r="G67" i="10"/>
  <c r="H67" i="10" a="1"/>
  <c r="H67" i="10"/>
  <c r="I67" i="10"/>
  <c r="J67" i="10"/>
  <c r="K67" i="10"/>
  <c r="L67" i="10"/>
  <c r="M67" i="10"/>
  <c r="C68" i="10" a="1"/>
  <c r="C68" i="10"/>
  <c r="D68" i="10"/>
  <c r="E68" i="10"/>
  <c r="F68" i="10"/>
  <c r="G68" i="10"/>
  <c r="H68" i="10" a="1"/>
  <c r="H68" i="10"/>
  <c r="I68" i="10"/>
  <c r="J68" i="10"/>
  <c r="K68" i="10"/>
  <c r="L68" i="10"/>
  <c r="M68" i="10"/>
  <c r="C69" i="10" a="1"/>
  <c r="C69" i="10"/>
  <c r="D69" i="10"/>
  <c r="E69" i="10"/>
  <c r="F69" i="10"/>
  <c r="G69" i="10"/>
  <c r="H69" i="10" a="1"/>
  <c r="H69" i="10"/>
  <c r="I69" i="10"/>
  <c r="J69" i="10"/>
  <c r="K69" i="10"/>
  <c r="L69" i="10"/>
  <c r="M69" i="10"/>
  <c r="C70" i="10" a="1"/>
  <c r="C70" i="10"/>
  <c r="D70" i="10"/>
  <c r="E70" i="10"/>
  <c r="F70" i="10"/>
  <c r="G70" i="10"/>
  <c r="H70" i="10" a="1"/>
  <c r="H70" i="10"/>
  <c r="I70" i="10"/>
  <c r="J70" i="10"/>
  <c r="K70" i="10"/>
  <c r="L70" i="10"/>
  <c r="M70" i="10"/>
  <c r="C71" i="10" a="1"/>
  <c r="C71" i="10"/>
  <c r="D71" i="10"/>
  <c r="E71" i="10"/>
  <c r="F71" i="10"/>
  <c r="G71" i="10"/>
  <c r="H71" i="10" a="1"/>
  <c r="H71" i="10"/>
  <c r="I71" i="10"/>
  <c r="J71" i="10"/>
  <c r="K71" i="10"/>
  <c r="L71" i="10"/>
  <c r="M71" i="10"/>
  <c r="C72" i="10" a="1"/>
  <c r="C72" i="10"/>
  <c r="D72" i="10"/>
  <c r="E72" i="10"/>
  <c r="F72" i="10"/>
  <c r="G72" i="10"/>
  <c r="H72" i="10" a="1"/>
  <c r="H72" i="10"/>
  <c r="I72" i="10"/>
  <c r="J72" i="10"/>
  <c r="K72" i="10"/>
  <c r="L72" i="10"/>
  <c r="M72" i="10"/>
  <c r="C73" i="10" a="1"/>
  <c r="C73" i="10"/>
  <c r="D73" i="10"/>
  <c r="E73" i="10"/>
  <c r="F73" i="10"/>
  <c r="G73" i="10"/>
  <c r="H73" i="10" a="1"/>
  <c r="H73" i="10"/>
  <c r="I73" i="10"/>
  <c r="J73" i="10"/>
  <c r="K73" i="10"/>
  <c r="L73" i="10"/>
  <c r="M73" i="10"/>
  <c r="C74" i="10" a="1"/>
  <c r="C74" i="10"/>
  <c r="D74" i="10"/>
  <c r="E74" i="10"/>
  <c r="F74" i="10"/>
  <c r="G74" i="10"/>
  <c r="H74" i="10" a="1"/>
  <c r="H74" i="10"/>
  <c r="I74" i="10"/>
  <c r="J74" i="10"/>
  <c r="K74" i="10"/>
  <c r="L74" i="10"/>
  <c r="M74" i="10"/>
  <c r="C75" i="10" a="1"/>
  <c r="C75" i="10"/>
  <c r="D75" i="10"/>
  <c r="E75" i="10"/>
  <c r="F75" i="10"/>
  <c r="G75" i="10"/>
  <c r="H75" i="10" a="1"/>
  <c r="H75" i="10"/>
  <c r="I75" i="10"/>
  <c r="J75" i="10"/>
  <c r="K75" i="10"/>
  <c r="L75" i="10"/>
  <c r="M75" i="10"/>
  <c r="C76" i="10" a="1"/>
  <c r="C76" i="10"/>
  <c r="D76" i="10"/>
  <c r="E76" i="10"/>
  <c r="F76" i="10"/>
  <c r="G76" i="10"/>
  <c r="H76" i="10" a="1"/>
  <c r="H76" i="10"/>
  <c r="I76" i="10"/>
  <c r="J76" i="10"/>
  <c r="K76" i="10"/>
  <c r="L76" i="10"/>
  <c r="M76" i="10"/>
  <c r="C77" i="10" a="1"/>
  <c r="C77" i="10"/>
  <c r="D77" i="10"/>
  <c r="E77" i="10"/>
  <c r="F77" i="10"/>
  <c r="G77" i="10"/>
  <c r="H77" i="10" a="1"/>
  <c r="H77" i="10"/>
  <c r="I77" i="10"/>
  <c r="J77" i="10"/>
  <c r="K77" i="10"/>
  <c r="L77" i="10"/>
  <c r="M77" i="10"/>
  <c r="C78" i="10" a="1"/>
  <c r="C78" i="10"/>
  <c r="D78" i="10"/>
  <c r="E78" i="10"/>
  <c r="F78" i="10"/>
  <c r="G78" i="10"/>
  <c r="H78" i="10" a="1"/>
  <c r="H78" i="10"/>
  <c r="I78" i="10"/>
  <c r="J78" i="10"/>
  <c r="K78" i="10"/>
  <c r="L78" i="10"/>
  <c r="M78" i="10"/>
  <c r="C79" i="10" a="1"/>
  <c r="C79" i="10"/>
  <c r="D79" i="10"/>
  <c r="E79" i="10"/>
  <c r="F79" i="10"/>
  <c r="G79" i="10"/>
  <c r="H79" i="10" a="1"/>
  <c r="H79" i="10"/>
  <c r="I79" i="10"/>
  <c r="J79" i="10"/>
  <c r="K79" i="10"/>
  <c r="L79" i="10"/>
  <c r="M79" i="10"/>
  <c r="C80" i="10" a="1"/>
  <c r="C80" i="10"/>
  <c r="D80" i="10"/>
  <c r="E80" i="10"/>
  <c r="F80" i="10"/>
  <c r="G80" i="10"/>
  <c r="H80" i="10" a="1"/>
  <c r="H80" i="10"/>
  <c r="I80" i="10"/>
  <c r="J80" i="10"/>
  <c r="K80" i="10"/>
  <c r="L80" i="10"/>
  <c r="M80" i="10"/>
  <c r="C81" i="10" a="1"/>
  <c r="C81" i="10"/>
  <c r="D81" i="10"/>
  <c r="E81" i="10"/>
  <c r="F81" i="10"/>
  <c r="G81" i="10"/>
  <c r="H81" i="10" a="1"/>
  <c r="H81" i="10"/>
  <c r="I81" i="10"/>
  <c r="J81" i="10"/>
  <c r="K81" i="10"/>
  <c r="L81" i="10"/>
  <c r="M81" i="10"/>
  <c r="C82" i="10" a="1"/>
  <c r="C82" i="10"/>
  <c r="D82" i="10"/>
  <c r="E82" i="10"/>
  <c r="F82" i="10"/>
  <c r="G82" i="10"/>
  <c r="H82" i="10" a="1"/>
  <c r="H82" i="10"/>
  <c r="I82" i="10"/>
  <c r="J82" i="10"/>
  <c r="K82" i="10"/>
  <c r="L82" i="10"/>
  <c r="M82" i="10"/>
  <c r="C83" i="10" a="1"/>
  <c r="C83" i="10"/>
  <c r="D83" i="10"/>
  <c r="E83" i="10"/>
  <c r="F83" i="10"/>
  <c r="G83" i="10"/>
  <c r="H83" i="10" a="1"/>
  <c r="H83" i="10"/>
  <c r="I83" i="10"/>
  <c r="J83" i="10"/>
  <c r="K83" i="10"/>
  <c r="L83" i="10"/>
  <c r="M83" i="10"/>
  <c r="C84" i="10" a="1"/>
  <c r="C84" i="10"/>
  <c r="D84" i="10"/>
  <c r="E84" i="10"/>
  <c r="F84" i="10"/>
  <c r="G84" i="10"/>
  <c r="H84" i="10" a="1"/>
  <c r="H84" i="10"/>
  <c r="I84" i="10"/>
  <c r="J84" i="10"/>
  <c r="K84" i="10"/>
  <c r="L84" i="10"/>
  <c r="M84" i="10"/>
  <c r="C85" i="10" a="1"/>
  <c r="C85" i="10"/>
  <c r="D85" i="10"/>
  <c r="E85" i="10"/>
  <c r="F85" i="10"/>
  <c r="G85" i="10"/>
  <c r="H85" i="10" a="1"/>
  <c r="H85" i="10"/>
  <c r="I85" i="10"/>
  <c r="J85" i="10"/>
  <c r="K85" i="10"/>
  <c r="L85" i="10"/>
  <c r="M85" i="10"/>
  <c r="C86" i="10" a="1"/>
  <c r="C86" i="10"/>
  <c r="D86" i="10"/>
  <c r="E86" i="10"/>
  <c r="F86" i="10"/>
  <c r="G86" i="10"/>
  <c r="H86" i="10" a="1"/>
  <c r="H86" i="10"/>
  <c r="I86" i="10"/>
  <c r="J86" i="10"/>
  <c r="K86" i="10"/>
  <c r="L86" i="10"/>
  <c r="M86" i="10"/>
  <c r="C87" i="10" a="1"/>
  <c r="C87" i="10"/>
  <c r="D87" i="10"/>
  <c r="E87" i="10"/>
  <c r="F87" i="10"/>
  <c r="G87" i="10"/>
  <c r="H87" i="10" a="1"/>
  <c r="H87" i="10"/>
  <c r="I87" i="10"/>
  <c r="J87" i="10"/>
  <c r="K87" i="10"/>
  <c r="L87" i="10"/>
  <c r="M87" i="10"/>
  <c r="C88" i="10" a="1"/>
  <c r="C88" i="10"/>
  <c r="D88" i="10"/>
  <c r="E88" i="10"/>
  <c r="F88" i="10"/>
  <c r="G88" i="10"/>
  <c r="H88" i="10" a="1"/>
  <c r="H88" i="10"/>
  <c r="I88" i="10"/>
  <c r="J88" i="10"/>
  <c r="K88" i="10"/>
  <c r="L88" i="10"/>
  <c r="M88" i="10"/>
  <c r="C89" i="10" a="1"/>
  <c r="C89" i="10"/>
  <c r="D89" i="10"/>
  <c r="E89" i="10"/>
  <c r="F89" i="10"/>
  <c r="G89" i="10"/>
  <c r="H89" i="10" a="1"/>
  <c r="H89" i="10"/>
  <c r="I89" i="10"/>
  <c r="J89" i="10"/>
  <c r="K89" i="10"/>
  <c r="L89" i="10"/>
  <c r="M89" i="10"/>
  <c r="C90" i="10" a="1"/>
  <c r="C90" i="10"/>
  <c r="D90" i="10"/>
  <c r="E90" i="10"/>
  <c r="F90" i="10"/>
  <c r="G90" i="10"/>
  <c r="H90" i="10" a="1"/>
  <c r="H90" i="10"/>
  <c r="I90" i="10"/>
  <c r="J90" i="10"/>
  <c r="K90" i="10"/>
  <c r="L90" i="10"/>
  <c r="M90" i="10"/>
  <c r="C91" i="10" a="1"/>
  <c r="C91" i="10"/>
  <c r="D91" i="10"/>
  <c r="E91" i="10"/>
  <c r="F91" i="10"/>
  <c r="G91" i="10"/>
  <c r="H91" i="10" a="1"/>
  <c r="H91" i="10"/>
  <c r="I91" i="10"/>
  <c r="J91" i="10"/>
  <c r="K91" i="10"/>
  <c r="L91" i="10"/>
  <c r="M91" i="10"/>
  <c r="C92" i="10" a="1"/>
  <c r="C92" i="10"/>
  <c r="D92" i="10"/>
  <c r="E92" i="10"/>
  <c r="F92" i="10"/>
  <c r="G92" i="10"/>
  <c r="H92" i="10" a="1"/>
  <c r="H92" i="10"/>
  <c r="I92" i="10"/>
  <c r="J92" i="10"/>
  <c r="K92" i="10"/>
  <c r="L92" i="10"/>
  <c r="M92" i="10"/>
  <c r="C93" i="10" a="1"/>
  <c r="C93" i="10"/>
  <c r="D93" i="10"/>
  <c r="E93" i="10"/>
  <c r="F93" i="10"/>
  <c r="G93" i="10"/>
  <c r="H93" i="10" a="1"/>
  <c r="H93" i="10"/>
  <c r="I93" i="10"/>
  <c r="J93" i="10"/>
  <c r="K93" i="10"/>
  <c r="L93" i="10"/>
  <c r="M93" i="10"/>
  <c r="C94" i="10" a="1"/>
  <c r="C94" i="10"/>
  <c r="D94" i="10"/>
  <c r="E94" i="10"/>
  <c r="F94" i="10"/>
  <c r="G94" i="10"/>
  <c r="H94" i="10" a="1"/>
  <c r="H94" i="10"/>
  <c r="I94" i="10"/>
  <c r="J94" i="10"/>
  <c r="K94" i="10"/>
  <c r="L94" i="10"/>
  <c r="M94" i="10"/>
  <c r="C95" i="10" a="1"/>
  <c r="C95" i="10"/>
  <c r="D95" i="10"/>
  <c r="E95" i="10"/>
  <c r="F95" i="10"/>
  <c r="G95" i="10"/>
  <c r="H95" i="10" a="1"/>
  <c r="H95" i="10"/>
  <c r="I95" i="10"/>
  <c r="J95" i="10"/>
  <c r="K95" i="10"/>
  <c r="L95" i="10"/>
  <c r="M95" i="10"/>
  <c r="C96" i="10" a="1"/>
  <c r="C96" i="10"/>
  <c r="D96" i="10"/>
  <c r="E96" i="10"/>
  <c r="F96" i="10"/>
  <c r="G96" i="10"/>
  <c r="H96" i="10" a="1"/>
  <c r="H96" i="10"/>
  <c r="I96" i="10"/>
  <c r="J96" i="10"/>
  <c r="K96" i="10"/>
  <c r="L96" i="10"/>
  <c r="M96" i="10"/>
  <c r="C97" i="10" a="1"/>
  <c r="C97" i="10"/>
  <c r="D97" i="10"/>
  <c r="E97" i="10"/>
  <c r="F97" i="10"/>
  <c r="G97" i="10"/>
  <c r="H97" i="10" a="1"/>
  <c r="H97" i="10"/>
  <c r="I97" i="10"/>
  <c r="J97" i="10"/>
  <c r="K97" i="10"/>
  <c r="L97" i="10"/>
  <c r="M97" i="10"/>
  <c r="C98" i="10" a="1"/>
  <c r="C98" i="10"/>
  <c r="D98" i="10"/>
  <c r="E98" i="10"/>
  <c r="F98" i="10"/>
  <c r="G98" i="10"/>
  <c r="H98" i="10" a="1"/>
  <c r="H98" i="10"/>
  <c r="I98" i="10"/>
  <c r="J98" i="10"/>
  <c r="K98" i="10"/>
  <c r="L98" i="10"/>
  <c r="M98" i="10"/>
  <c r="C99" i="10" a="1"/>
  <c r="C99" i="10"/>
  <c r="D99" i="10"/>
  <c r="E99" i="10"/>
  <c r="F99" i="10"/>
  <c r="G99" i="10"/>
  <c r="H99" i="10" a="1"/>
  <c r="H99" i="10"/>
  <c r="I99" i="10"/>
  <c r="J99" i="10"/>
  <c r="K99" i="10"/>
  <c r="L99" i="10"/>
  <c r="M99" i="10"/>
  <c r="C100" i="10" a="1"/>
  <c r="C100" i="10"/>
  <c r="D100" i="10"/>
  <c r="E100" i="10"/>
  <c r="F100" i="10"/>
  <c r="G100" i="10"/>
  <c r="H100" i="10" a="1"/>
  <c r="H100" i="10"/>
  <c r="I100" i="10"/>
  <c r="J100" i="10"/>
  <c r="K100" i="10"/>
  <c r="L100" i="10"/>
  <c r="M100" i="10"/>
  <c r="C101" i="10" a="1"/>
  <c r="C101" i="10"/>
  <c r="D101" i="10"/>
  <c r="E101" i="10"/>
  <c r="F101" i="10"/>
  <c r="G101" i="10"/>
  <c r="H101" i="10" a="1"/>
  <c r="H101" i="10"/>
  <c r="I101" i="10"/>
  <c r="J101" i="10"/>
  <c r="K101" i="10"/>
  <c r="L101" i="10"/>
  <c r="M101" i="10"/>
  <c r="C102" i="10" a="1"/>
  <c r="C102" i="10"/>
  <c r="D102" i="10"/>
  <c r="E102" i="10"/>
  <c r="F102" i="10"/>
  <c r="G102" i="10"/>
  <c r="H102" i="10" a="1"/>
  <c r="H102" i="10"/>
  <c r="I102" i="10"/>
  <c r="J102" i="10"/>
  <c r="K102" i="10"/>
  <c r="L102" i="10"/>
  <c r="M102" i="10"/>
  <c r="C103" i="10" a="1"/>
  <c r="C103" i="10"/>
  <c r="D103" i="10"/>
  <c r="E103" i="10"/>
  <c r="F103" i="10"/>
  <c r="G103" i="10"/>
  <c r="H103" i="10" a="1"/>
  <c r="H103" i="10"/>
  <c r="I103" i="10"/>
  <c r="J103" i="10"/>
  <c r="K103" i="10"/>
  <c r="L103" i="10"/>
  <c r="M103" i="10"/>
  <c r="C104" i="10" a="1"/>
  <c r="C104" i="10"/>
  <c r="D104" i="10"/>
  <c r="E104" i="10"/>
  <c r="F104" i="10"/>
  <c r="G104" i="10"/>
  <c r="H104" i="10" a="1"/>
  <c r="H104" i="10"/>
  <c r="I104" i="10"/>
  <c r="J104" i="10"/>
  <c r="K104" i="10"/>
  <c r="L104" i="10"/>
  <c r="M104" i="10"/>
  <c r="C105" i="10" a="1"/>
  <c r="C105" i="10"/>
  <c r="D105" i="10"/>
  <c r="E105" i="10"/>
  <c r="F105" i="10"/>
  <c r="G105" i="10"/>
  <c r="H105" i="10" a="1"/>
  <c r="H105" i="10"/>
  <c r="I105" i="10"/>
  <c r="J105" i="10"/>
  <c r="K105" i="10"/>
  <c r="L105" i="10"/>
  <c r="M105" i="10"/>
  <c r="C106" i="10" a="1"/>
  <c r="C106" i="10"/>
  <c r="D106" i="10"/>
  <c r="E106" i="10"/>
  <c r="F106" i="10"/>
  <c r="G106" i="10"/>
  <c r="H106" i="10" a="1"/>
  <c r="H106" i="10"/>
  <c r="I106" i="10"/>
  <c r="J106" i="10"/>
  <c r="K106" i="10"/>
  <c r="L106" i="10"/>
  <c r="M106" i="10"/>
  <c r="C107" i="10" a="1"/>
  <c r="C107" i="10"/>
  <c r="D107" i="10"/>
  <c r="E107" i="10"/>
  <c r="F107" i="10"/>
  <c r="G107" i="10"/>
  <c r="H107" i="10" a="1"/>
  <c r="H107" i="10"/>
  <c r="I107" i="10"/>
  <c r="J107" i="10"/>
  <c r="K107" i="10"/>
  <c r="L107" i="10"/>
  <c r="M107" i="10"/>
  <c r="C108" i="10" a="1"/>
  <c r="C108" i="10"/>
  <c r="D108" i="10"/>
  <c r="E108" i="10"/>
  <c r="F108" i="10"/>
  <c r="G108" i="10"/>
  <c r="H108" i="10" a="1"/>
  <c r="H108" i="10"/>
  <c r="I108" i="10"/>
  <c r="J108" i="10"/>
  <c r="K108" i="10"/>
  <c r="L108" i="10"/>
  <c r="M108" i="10"/>
  <c r="C109" i="10" a="1"/>
  <c r="C109" i="10"/>
  <c r="D109" i="10"/>
  <c r="E109" i="10"/>
  <c r="F109" i="10"/>
  <c r="G109" i="10"/>
  <c r="H109" i="10" a="1"/>
  <c r="H109" i="10"/>
  <c r="I109" i="10"/>
  <c r="J109" i="10"/>
  <c r="K109" i="10"/>
  <c r="L109" i="10"/>
  <c r="M109" i="10"/>
  <c r="C110" i="10" a="1"/>
  <c r="C110" i="10"/>
  <c r="D110" i="10"/>
  <c r="E110" i="10"/>
  <c r="F110" i="10"/>
  <c r="G110" i="10"/>
  <c r="H110" i="10" a="1"/>
  <c r="H110" i="10"/>
  <c r="I110" i="10"/>
  <c r="J110" i="10"/>
  <c r="K110" i="10"/>
  <c r="L110" i="10"/>
  <c r="M110" i="10"/>
  <c r="C111" i="10" a="1"/>
  <c r="C111" i="10"/>
  <c r="D111" i="10"/>
  <c r="E111" i="10"/>
  <c r="F111" i="10"/>
  <c r="G111" i="10"/>
  <c r="H111" i="10" a="1"/>
  <c r="H111" i="10"/>
  <c r="I111" i="10"/>
  <c r="J111" i="10"/>
  <c r="K111" i="10"/>
  <c r="L111" i="10"/>
  <c r="M111" i="10"/>
  <c r="C112" i="10" a="1"/>
  <c r="C112" i="10"/>
  <c r="D112" i="10"/>
  <c r="E112" i="10"/>
  <c r="F112" i="10"/>
  <c r="G112" i="10"/>
  <c r="H112" i="10" a="1"/>
  <c r="H112" i="10"/>
  <c r="I112" i="10"/>
  <c r="J112" i="10"/>
  <c r="K112" i="10"/>
  <c r="L112" i="10"/>
  <c r="M112" i="10"/>
  <c r="C113" i="10" a="1"/>
  <c r="C113" i="10"/>
  <c r="D113" i="10"/>
  <c r="E113" i="10"/>
  <c r="F113" i="10"/>
  <c r="G113" i="10"/>
  <c r="H113" i="10" a="1"/>
  <c r="H113" i="10"/>
  <c r="I113" i="10"/>
  <c r="J113" i="10"/>
  <c r="K113" i="10"/>
  <c r="L113" i="10"/>
  <c r="M113" i="10"/>
  <c r="C114" i="10" a="1"/>
  <c r="C114" i="10"/>
  <c r="D114" i="10"/>
  <c r="E114" i="10"/>
  <c r="F114" i="10"/>
  <c r="G114" i="10"/>
  <c r="H114" i="10" a="1"/>
  <c r="H114" i="10"/>
  <c r="I114" i="10"/>
  <c r="J114" i="10"/>
  <c r="K114" i="10"/>
  <c r="L114" i="10"/>
  <c r="M114" i="10"/>
  <c r="C115" i="10" a="1"/>
  <c r="C115" i="10"/>
  <c r="D115" i="10"/>
  <c r="E115" i="10"/>
  <c r="F115" i="10"/>
  <c r="G115" i="10"/>
  <c r="H115" i="10" a="1"/>
  <c r="H115" i="10"/>
  <c r="I115" i="10"/>
  <c r="J115" i="10"/>
  <c r="K115" i="10"/>
  <c r="L115" i="10"/>
  <c r="M115" i="10"/>
  <c r="C116" i="10" a="1"/>
  <c r="C116" i="10"/>
  <c r="D116" i="10"/>
  <c r="E116" i="10"/>
  <c r="F116" i="10"/>
  <c r="G116" i="10"/>
  <c r="H116" i="10" a="1"/>
  <c r="H116" i="10"/>
  <c r="I116" i="10"/>
  <c r="J116" i="10"/>
  <c r="K116" i="10"/>
  <c r="L116" i="10"/>
  <c r="M116" i="10"/>
  <c r="C117" i="10" a="1"/>
  <c r="C117" i="10"/>
  <c r="D117" i="10"/>
  <c r="E117" i="10"/>
  <c r="F117" i="10"/>
  <c r="G117" i="10"/>
  <c r="H117" i="10" a="1"/>
  <c r="H117" i="10"/>
  <c r="I117" i="10"/>
  <c r="J117" i="10"/>
  <c r="K117" i="10"/>
  <c r="L117" i="10"/>
  <c r="M117" i="10"/>
  <c r="C118" i="10" a="1"/>
  <c r="C118" i="10"/>
  <c r="D118" i="10"/>
  <c r="E118" i="10"/>
  <c r="F118" i="10"/>
  <c r="G118" i="10"/>
  <c r="H118" i="10" a="1"/>
  <c r="H118" i="10"/>
  <c r="I118" i="10"/>
  <c r="J118" i="10"/>
  <c r="K118" i="10"/>
  <c r="L118" i="10"/>
  <c r="M118" i="10"/>
  <c r="C119" i="10" a="1"/>
  <c r="C119" i="10"/>
  <c r="D119" i="10"/>
  <c r="E119" i="10"/>
  <c r="F119" i="10"/>
  <c r="G119" i="10"/>
  <c r="H119" i="10" a="1"/>
  <c r="H119" i="10"/>
  <c r="I119" i="10"/>
  <c r="J119" i="10"/>
  <c r="K119" i="10"/>
  <c r="L119" i="10"/>
  <c r="M119" i="10"/>
  <c r="C120" i="10" a="1"/>
  <c r="C120" i="10"/>
  <c r="D120" i="10"/>
  <c r="E120" i="10"/>
  <c r="F120" i="10"/>
  <c r="G120" i="10"/>
  <c r="H120" i="10" a="1"/>
  <c r="H120" i="10"/>
  <c r="I120" i="10"/>
  <c r="J120" i="10"/>
  <c r="K120" i="10"/>
  <c r="L120" i="10"/>
  <c r="M120" i="10"/>
  <c r="C121" i="10" a="1"/>
  <c r="C121" i="10"/>
  <c r="D121" i="10"/>
  <c r="E121" i="10"/>
  <c r="F121" i="10"/>
  <c r="G121" i="10"/>
  <c r="H121" i="10" a="1"/>
  <c r="H121" i="10"/>
  <c r="I121" i="10"/>
  <c r="J121" i="10"/>
  <c r="K121" i="10"/>
  <c r="L121" i="10"/>
  <c r="M121" i="10"/>
  <c r="C122" i="10" a="1"/>
  <c r="C122" i="10"/>
  <c r="D122" i="10"/>
  <c r="E122" i="10"/>
  <c r="F122" i="10"/>
  <c r="G122" i="10"/>
  <c r="H122" i="10" a="1"/>
  <c r="H122" i="10"/>
  <c r="I122" i="10"/>
  <c r="J122" i="10"/>
  <c r="K122" i="10"/>
  <c r="L122" i="10"/>
  <c r="M122" i="10"/>
  <c r="C123" i="10" a="1"/>
  <c r="C123" i="10"/>
  <c r="D123" i="10"/>
  <c r="E123" i="10"/>
  <c r="F123" i="10"/>
  <c r="G123" i="10"/>
  <c r="H123" i="10" a="1"/>
  <c r="H123" i="10"/>
  <c r="I123" i="10"/>
  <c r="J123" i="10"/>
  <c r="K123" i="10"/>
  <c r="L123" i="10"/>
  <c r="M123" i="10"/>
  <c r="C124" i="10" a="1"/>
  <c r="C124" i="10"/>
  <c r="D124" i="10"/>
  <c r="E124" i="10"/>
  <c r="F124" i="10"/>
  <c r="G124" i="10"/>
  <c r="H124" i="10" a="1"/>
  <c r="H124" i="10"/>
  <c r="I124" i="10"/>
  <c r="J124" i="10"/>
  <c r="K124" i="10"/>
  <c r="L124" i="10"/>
  <c r="M124" i="10"/>
  <c r="C125" i="10" a="1"/>
  <c r="C125" i="10"/>
  <c r="D125" i="10"/>
  <c r="E125" i="10"/>
  <c r="F125" i="10"/>
  <c r="G125" i="10"/>
  <c r="H125" i="10" a="1"/>
  <c r="H125" i="10"/>
  <c r="I125" i="10"/>
  <c r="J125" i="10"/>
  <c r="K125" i="10"/>
  <c r="L125" i="10"/>
  <c r="M125" i="10"/>
  <c r="C126" i="10" a="1"/>
  <c r="C126" i="10"/>
  <c r="D126" i="10"/>
  <c r="E126" i="10"/>
  <c r="F126" i="10"/>
  <c r="G126" i="10"/>
  <c r="H126" i="10" a="1"/>
  <c r="H126" i="10"/>
  <c r="I126" i="10"/>
  <c r="J126" i="10"/>
  <c r="K126" i="10"/>
  <c r="L126" i="10"/>
  <c r="M126" i="10"/>
  <c r="C127" i="10" a="1"/>
  <c r="C127" i="10"/>
  <c r="D127" i="10"/>
  <c r="E127" i="10"/>
  <c r="F127" i="10"/>
  <c r="G127" i="10"/>
  <c r="H127" i="10" a="1"/>
  <c r="H127" i="10"/>
  <c r="I127" i="10"/>
  <c r="J127" i="10"/>
  <c r="K127" i="10"/>
  <c r="L127" i="10"/>
  <c r="M127" i="10"/>
  <c r="C128" i="10" a="1"/>
  <c r="C128" i="10"/>
  <c r="D128" i="10"/>
  <c r="E128" i="10"/>
  <c r="F128" i="10"/>
  <c r="G128" i="10"/>
  <c r="H128" i="10" a="1"/>
  <c r="H128" i="10"/>
  <c r="I128" i="10"/>
  <c r="J128" i="10"/>
  <c r="K128" i="10"/>
  <c r="L128" i="10"/>
  <c r="M128" i="10"/>
  <c r="C129" i="10" a="1"/>
  <c r="C129" i="10"/>
  <c r="D129" i="10"/>
  <c r="E129" i="10"/>
  <c r="F129" i="10"/>
  <c r="G129" i="10"/>
  <c r="H129" i="10" a="1"/>
  <c r="H129" i="10"/>
  <c r="I129" i="10"/>
  <c r="J129" i="10"/>
  <c r="K129" i="10"/>
  <c r="L129" i="10"/>
  <c r="M129" i="10"/>
  <c r="C130" i="10" a="1"/>
  <c r="C130" i="10"/>
  <c r="D130" i="10"/>
  <c r="E130" i="10"/>
  <c r="F130" i="10"/>
  <c r="G130" i="10"/>
  <c r="H130" i="10" a="1"/>
  <c r="H130" i="10"/>
  <c r="I130" i="10"/>
  <c r="J130" i="10"/>
  <c r="K130" i="10"/>
  <c r="L130" i="10"/>
  <c r="M130" i="10"/>
  <c r="C131" i="10" a="1"/>
  <c r="C131" i="10"/>
  <c r="D131" i="10"/>
  <c r="E131" i="10"/>
  <c r="F131" i="10"/>
  <c r="G131" i="10"/>
  <c r="H131" i="10" a="1"/>
  <c r="H131" i="10"/>
  <c r="I131" i="10"/>
  <c r="J131" i="10"/>
  <c r="K131" i="10"/>
  <c r="L131" i="10"/>
  <c r="M131" i="10"/>
  <c r="C132" i="10" a="1"/>
  <c r="C132" i="10"/>
  <c r="D132" i="10"/>
  <c r="E132" i="10"/>
  <c r="F132" i="10"/>
  <c r="G132" i="10"/>
  <c r="H132" i="10" a="1"/>
  <c r="H132" i="10"/>
  <c r="I132" i="10"/>
  <c r="J132" i="10"/>
  <c r="K132" i="10"/>
  <c r="L132" i="10"/>
  <c r="M132" i="10"/>
  <c r="C133" i="10" a="1"/>
  <c r="C133" i="10"/>
  <c r="D133" i="10"/>
  <c r="E133" i="10"/>
  <c r="F133" i="10"/>
  <c r="G133" i="10"/>
  <c r="H133" i="10" a="1"/>
  <c r="H133" i="10"/>
  <c r="I133" i="10"/>
  <c r="J133" i="10"/>
  <c r="K133" i="10"/>
  <c r="L133" i="10"/>
  <c r="M133" i="10"/>
  <c r="C134" i="10" a="1"/>
  <c r="C134" i="10"/>
  <c r="D134" i="10"/>
  <c r="E134" i="10"/>
  <c r="F134" i="10"/>
  <c r="G134" i="10"/>
  <c r="H134" i="10" a="1"/>
  <c r="H134" i="10"/>
  <c r="I134" i="10"/>
  <c r="J134" i="10"/>
  <c r="K134" i="10"/>
  <c r="L134" i="10"/>
  <c r="M134" i="10"/>
  <c r="C135" i="10" a="1"/>
  <c r="C135" i="10"/>
  <c r="D135" i="10"/>
  <c r="E135" i="10"/>
  <c r="F135" i="10"/>
  <c r="G135" i="10"/>
  <c r="H135" i="10" a="1"/>
  <c r="H135" i="10"/>
  <c r="I135" i="10"/>
  <c r="J135" i="10"/>
  <c r="K135" i="10"/>
  <c r="L135" i="10"/>
  <c r="M135" i="10"/>
  <c r="C136" i="10" a="1"/>
  <c r="C136" i="10"/>
  <c r="D136" i="10"/>
  <c r="E136" i="10"/>
  <c r="F136" i="10"/>
  <c r="G136" i="10"/>
  <c r="H136" i="10" a="1"/>
  <c r="H136" i="10"/>
  <c r="I136" i="10"/>
  <c r="J136" i="10"/>
  <c r="K136" i="10"/>
  <c r="L136" i="10"/>
  <c r="M136" i="10"/>
  <c r="C137" i="10" a="1"/>
  <c r="C137" i="10"/>
  <c r="D137" i="10"/>
  <c r="E137" i="10"/>
  <c r="F137" i="10"/>
  <c r="G137" i="10"/>
  <c r="H137" i="10" a="1"/>
  <c r="H137" i="10"/>
  <c r="I137" i="10"/>
  <c r="J137" i="10"/>
  <c r="K137" i="10"/>
  <c r="L137" i="10"/>
  <c r="M137" i="10"/>
  <c r="C138" i="10" a="1"/>
  <c r="C138" i="10"/>
  <c r="D138" i="10"/>
  <c r="E138" i="10"/>
  <c r="F138" i="10"/>
  <c r="G138" i="10"/>
  <c r="H138" i="10" a="1"/>
  <c r="H138" i="10"/>
  <c r="I138" i="10"/>
  <c r="J138" i="10"/>
  <c r="K138" i="10"/>
  <c r="L138" i="10"/>
  <c r="M138" i="10"/>
  <c r="C139" i="10" a="1"/>
  <c r="C139" i="10"/>
  <c r="D139" i="10"/>
  <c r="E139" i="10"/>
  <c r="F139" i="10"/>
  <c r="G139" i="10"/>
  <c r="H139" i="10" a="1"/>
  <c r="H139" i="10"/>
  <c r="I139" i="10"/>
  <c r="J139" i="10"/>
  <c r="K139" i="10"/>
  <c r="L139" i="10"/>
  <c r="M139" i="10"/>
  <c r="C140" i="10" a="1"/>
  <c r="C140" i="10"/>
  <c r="D140" i="10"/>
  <c r="E140" i="10"/>
  <c r="F140" i="10"/>
  <c r="G140" i="10"/>
  <c r="H140" i="10" a="1"/>
  <c r="H140" i="10"/>
  <c r="I140" i="10"/>
  <c r="J140" i="10"/>
  <c r="K140" i="10"/>
  <c r="L140" i="10"/>
  <c r="M140" i="10"/>
  <c r="C141" i="10" a="1"/>
  <c r="C141" i="10"/>
  <c r="D141" i="10"/>
  <c r="E141" i="10"/>
  <c r="F141" i="10"/>
  <c r="G141" i="10"/>
  <c r="H141" i="10" a="1"/>
  <c r="H141" i="10"/>
  <c r="I141" i="10"/>
  <c r="J141" i="10"/>
  <c r="K141" i="10"/>
  <c r="L141" i="10"/>
  <c r="M141" i="10"/>
  <c r="C142" i="10" a="1"/>
  <c r="C142" i="10"/>
  <c r="D142" i="10"/>
  <c r="E142" i="10"/>
  <c r="F142" i="10"/>
  <c r="G142" i="10"/>
  <c r="H142" i="10" a="1"/>
  <c r="H142" i="10"/>
  <c r="I142" i="10"/>
  <c r="J142" i="10"/>
  <c r="K142" i="10"/>
  <c r="L142" i="10"/>
  <c r="M142" i="10"/>
  <c r="C143" i="10" a="1"/>
  <c r="C143" i="10"/>
  <c r="D143" i="10"/>
  <c r="E143" i="10"/>
  <c r="F143" i="10"/>
  <c r="G143" i="10"/>
  <c r="H143" i="10" a="1"/>
  <c r="H143" i="10"/>
  <c r="I143" i="10"/>
  <c r="J143" i="10"/>
  <c r="K143" i="10"/>
  <c r="L143" i="10"/>
  <c r="M143" i="10"/>
  <c r="C144" i="10" a="1"/>
  <c r="C144" i="10"/>
  <c r="D144" i="10"/>
  <c r="E144" i="10"/>
  <c r="F144" i="10"/>
  <c r="G144" i="10"/>
  <c r="H144" i="10" a="1"/>
  <c r="H144" i="10"/>
  <c r="I144" i="10"/>
  <c r="J144" i="10"/>
  <c r="K144" i="10"/>
  <c r="L144" i="10"/>
  <c r="M144" i="10"/>
  <c r="C145" i="10" a="1"/>
  <c r="C145" i="10"/>
  <c r="D145" i="10"/>
  <c r="E145" i="10"/>
  <c r="F145" i="10"/>
  <c r="G145" i="10"/>
  <c r="H145" i="10" a="1"/>
  <c r="H145" i="10"/>
  <c r="I145" i="10"/>
  <c r="J145" i="10"/>
  <c r="K145" i="10"/>
  <c r="L145" i="10"/>
  <c r="M145" i="10"/>
  <c r="C146" i="10" a="1"/>
  <c r="C146" i="10"/>
  <c r="D146" i="10"/>
  <c r="E146" i="10"/>
  <c r="F146" i="10"/>
  <c r="G146" i="10"/>
  <c r="H146" i="10" a="1"/>
  <c r="H146" i="10"/>
  <c r="I146" i="10"/>
  <c r="J146" i="10"/>
  <c r="K146" i="10"/>
  <c r="L146" i="10"/>
  <c r="M146" i="10"/>
  <c r="C147" i="10" a="1"/>
  <c r="C147" i="10"/>
  <c r="D147" i="10"/>
  <c r="E147" i="10"/>
  <c r="F147" i="10"/>
  <c r="G147" i="10"/>
  <c r="H147" i="10" a="1"/>
  <c r="H147" i="10"/>
  <c r="I147" i="10"/>
  <c r="J147" i="10"/>
  <c r="K147" i="10"/>
  <c r="L147" i="10"/>
  <c r="M147" i="10"/>
  <c r="C148" i="10" a="1"/>
  <c r="C148" i="10"/>
  <c r="D148" i="10"/>
  <c r="E148" i="10"/>
  <c r="F148" i="10"/>
  <c r="G148" i="10"/>
  <c r="H148" i="10" a="1"/>
  <c r="H148" i="10"/>
  <c r="I148" i="10"/>
  <c r="J148" i="10"/>
  <c r="K148" i="10"/>
  <c r="L148" i="10"/>
  <c r="M148" i="10"/>
  <c r="C149" i="10" a="1"/>
  <c r="C149" i="10"/>
  <c r="D149" i="10"/>
  <c r="E149" i="10"/>
  <c r="F149" i="10"/>
  <c r="G149" i="10"/>
  <c r="H149" i="10" a="1"/>
  <c r="H149" i="10"/>
  <c r="I149" i="10"/>
  <c r="J149" i="10"/>
  <c r="K149" i="10"/>
  <c r="L149" i="10"/>
  <c r="M149" i="10"/>
  <c r="C150" i="10" a="1"/>
  <c r="C150" i="10"/>
  <c r="D150" i="10"/>
  <c r="E150" i="10"/>
  <c r="F150" i="10"/>
  <c r="G150" i="10"/>
  <c r="H150" i="10" a="1"/>
  <c r="H150" i="10"/>
  <c r="I150" i="10"/>
  <c r="J150" i="10"/>
  <c r="K150" i="10"/>
  <c r="L150" i="10"/>
  <c r="M150" i="10"/>
  <c r="C151" i="10" a="1"/>
  <c r="C151" i="10"/>
  <c r="D151" i="10"/>
  <c r="E151" i="10"/>
  <c r="F151" i="10"/>
  <c r="G151" i="10"/>
  <c r="H151" i="10" a="1"/>
  <c r="H151" i="10"/>
  <c r="I151" i="10"/>
  <c r="J151" i="10"/>
  <c r="K151" i="10"/>
  <c r="L151" i="10"/>
  <c r="M151" i="10"/>
  <c r="C152" i="10" a="1"/>
  <c r="C152" i="10"/>
  <c r="D152" i="10"/>
  <c r="E152" i="10"/>
  <c r="F152" i="10"/>
  <c r="G152" i="10"/>
  <c r="H152" i="10" a="1"/>
  <c r="H152" i="10"/>
  <c r="I152" i="10"/>
  <c r="J152" i="10"/>
  <c r="K152" i="10"/>
  <c r="L152" i="10"/>
  <c r="M152" i="10"/>
  <c r="C153" i="10" a="1"/>
  <c r="C153" i="10"/>
  <c r="D153" i="10"/>
  <c r="E153" i="10"/>
  <c r="F153" i="10"/>
  <c r="G153" i="10"/>
  <c r="H153" i="10" a="1"/>
  <c r="H153" i="10"/>
  <c r="I153" i="10"/>
  <c r="J153" i="10"/>
  <c r="K153" i="10"/>
  <c r="L153" i="10"/>
  <c r="M153" i="10"/>
  <c r="C154" i="10" a="1"/>
  <c r="C154" i="10"/>
  <c r="D154" i="10"/>
  <c r="E154" i="10"/>
  <c r="F154" i="10"/>
  <c r="G154" i="10"/>
  <c r="H154" i="10" a="1"/>
  <c r="H154" i="10"/>
  <c r="I154" i="10"/>
  <c r="J154" i="10"/>
  <c r="K154" i="10"/>
  <c r="L154" i="10"/>
  <c r="M154" i="10"/>
  <c r="C155" i="10" a="1"/>
  <c r="C155" i="10"/>
  <c r="D155" i="10"/>
  <c r="E155" i="10"/>
  <c r="F155" i="10"/>
  <c r="G155" i="10"/>
  <c r="H155" i="10" a="1"/>
  <c r="H155" i="10"/>
  <c r="I155" i="10"/>
  <c r="J155" i="10"/>
  <c r="K155" i="10"/>
  <c r="L155" i="10"/>
  <c r="M155" i="10"/>
  <c r="C156" i="10" a="1"/>
  <c r="C156" i="10"/>
  <c r="D156" i="10"/>
  <c r="E156" i="10"/>
  <c r="F156" i="10"/>
  <c r="G156" i="10"/>
  <c r="H156" i="10" a="1"/>
  <c r="H156" i="10"/>
  <c r="I156" i="10"/>
  <c r="J156" i="10"/>
  <c r="K156" i="10"/>
  <c r="L156" i="10"/>
  <c r="M156" i="10"/>
  <c r="C157" i="10" a="1"/>
  <c r="C157" i="10"/>
  <c r="D157" i="10"/>
  <c r="E157" i="10"/>
  <c r="F157" i="10"/>
  <c r="G157" i="10"/>
  <c r="H157" i="10" a="1"/>
  <c r="H157" i="10"/>
  <c r="I157" i="10"/>
  <c r="J157" i="10"/>
  <c r="K157" i="10"/>
  <c r="L157" i="10"/>
  <c r="M157" i="10"/>
  <c r="C158" i="10" a="1"/>
  <c r="C158" i="10"/>
  <c r="D158" i="10"/>
  <c r="E158" i="10"/>
  <c r="F158" i="10"/>
  <c r="G158" i="10"/>
  <c r="H158" i="10" a="1"/>
  <c r="H158" i="10"/>
  <c r="I158" i="10"/>
  <c r="J158" i="10"/>
  <c r="K158" i="10"/>
  <c r="L158" i="10"/>
  <c r="M158" i="10"/>
  <c r="C159" i="10" a="1"/>
  <c r="C159" i="10"/>
  <c r="D159" i="10"/>
  <c r="E159" i="10"/>
  <c r="F159" i="10"/>
  <c r="G159" i="10"/>
  <c r="H159" i="10" a="1"/>
  <c r="H159" i="10"/>
  <c r="I159" i="10"/>
  <c r="J159" i="10"/>
  <c r="K159" i="10"/>
  <c r="L159" i="10"/>
  <c r="M159" i="10"/>
  <c r="C160" i="10" a="1"/>
  <c r="C160" i="10"/>
  <c r="D160" i="10"/>
  <c r="E160" i="10"/>
  <c r="F160" i="10"/>
  <c r="G160" i="10"/>
  <c r="H160" i="10" a="1"/>
  <c r="H160" i="10"/>
  <c r="I160" i="10"/>
  <c r="J160" i="10"/>
  <c r="K160" i="10"/>
  <c r="L160" i="10"/>
  <c r="M160" i="10"/>
  <c r="C161" i="10" a="1"/>
  <c r="C161" i="10"/>
  <c r="D161" i="10"/>
  <c r="E161" i="10"/>
  <c r="F161" i="10"/>
  <c r="G161" i="10"/>
  <c r="H161" i="10" a="1"/>
  <c r="H161" i="10"/>
  <c r="I161" i="10"/>
  <c r="J161" i="10"/>
  <c r="K161" i="10"/>
  <c r="L161" i="10"/>
  <c r="M161" i="10"/>
  <c r="C162" i="10" a="1"/>
  <c r="C162" i="10"/>
  <c r="D162" i="10"/>
  <c r="E162" i="10"/>
  <c r="F162" i="10"/>
  <c r="G162" i="10"/>
  <c r="H162" i="10" a="1"/>
  <c r="H162" i="10"/>
  <c r="I162" i="10"/>
  <c r="J162" i="10"/>
  <c r="K162" i="10"/>
  <c r="L162" i="10"/>
  <c r="M162" i="10"/>
  <c r="C163" i="10" a="1"/>
  <c r="C163" i="10"/>
  <c r="D163" i="10"/>
  <c r="E163" i="10"/>
  <c r="F163" i="10"/>
  <c r="G163" i="10"/>
  <c r="H163" i="10" a="1"/>
  <c r="H163" i="10"/>
  <c r="I163" i="10"/>
  <c r="J163" i="10"/>
  <c r="K163" i="10"/>
  <c r="L163" i="10"/>
  <c r="M163" i="10"/>
  <c r="C164" i="10" a="1"/>
  <c r="C164" i="10"/>
  <c r="D164" i="10"/>
  <c r="E164" i="10"/>
  <c r="F164" i="10"/>
  <c r="G164" i="10"/>
  <c r="H164" i="10" a="1"/>
  <c r="H164" i="10"/>
  <c r="I164" i="10"/>
  <c r="J164" i="10"/>
  <c r="K164" i="10"/>
  <c r="L164" i="10"/>
  <c r="M164" i="10"/>
  <c r="C165" i="10" a="1"/>
  <c r="C165" i="10"/>
  <c r="D165" i="10"/>
  <c r="E165" i="10"/>
  <c r="F165" i="10"/>
  <c r="G165" i="10"/>
  <c r="H165" i="10" a="1"/>
  <c r="H165" i="10"/>
  <c r="I165" i="10"/>
  <c r="J165" i="10"/>
  <c r="K165" i="10"/>
  <c r="L165" i="10"/>
  <c r="M165" i="10"/>
  <c r="C166" i="10" a="1"/>
  <c r="C166" i="10"/>
  <c r="D166" i="10"/>
  <c r="E166" i="10"/>
  <c r="F166" i="10"/>
  <c r="G166" i="10"/>
  <c r="H166" i="10" a="1"/>
  <c r="H166" i="10"/>
  <c r="I166" i="10"/>
  <c r="J166" i="10"/>
  <c r="K166" i="10"/>
  <c r="L166" i="10"/>
  <c r="M166" i="10"/>
  <c r="C167" i="10" a="1"/>
  <c r="C167" i="10"/>
  <c r="D167" i="10"/>
  <c r="E167" i="10"/>
  <c r="F167" i="10"/>
  <c r="G167" i="10"/>
  <c r="H167" i="10" a="1"/>
  <c r="H167" i="10"/>
  <c r="I167" i="10"/>
  <c r="J167" i="10"/>
  <c r="K167" i="10"/>
  <c r="L167" i="10"/>
  <c r="M167" i="10"/>
  <c r="C168" i="10" a="1"/>
  <c r="C168" i="10"/>
  <c r="D168" i="10"/>
  <c r="E168" i="10"/>
  <c r="F168" i="10"/>
  <c r="G168" i="10"/>
  <c r="H168" i="10" a="1"/>
  <c r="H168" i="10"/>
  <c r="I168" i="10"/>
  <c r="J168" i="10"/>
  <c r="K168" i="10"/>
  <c r="L168" i="10"/>
  <c r="M168" i="10"/>
  <c r="C169" i="10" a="1"/>
  <c r="C169" i="10"/>
  <c r="D169" i="10"/>
  <c r="E169" i="10"/>
  <c r="F169" i="10"/>
  <c r="G169" i="10"/>
  <c r="H169" i="10" a="1"/>
  <c r="H169" i="10"/>
  <c r="I169" i="10"/>
  <c r="J169" i="10"/>
  <c r="K169" i="10"/>
  <c r="L169" i="10"/>
  <c r="M169" i="10"/>
  <c r="C170" i="10" a="1"/>
  <c r="C170" i="10"/>
  <c r="D170" i="10"/>
  <c r="E170" i="10"/>
  <c r="F170" i="10"/>
  <c r="G170" i="10"/>
  <c r="H170" i="10" a="1"/>
  <c r="H170" i="10"/>
  <c r="I170" i="10"/>
  <c r="J170" i="10"/>
  <c r="K170" i="10"/>
  <c r="L170" i="10"/>
  <c r="M170" i="10"/>
  <c r="C171" i="10" a="1"/>
  <c r="C171" i="10"/>
  <c r="D171" i="10"/>
  <c r="E171" i="10"/>
  <c r="F171" i="10"/>
  <c r="G171" i="10"/>
  <c r="H171" i="10" a="1"/>
  <c r="H171" i="10"/>
  <c r="I171" i="10"/>
  <c r="J171" i="10"/>
  <c r="K171" i="10"/>
  <c r="L171" i="10"/>
  <c r="M171" i="10"/>
  <c r="C172" i="10" a="1"/>
  <c r="C172" i="10"/>
  <c r="D172" i="10"/>
  <c r="E172" i="10"/>
  <c r="F172" i="10"/>
  <c r="G172" i="10"/>
  <c r="H172" i="10" a="1"/>
  <c r="H172" i="10"/>
  <c r="I172" i="10"/>
  <c r="J172" i="10"/>
  <c r="K172" i="10"/>
  <c r="L172" i="10"/>
  <c r="M172" i="10"/>
  <c r="C173" i="10" a="1"/>
  <c r="C173" i="10"/>
  <c r="D173" i="10"/>
  <c r="E173" i="10"/>
  <c r="F173" i="10"/>
  <c r="G173" i="10"/>
  <c r="H173" i="10" a="1"/>
  <c r="H173" i="10"/>
  <c r="I173" i="10"/>
  <c r="J173" i="10"/>
  <c r="K173" i="10"/>
  <c r="L173" i="10"/>
  <c r="M173" i="10"/>
  <c r="C174" i="10" a="1"/>
  <c r="C174" i="10"/>
  <c r="D174" i="10"/>
  <c r="E174" i="10"/>
  <c r="F174" i="10"/>
  <c r="G174" i="10"/>
  <c r="H174" i="10" a="1"/>
  <c r="H174" i="10"/>
  <c r="I174" i="10"/>
  <c r="J174" i="10"/>
  <c r="K174" i="10"/>
  <c r="L174" i="10"/>
  <c r="M174" i="10"/>
  <c r="C175" i="10" a="1"/>
  <c r="C175" i="10"/>
  <c r="D175" i="10"/>
  <c r="E175" i="10"/>
  <c r="F175" i="10"/>
  <c r="G175" i="10"/>
  <c r="H175" i="10" a="1"/>
  <c r="H175" i="10"/>
  <c r="I175" i="10"/>
  <c r="J175" i="10"/>
  <c r="K175" i="10"/>
  <c r="L175" i="10"/>
  <c r="M175" i="10"/>
  <c r="C176" i="10" a="1"/>
  <c r="C176" i="10"/>
  <c r="D176" i="10"/>
  <c r="E176" i="10"/>
  <c r="F176" i="10"/>
  <c r="G176" i="10"/>
  <c r="H176" i="10" a="1"/>
  <c r="H176" i="10"/>
  <c r="I176" i="10"/>
  <c r="J176" i="10"/>
  <c r="K176" i="10"/>
  <c r="L176" i="10"/>
  <c r="M176" i="10"/>
  <c r="C177" i="10" a="1"/>
  <c r="C177" i="10"/>
  <c r="D177" i="10"/>
  <c r="E177" i="10"/>
  <c r="F177" i="10"/>
  <c r="G177" i="10"/>
  <c r="H177" i="10" a="1"/>
  <c r="H177" i="10"/>
  <c r="I177" i="10"/>
  <c r="J177" i="10"/>
  <c r="K177" i="10"/>
  <c r="L177" i="10"/>
  <c r="M177" i="10"/>
  <c r="C178" i="10" a="1"/>
  <c r="C178" i="10"/>
  <c r="D178" i="10"/>
  <c r="E178" i="10"/>
  <c r="F178" i="10"/>
  <c r="G178" i="10"/>
  <c r="H178" i="10" a="1"/>
  <c r="H178" i="10"/>
  <c r="I178" i="10"/>
  <c r="J178" i="10"/>
  <c r="K178" i="10"/>
  <c r="L178" i="10"/>
  <c r="M178" i="10"/>
  <c r="C179" i="10" a="1"/>
  <c r="C179" i="10"/>
  <c r="D179" i="10"/>
  <c r="E179" i="10"/>
  <c r="F179" i="10"/>
  <c r="G179" i="10"/>
  <c r="H179" i="10" a="1"/>
  <c r="H179" i="10"/>
  <c r="I179" i="10"/>
  <c r="J179" i="10"/>
  <c r="K179" i="10"/>
  <c r="L179" i="10"/>
  <c r="M179" i="10"/>
  <c r="C180" i="10" a="1"/>
  <c r="C180" i="10"/>
  <c r="D180" i="10"/>
  <c r="E180" i="10"/>
  <c r="F180" i="10"/>
  <c r="G180" i="10"/>
  <c r="H180" i="10" a="1"/>
  <c r="H180" i="10"/>
  <c r="I180" i="10"/>
  <c r="J180" i="10"/>
  <c r="K180" i="10"/>
  <c r="L180" i="10"/>
  <c r="M180" i="10"/>
  <c r="C181" i="10" a="1"/>
  <c r="C181" i="10"/>
  <c r="D181" i="10"/>
  <c r="E181" i="10"/>
  <c r="F181" i="10"/>
  <c r="G181" i="10"/>
  <c r="H181" i="10" a="1"/>
  <c r="H181" i="10"/>
  <c r="I181" i="10"/>
  <c r="J181" i="10"/>
  <c r="K181" i="10"/>
  <c r="L181" i="10"/>
  <c r="M181" i="10"/>
  <c r="C182" i="10" a="1"/>
  <c r="C182" i="10"/>
  <c r="D182" i="10"/>
  <c r="E182" i="10"/>
  <c r="F182" i="10"/>
  <c r="G182" i="10"/>
  <c r="H182" i="10" a="1"/>
  <c r="H182" i="10"/>
  <c r="I182" i="10"/>
  <c r="J182" i="10"/>
  <c r="K182" i="10"/>
  <c r="L182" i="10"/>
  <c r="M182" i="10"/>
  <c r="C183" i="10" a="1"/>
  <c r="C183" i="10"/>
  <c r="D183" i="10"/>
  <c r="E183" i="10"/>
  <c r="F183" i="10"/>
  <c r="G183" i="10"/>
  <c r="H183" i="10" a="1"/>
  <c r="H183" i="10"/>
  <c r="I183" i="10"/>
  <c r="J183" i="10"/>
  <c r="K183" i="10"/>
  <c r="L183" i="10"/>
  <c r="M183" i="10"/>
  <c r="C184" i="10" a="1"/>
  <c r="C184" i="10"/>
  <c r="D184" i="10"/>
  <c r="E184" i="10"/>
  <c r="F184" i="10"/>
  <c r="G184" i="10"/>
  <c r="H184" i="10" a="1"/>
  <c r="H184" i="10"/>
  <c r="I184" i="10"/>
  <c r="J184" i="10"/>
  <c r="K184" i="10"/>
  <c r="L184" i="10"/>
  <c r="M184" i="10"/>
  <c r="C185" i="10" a="1"/>
  <c r="C185" i="10"/>
  <c r="D185" i="10"/>
  <c r="E185" i="10"/>
  <c r="F185" i="10"/>
  <c r="G185" i="10"/>
  <c r="H185" i="10" a="1"/>
  <c r="H185" i="10"/>
  <c r="I185" i="10"/>
  <c r="J185" i="10"/>
  <c r="K185" i="10"/>
  <c r="L185" i="10"/>
  <c r="M185" i="10"/>
  <c r="C186" i="10" a="1"/>
  <c r="C186" i="10"/>
  <c r="D186" i="10"/>
  <c r="E186" i="10"/>
  <c r="F186" i="10"/>
  <c r="G186" i="10"/>
  <c r="H186" i="10" a="1"/>
  <c r="H186" i="10"/>
  <c r="I186" i="10"/>
  <c r="J186" i="10"/>
  <c r="K186" i="10"/>
  <c r="L186" i="10"/>
  <c r="M186" i="10"/>
  <c r="C187" i="10" a="1"/>
  <c r="C187" i="10"/>
  <c r="D187" i="10"/>
  <c r="E187" i="10"/>
  <c r="F187" i="10"/>
  <c r="G187" i="10"/>
  <c r="H187" i="10" a="1"/>
  <c r="H187" i="10"/>
  <c r="I187" i="10"/>
  <c r="J187" i="10"/>
  <c r="K187" i="10"/>
  <c r="L187" i="10"/>
  <c r="M187" i="10"/>
  <c r="C188" i="10" a="1"/>
  <c r="C188" i="10"/>
  <c r="D188" i="10"/>
  <c r="E188" i="10"/>
  <c r="F188" i="10"/>
  <c r="G188" i="10"/>
  <c r="H188" i="10" a="1"/>
  <c r="H188" i="10"/>
  <c r="I188" i="10"/>
  <c r="J188" i="10"/>
  <c r="K188" i="10"/>
  <c r="L188" i="10"/>
  <c r="M188" i="10"/>
  <c r="C189" i="10" a="1"/>
  <c r="C189" i="10"/>
  <c r="D189" i="10"/>
  <c r="E189" i="10"/>
  <c r="F189" i="10"/>
  <c r="G189" i="10"/>
  <c r="H189" i="10" a="1"/>
  <c r="H189" i="10"/>
  <c r="I189" i="10"/>
  <c r="J189" i="10"/>
  <c r="K189" i="10"/>
  <c r="L189" i="10"/>
  <c r="M189" i="10"/>
  <c r="C190" i="10" a="1"/>
  <c r="C190" i="10"/>
  <c r="D190" i="10"/>
  <c r="E190" i="10"/>
  <c r="F190" i="10"/>
  <c r="G190" i="10"/>
  <c r="H190" i="10" a="1"/>
  <c r="H190" i="10"/>
  <c r="I190" i="10"/>
  <c r="J190" i="10"/>
  <c r="K190" i="10"/>
  <c r="L190" i="10"/>
  <c r="M190" i="10"/>
  <c r="C191" i="10" a="1"/>
  <c r="C191" i="10"/>
  <c r="D191" i="10"/>
  <c r="E191" i="10"/>
  <c r="F191" i="10"/>
  <c r="G191" i="10"/>
  <c r="H191" i="10" a="1"/>
  <c r="H191" i="10"/>
  <c r="I191" i="10"/>
  <c r="J191" i="10"/>
  <c r="K191" i="10"/>
  <c r="L191" i="10"/>
  <c r="M191" i="10"/>
  <c r="C192" i="10" a="1"/>
  <c r="C192" i="10"/>
  <c r="D192" i="10"/>
  <c r="E192" i="10"/>
  <c r="F192" i="10"/>
  <c r="G192" i="10"/>
  <c r="H192" i="10" a="1"/>
  <c r="H192" i="10"/>
  <c r="I192" i="10"/>
  <c r="J192" i="10"/>
  <c r="K192" i="10"/>
  <c r="L192" i="10"/>
  <c r="M192" i="10"/>
  <c r="C193" i="10" a="1"/>
  <c r="C193" i="10"/>
  <c r="D193" i="10"/>
  <c r="E193" i="10"/>
  <c r="F193" i="10"/>
  <c r="G193" i="10"/>
  <c r="H193" i="10" a="1"/>
  <c r="H193" i="10"/>
  <c r="I193" i="10"/>
  <c r="J193" i="10"/>
  <c r="K193" i="10"/>
  <c r="L193" i="10"/>
  <c r="M193" i="10"/>
  <c r="C194" i="10" a="1"/>
  <c r="C194" i="10"/>
  <c r="D194" i="10"/>
  <c r="E194" i="10"/>
  <c r="F194" i="10"/>
  <c r="G194" i="10"/>
  <c r="H194" i="10" a="1"/>
  <c r="H194" i="10"/>
  <c r="I194" i="10"/>
  <c r="J194" i="10"/>
  <c r="K194" i="10"/>
  <c r="L194" i="10"/>
  <c r="M194" i="10"/>
  <c r="C195" i="10" a="1"/>
  <c r="C195" i="10"/>
  <c r="D195" i="10"/>
  <c r="E195" i="10"/>
  <c r="F195" i="10"/>
  <c r="G195" i="10"/>
  <c r="H195" i="10" a="1"/>
  <c r="H195" i="10"/>
  <c r="I195" i="10"/>
  <c r="J195" i="10"/>
  <c r="K195" i="10"/>
  <c r="L195" i="10"/>
  <c r="M195" i="10"/>
  <c r="C196" i="10" a="1"/>
  <c r="C196" i="10"/>
  <c r="D196" i="10"/>
  <c r="E196" i="10"/>
  <c r="F196" i="10"/>
  <c r="G196" i="10"/>
  <c r="H196" i="10" a="1"/>
  <c r="H196" i="10"/>
  <c r="I196" i="10"/>
  <c r="J196" i="10"/>
  <c r="K196" i="10"/>
  <c r="L196" i="10"/>
  <c r="M196" i="10"/>
  <c r="C197" i="10" a="1"/>
  <c r="C197" i="10"/>
  <c r="D197" i="10"/>
  <c r="E197" i="10"/>
  <c r="F197" i="10"/>
  <c r="G197" i="10"/>
  <c r="H197" i="10" a="1"/>
  <c r="H197" i="10"/>
  <c r="I197" i="10"/>
  <c r="J197" i="10"/>
  <c r="K197" i="10"/>
  <c r="L197" i="10"/>
  <c r="M197" i="10"/>
  <c r="C198" i="10" a="1"/>
  <c r="C198" i="10"/>
  <c r="D198" i="10"/>
  <c r="E198" i="10"/>
  <c r="F198" i="10"/>
  <c r="G198" i="10"/>
  <c r="H198" i="10" a="1"/>
  <c r="H198" i="10"/>
  <c r="I198" i="10"/>
  <c r="J198" i="10"/>
  <c r="K198" i="10"/>
  <c r="L198" i="10"/>
  <c r="M198" i="10"/>
  <c r="C199" i="10" a="1"/>
  <c r="C199" i="10"/>
  <c r="D199" i="10"/>
  <c r="E199" i="10"/>
  <c r="F199" i="10"/>
  <c r="G199" i="10"/>
  <c r="H199" i="10" a="1"/>
  <c r="H199" i="10"/>
  <c r="I199" i="10"/>
  <c r="J199" i="10"/>
  <c r="K199" i="10"/>
  <c r="L199" i="10"/>
  <c r="M199" i="10"/>
  <c r="C200" i="10" a="1"/>
  <c r="C200" i="10"/>
  <c r="D200" i="10"/>
  <c r="E200" i="10"/>
  <c r="F200" i="10"/>
  <c r="G200" i="10"/>
  <c r="H200" i="10" a="1"/>
  <c r="H200" i="10"/>
  <c r="I200" i="10"/>
  <c r="J200" i="10"/>
  <c r="K200" i="10"/>
  <c r="L200" i="10"/>
  <c r="M200" i="10"/>
  <c r="C201" i="10" a="1"/>
  <c r="C201" i="10"/>
  <c r="D201" i="10"/>
  <c r="E201" i="10"/>
  <c r="F201" i="10"/>
  <c r="G201" i="10"/>
  <c r="H201" i="10" a="1"/>
  <c r="H201" i="10"/>
  <c r="I201" i="10"/>
  <c r="J201" i="10"/>
  <c r="K201" i="10"/>
  <c r="L201" i="10"/>
  <c r="M201" i="10"/>
  <c r="C202" i="10" a="1"/>
  <c r="C202" i="10"/>
  <c r="D202" i="10"/>
  <c r="E202" i="10"/>
  <c r="F202" i="10"/>
  <c r="G202" i="10"/>
  <c r="H202" i="10" a="1"/>
  <c r="H202" i="10"/>
  <c r="I202" i="10"/>
  <c r="J202" i="10"/>
  <c r="K202" i="10"/>
  <c r="L202" i="10"/>
  <c r="M202" i="10"/>
  <c r="C203" i="10" a="1"/>
  <c r="C203" i="10"/>
  <c r="D203" i="10"/>
  <c r="E203" i="10"/>
  <c r="F203" i="10"/>
  <c r="G203" i="10"/>
  <c r="H203" i="10" a="1"/>
  <c r="H203" i="10"/>
  <c r="I203" i="10"/>
  <c r="J203" i="10"/>
  <c r="K203" i="10"/>
  <c r="L203" i="10"/>
  <c r="M203" i="10"/>
  <c r="C204" i="10" a="1"/>
  <c r="C204" i="10"/>
  <c r="D204" i="10"/>
  <c r="E204" i="10"/>
  <c r="F204" i="10"/>
  <c r="G204" i="10"/>
  <c r="H204" i="10" a="1"/>
  <c r="H204" i="10"/>
  <c r="I204" i="10"/>
  <c r="J204" i="10"/>
  <c r="K204" i="10"/>
  <c r="L204" i="10"/>
  <c r="M204" i="10"/>
  <c r="C205" i="10" a="1"/>
  <c r="C205" i="10"/>
  <c r="D205" i="10"/>
  <c r="E205" i="10"/>
  <c r="F205" i="10"/>
  <c r="G205" i="10"/>
  <c r="H205" i="10" a="1"/>
  <c r="H205" i="10"/>
  <c r="I205" i="10"/>
  <c r="J205" i="10"/>
  <c r="K205" i="10"/>
  <c r="L205" i="10"/>
  <c r="M205" i="10"/>
  <c r="C206" i="10" a="1"/>
  <c r="C206" i="10"/>
  <c r="D206" i="10"/>
  <c r="E206" i="10"/>
  <c r="F206" i="10"/>
  <c r="G206" i="10"/>
  <c r="H206" i="10" a="1"/>
  <c r="H206" i="10"/>
  <c r="I206" i="10"/>
  <c r="J206" i="10"/>
  <c r="K206" i="10"/>
  <c r="L206" i="10"/>
  <c r="M206" i="10"/>
  <c r="C207" i="10" a="1"/>
  <c r="C207" i="10"/>
  <c r="D207" i="10"/>
  <c r="E207" i="10"/>
  <c r="F207" i="10"/>
  <c r="G207" i="10"/>
  <c r="H207" i="10" a="1"/>
  <c r="H207" i="10"/>
  <c r="I207" i="10"/>
  <c r="J207" i="10"/>
  <c r="K207" i="10"/>
  <c r="L207" i="10"/>
  <c r="M207" i="10"/>
  <c r="C208" i="10" a="1"/>
  <c r="C208" i="10"/>
  <c r="D208" i="10"/>
  <c r="E208" i="10"/>
  <c r="F208" i="10"/>
  <c r="G208" i="10"/>
  <c r="H208" i="10" a="1"/>
  <c r="H208" i="10"/>
  <c r="I208" i="10"/>
  <c r="J208" i="10"/>
  <c r="K208" i="10"/>
  <c r="L208" i="10"/>
  <c r="M208" i="10"/>
  <c r="C209" i="10" a="1"/>
  <c r="C209" i="10"/>
  <c r="D209" i="10"/>
  <c r="E209" i="10"/>
  <c r="F209" i="10"/>
  <c r="G209" i="10"/>
  <c r="H209" i="10" a="1"/>
  <c r="H209" i="10"/>
  <c r="I209" i="10"/>
  <c r="J209" i="10"/>
  <c r="K209" i="10"/>
  <c r="L209" i="10"/>
  <c r="M209" i="10"/>
  <c r="C210" i="10" a="1"/>
  <c r="C210" i="10"/>
  <c r="D210" i="10"/>
  <c r="E210" i="10"/>
  <c r="F210" i="10"/>
  <c r="G210" i="10"/>
  <c r="H210" i="10" a="1"/>
  <c r="H210" i="10"/>
  <c r="I210" i="10"/>
  <c r="J210" i="10"/>
  <c r="K210" i="10"/>
  <c r="L210" i="10"/>
  <c r="M210" i="10"/>
  <c r="C211" i="10" a="1"/>
  <c r="C211" i="10"/>
  <c r="D211" i="10"/>
  <c r="E211" i="10"/>
  <c r="F211" i="10"/>
  <c r="G211" i="10"/>
  <c r="H211" i="10" a="1"/>
  <c r="H211" i="10"/>
  <c r="I211" i="10"/>
  <c r="J211" i="10"/>
  <c r="K211" i="10"/>
  <c r="L211" i="10"/>
  <c r="M211" i="10"/>
  <c r="C212" i="10" a="1"/>
  <c r="C212" i="10"/>
  <c r="D212" i="10"/>
  <c r="E212" i="10"/>
  <c r="F212" i="10"/>
  <c r="G212" i="10"/>
  <c r="H212" i="10" a="1"/>
  <c r="H212" i="10"/>
  <c r="I212" i="10"/>
  <c r="J212" i="10"/>
  <c r="K212" i="10"/>
  <c r="L212" i="10"/>
  <c r="M212" i="10"/>
  <c r="C213" i="10" a="1"/>
  <c r="C213" i="10"/>
  <c r="D213" i="10"/>
  <c r="E213" i="10"/>
  <c r="F213" i="10"/>
  <c r="G213" i="10"/>
  <c r="H213" i="10" a="1"/>
  <c r="H213" i="10"/>
  <c r="I213" i="10"/>
  <c r="J213" i="10"/>
  <c r="K213" i="10"/>
  <c r="L213" i="10"/>
  <c r="M213" i="10"/>
  <c r="C214" i="10" a="1"/>
  <c r="C214" i="10"/>
  <c r="D214" i="10"/>
  <c r="E214" i="10"/>
  <c r="F214" i="10"/>
  <c r="G214" i="10"/>
  <c r="H214" i="10" a="1"/>
  <c r="H214" i="10"/>
  <c r="I214" i="10"/>
  <c r="J214" i="10"/>
  <c r="K214" i="10"/>
  <c r="L214" i="10"/>
  <c r="M214" i="10"/>
  <c r="C215" i="10" a="1"/>
  <c r="C215" i="10"/>
  <c r="D215" i="10"/>
  <c r="E215" i="10"/>
  <c r="F215" i="10"/>
  <c r="G215" i="10"/>
  <c r="H215" i="10" a="1"/>
  <c r="H215" i="10"/>
  <c r="I215" i="10"/>
  <c r="J215" i="10"/>
  <c r="K215" i="10"/>
  <c r="L215" i="10"/>
  <c r="M215" i="10"/>
  <c r="C216" i="10" a="1"/>
  <c r="C216" i="10"/>
  <c r="D216" i="10"/>
  <c r="E216" i="10"/>
  <c r="F216" i="10"/>
  <c r="G216" i="10"/>
  <c r="H216" i="10" a="1"/>
  <c r="H216" i="10"/>
  <c r="I216" i="10"/>
  <c r="J216" i="10"/>
  <c r="K216" i="10"/>
  <c r="L216" i="10"/>
  <c r="M216" i="10"/>
  <c r="C217" i="10" a="1"/>
  <c r="C217" i="10"/>
  <c r="D217" i="10"/>
  <c r="E217" i="10"/>
  <c r="F217" i="10"/>
  <c r="G217" i="10"/>
  <c r="H217" i="10" a="1"/>
  <c r="H217" i="10"/>
  <c r="I217" i="10"/>
  <c r="J217" i="10"/>
  <c r="K217" i="10"/>
  <c r="L217" i="10"/>
  <c r="M217" i="10"/>
  <c r="C218" i="10" a="1"/>
  <c r="C218" i="10"/>
  <c r="D218" i="10"/>
  <c r="E218" i="10"/>
  <c r="F218" i="10"/>
  <c r="G218" i="10"/>
  <c r="H218" i="10" a="1"/>
  <c r="H218" i="10"/>
  <c r="I218" i="10"/>
  <c r="J218" i="10"/>
  <c r="K218" i="10"/>
  <c r="L218" i="10"/>
  <c r="M218" i="10"/>
  <c r="C219" i="10" a="1"/>
  <c r="C219" i="10"/>
  <c r="D219" i="10"/>
  <c r="E219" i="10"/>
  <c r="F219" i="10"/>
  <c r="G219" i="10"/>
  <c r="H219" i="10" a="1"/>
  <c r="H219" i="10"/>
  <c r="I219" i="10"/>
  <c r="J219" i="10"/>
  <c r="K219" i="10"/>
  <c r="L219" i="10"/>
  <c r="M219" i="10"/>
  <c r="C220" i="10" a="1"/>
  <c r="C220" i="10"/>
  <c r="D220" i="10"/>
  <c r="E220" i="10"/>
  <c r="F220" i="10"/>
  <c r="G220" i="10"/>
  <c r="H220" i="10" a="1"/>
  <c r="H220" i="10"/>
  <c r="I220" i="10"/>
  <c r="J220" i="10"/>
  <c r="K220" i="10"/>
  <c r="L220" i="10"/>
  <c r="M220" i="10"/>
  <c r="C221" i="10" a="1"/>
  <c r="C221" i="10"/>
  <c r="D221" i="10"/>
  <c r="E221" i="10"/>
  <c r="F221" i="10"/>
  <c r="G221" i="10"/>
  <c r="H221" i="10" a="1"/>
  <c r="H221" i="10"/>
  <c r="I221" i="10"/>
  <c r="J221" i="10"/>
  <c r="K221" i="10"/>
  <c r="L221" i="10"/>
  <c r="M221" i="10"/>
  <c r="C222" i="10" a="1"/>
  <c r="C222" i="10"/>
  <c r="D222" i="10"/>
  <c r="E222" i="10"/>
  <c r="F222" i="10"/>
  <c r="G222" i="10"/>
  <c r="H222" i="10" a="1"/>
  <c r="H222" i="10"/>
  <c r="I222" i="10"/>
  <c r="J222" i="10"/>
  <c r="K222" i="10"/>
  <c r="L222" i="10"/>
  <c r="M222" i="10"/>
  <c r="C223" i="10" a="1"/>
  <c r="C223" i="10"/>
  <c r="D223" i="10"/>
  <c r="E223" i="10"/>
  <c r="F223" i="10"/>
  <c r="G223" i="10"/>
  <c r="H223" i="10" a="1"/>
  <c r="H223" i="10"/>
  <c r="I223" i="10"/>
  <c r="J223" i="10"/>
  <c r="K223" i="10"/>
  <c r="L223" i="10"/>
  <c r="M223" i="10"/>
  <c r="C224" i="10" a="1"/>
  <c r="C224" i="10"/>
  <c r="D224" i="10"/>
  <c r="E224" i="10"/>
  <c r="F224" i="10"/>
  <c r="G224" i="10"/>
  <c r="H224" i="10" a="1"/>
  <c r="H224" i="10"/>
  <c r="I224" i="10"/>
  <c r="J224" i="10"/>
  <c r="K224" i="10"/>
  <c r="L224" i="10"/>
  <c r="M224" i="10"/>
  <c r="C225" i="10" a="1"/>
  <c r="C225" i="10"/>
  <c r="D225" i="10"/>
  <c r="E225" i="10"/>
  <c r="F225" i="10"/>
  <c r="G225" i="10"/>
  <c r="H225" i="10" a="1"/>
  <c r="H225" i="10"/>
  <c r="I225" i="10"/>
  <c r="J225" i="10"/>
  <c r="K225" i="10"/>
  <c r="L225" i="10"/>
  <c r="M225" i="10"/>
  <c r="C226" i="10" a="1"/>
  <c r="C226" i="10"/>
  <c r="D226" i="10"/>
  <c r="E226" i="10"/>
  <c r="F226" i="10"/>
  <c r="G226" i="10"/>
  <c r="H226" i="10" a="1"/>
  <c r="H226" i="10"/>
  <c r="I226" i="10"/>
  <c r="J226" i="10"/>
  <c r="K226" i="10"/>
  <c r="L226" i="10"/>
  <c r="M226" i="10"/>
  <c r="C227" i="10" a="1"/>
  <c r="C227" i="10"/>
  <c r="D227" i="10"/>
  <c r="E227" i="10"/>
  <c r="F227" i="10"/>
  <c r="G227" i="10"/>
  <c r="H227" i="10" a="1"/>
  <c r="H227" i="10"/>
  <c r="I227" i="10"/>
  <c r="J227" i="10"/>
  <c r="K227" i="10"/>
  <c r="L227" i="10"/>
  <c r="M227" i="10"/>
  <c r="C228" i="10" a="1"/>
  <c r="C228" i="10"/>
  <c r="D228" i="10"/>
  <c r="E228" i="10"/>
  <c r="F228" i="10"/>
  <c r="G228" i="10"/>
  <c r="H228" i="10" a="1"/>
  <c r="H228" i="10"/>
  <c r="I228" i="10"/>
  <c r="J228" i="10"/>
  <c r="K228" i="10"/>
  <c r="L228" i="10"/>
  <c r="M228" i="10"/>
  <c r="C229" i="10" a="1"/>
  <c r="C229" i="10"/>
  <c r="D229" i="10"/>
  <c r="E229" i="10"/>
  <c r="F229" i="10"/>
  <c r="G229" i="10"/>
  <c r="H229" i="10" a="1"/>
  <c r="H229" i="10"/>
  <c r="I229" i="10"/>
  <c r="J229" i="10"/>
  <c r="K229" i="10"/>
  <c r="L229" i="10"/>
  <c r="M229" i="10"/>
  <c r="C230" i="10" a="1"/>
  <c r="C230" i="10"/>
  <c r="D230" i="10"/>
  <c r="E230" i="10"/>
  <c r="F230" i="10"/>
  <c r="G230" i="10"/>
  <c r="H230" i="10" a="1"/>
  <c r="H230" i="10"/>
  <c r="I230" i="10"/>
  <c r="J230" i="10"/>
  <c r="K230" i="10"/>
  <c r="L230" i="10"/>
  <c r="M230" i="10"/>
  <c r="C231" i="10" a="1"/>
  <c r="C231" i="10"/>
  <c r="D231" i="10"/>
  <c r="E231" i="10"/>
  <c r="F231" i="10"/>
  <c r="G231" i="10"/>
  <c r="H231" i="10" a="1"/>
  <c r="H231" i="10"/>
  <c r="I231" i="10"/>
  <c r="J231" i="10"/>
  <c r="K231" i="10"/>
  <c r="L231" i="10"/>
  <c r="M231" i="10"/>
  <c r="C232" i="10" a="1"/>
  <c r="C232" i="10"/>
  <c r="D232" i="10"/>
  <c r="E232" i="10"/>
  <c r="F232" i="10"/>
  <c r="G232" i="10"/>
  <c r="H232" i="10" a="1"/>
  <c r="H232" i="10"/>
  <c r="I232" i="10"/>
  <c r="J232" i="10"/>
  <c r="K232" i="10"/>
  <c r="L232" i="10"/>
  <c r="M232" i="10"/>
  <c r="C233" i="10" a="1"/>
  <c r="C233" i="10"/>
  <c r="D233" i="10"/>
  <c r="E233" i="10"/>
  <c r="F233" i="10"/>
  <c r="G233" i="10"/>
  <c r="H233" i="10" a="1"/>
  <c r="H233" i="10"/>
  <c r="I233" i="10"/>
  <c r="J233" i="10"/>
  <c r="K233" i="10"/>
  <c r="L233" i="10"/>
  <c r="M233" i="10"/>
  <c r="C234" i="10" a="1"/>
  <c r="C234" i="10"/>
  <c r="D234" i="10"/>
  <c r="E234" i="10"/>
  <c r="F234" i="10"/>
  <c r="G234" i="10"/>
  <c r="H234" i="10" a="1"/>
  <c r="H234" i="10"/>
  <c r="I234" i="10"/>
  <c r="J234" i="10"/>
  <c r="K234" i="10"/>
  <c r="L234" i="10"/>
  <c r="M234" i="10"/>
  <c r="C235" i="10" a="1"/>
  <c r="C235" i="10"/>
  <c r="D235" i="10"/>
  <c r="E235" i="10"/>
  <c r="F235" i="10"/>
  <c r="G235" i="10"/>
  <c r="H235" i="10" a="1"/>
  <c r="H235" i="10"/>
  <c r="I235" i="10"/>
  <c r="J235" i="10"/>
  <c r="K235" i="10"/>
  <c r="L235" i="10"/>
  <c r="M235" i="10"/>
  <c r="C236" i="10" a="1"/>
  <c r="C236" i="10"/>
  <c r="D236" i="10"/>
  <c r="E236" i="10"/>
  <c r="F236" i="10"/>
  <c r="G236" i="10"/>
  <c r="H236" i="10" a="1"/>
  <c r="H236" i="10"/>
  <c r="I236" i="10"/>
  <c r="J236" i="10"/>
  <c r="K236" i="10"/>
  <c r="L236" i="10"/>
  <c r="M236" i="10"/>
  <c r="C237" i="10" a="1"/>
  <c r="C237" i="10"/>
  <c r="D237" i="10"/>
  <c r="E237" i="10"/>
  <c r="F237" i="10"/>
  <c r="G237" i="10"/>
  <c r="H237" i="10" a="1"/>
  <c r="H237" i="10"/>
  <c r="I237" i="10"/>
  <c r="J237" i="10"/>
  <c r="K237" i="10"/>
  <c r="L237" i="10"/>
  <c r="M237" i="10"/>
  <c r="C238" i="10" a="1"/>
  <c r="C238" i="10"/>
  <c r="D238" i="10"/>
  <c r="E238" i="10"/>
  <c r="F238" i="10"/>
  <c r="G238" i="10"/>
  <c r="H238" i="10" a="1"/>
  <c r="H238" i="10"/>
  <c r="I238" i="10"/>
  <c r="J238" i="10"/>
  <c r="K238" i="10"/>
  <c r="L238" i="10"/>
  <c r="M238" i="10"/>
  <c r="C239" i="10" a="1"/>
  <c r="C239" i="10"/>
  <c r="D239" i="10"/>
  <c r="E239" i="10"/>
  <c r="F239" i="10"/>
  <c r="G239" i="10"/>
  <c r="H239" i="10" a="1"/>
  <c r="H239" i="10"/>
  <c r="I239" i="10"/>
  <c r="J239" i="10"/>
  <c r="K239" i="10"/>
  <c r="L239" i="10"/>
  <c r="M239" i="10"/>
  <c r="C240" i="10" a="1"/>
  <c r="C240" i="10"/>
  <c r="D240" i="10"/>
  <c r="E240" i="10"/>
  <c r="F240" i="10"/>
  <c r="G240" i="10"/>
  <c r="H240" i="10" a="1"/>
  <c r="H240" i="10"/>
  <c r="I240" i="10"/>
  <c r="J240" i="10"/>
  <c r="K240" i="10"/>
  <c r="L240" i="10"/>
  <c r="M240" i="10"/>
  <c r="C241" i="10" a="1"/>
  <c r="C241" i="10"/>
  <c r="D241" i="10"/>
  <c r="E241" i="10"/>
  <c r="F241" i="10"/>
  <c r="G241" i="10"/>
  <c r="H241" i="10" a="1"/>
  <c r="H241" i="10"/>
  <c r="I241" i="10"/>
  <c r="J241" i="10"/>
  <c r="K241" i="10"/>
  <c r="L241" i="10"/>
  <c r="M241" i="10"/>
  <c r="C242" i="10" a="1"/>
  <c r="C242" i="10"/>
  <c r="D242" i="10"/>
  <c r="E242" i="10"/>
  <c r="F242" i="10"/>
  <c r="G242" i="10"/>
  <c r="H242" i="10" a="1"/>
  <c r="H242" i="10"/>
  <c r="I242" i="10"/>
  <c r="J242" i="10"/>
  <c r="K242" i="10"/>
  <c r="L242" i="10"/>
  <c r="M242" i="10"/>
  <c r="C243" i="10" a="1"/>
  <c r="C243" i="10"/>
  <c r="D243" i="10"/>
  <c r="E243" i="10"/>
  <c r="F243" i="10"/>
  <c r="G243" i="10"/>
  <c r="H243" i="10" a="1"/>
  <c r="H243" i="10"/>
  <c r="I243" i="10"/>
  <c r="J243" i="10"/>
  <c r="K243" i="10"/>
  <c r="L243" i="10"/>
  <c r="M243" i="10"/>
  <c r="C244" i="10" a="1"/>
  <c r="C244" i="10"/>
  <c r="D244" i="10"/>
  <c r="E244" i="10"/>
  <c r="F244" i="10"/>
  <c r="G244" i="10"/>
  <c r="H244" i="10" a="1"/>
  <c r="H244" i="10"/>
  <c r="I244" i="10"/>
  <c r="J244" i="10"/>
  <c r="K244" i="10"/>
  <c r="L244" i="10"/>
  <c r="M244" i="10"/>
  <c r="C245" i="10" a="1"/>
  <c r="C245" i="10"/>
  <c r="D245" i="10"/>
  <c r="E245" i="10"/>
  <c r="F245" i="10"/>
  <c r="G245" i="10"/>
  <c r="H245" i="10" a="1"/>
  <c r="H245" i="10"/>
  <c r="I245" i="10"/>
  <c r="J245" i="10"/>
  <c r="K245" i="10"/>
  <c r="L245" i="10"/>
  <c r="M245" i="10"/>
  <c r="C246" i="10" a="1"/>
  <c r="C246" i="10"/>
  <c r="D246" i="10"/>
  <c r="E246" i="10"/>
  <c r="F246" i="10"/>
  <c r="G246" i="10"/>
  <c r="H246" i="10" a="1"/>
  <c r="H246" i="10"/>
  <c r="I246" i="10"/>
  <c r="J246" i="10"/>
  <c r="K246" i="10"/>
  <c r="L246" i="10"/>
  <c r="M246" i="10"/>
  <c r="C247" i="10" a="1"/>
  <c r="C247" i="10"/>
  <c r="D247" i="10"/>
  <c r="E247" i="10"/>
  <c r="F247" i="10"/>
  <c r="G247" i="10"/>
  <c r="H247" i="10" a="1"/>
  <c r="H247" i="10"/>
  <c r="I247" i="10"/>
  <c r="J247" i="10"/>
  <c r="K247" i="10"/>
  <c r="L247" i="10"/>
  <c r="M247" i="10"/>
  <c r="C248" i="10" a="1"/>
  <c r="C248" i="10"/>
  <c r="D248" i="10"/>
  <c r="E248" i="10"/>
  <c r="F248" i="10"/>
  <c r="G248" i="10"/>
  <c r="H248" i="10" a="1"/>
  <c r="H248" i="10"/>
  <c r="I248" i="10"/>
  <c r="J248" i="10"/>
  <c r="K248" i="10"/>
  <c r="L248" i="10"/>
  <c r="M248" i="10"/>
  <c r="C249" i="10" a="1"/>
  <c r="C249" i="10"/>
  <c r="D249" i="10"/>
  <c r="E249" i="10"/>
  <c r="F249" i="10"/>
  <c r="G249" i="10"/>
  <c r="H249" i="10" a="1"/>
  <c r="H249" i="10"/>
  <c r="I249" i="10"/>
  <c r="J249" i="10"/>
  <c r="K249" i="10"/>
  <c r="L249" i="10"/>
  <c r="M249" i="10"/>
  <c r="C250" i="10" a="1"/>
  <c r="C250" i="10"/>
  <c r="D250" i="10"/>
  <c r="E250" i="10"/>
  <c r="F250" i="10"/>
  <c r="G250" i="10"/>
  <c r="H250" i="10" a="1"/>
  <c r="H250" i="10"/>
  <c r="I250" i="10"/>
  <c r="J250" i="10"/>
  <c r="K250" i="10"/>
  <c r="L250" i="10"/>
  <c r="M250" i="10"/>
  <c r="C251" i="10" a="1"/>
  <c r="C251" i="10"/>
  <c r="D251" i="10"/>
  <c r="E251" i="10"/>
  <c r="F251" i="10"/>
  <c r="G251" i="10"/>
  <c r="H251" i="10" a="1"/>
  <c r="H251" i="10"/>
  <c r="I251" i="10"/>
  <c r="J251" i="10"/>
  <c r="K251" i="10"/>
  <c r="L251" i="10"/>
  <c r="M251" i="10"/>
  <c r="C252" i="10" a="1"/>
  <c r="C252" i="10"/>
  <c r="D252" i="10"/>
  <c r="E252" i="10"/>
  <c r="F252" i="10"/>
  <c r="G252" i="10"/>
  <c r="H252" i="10" a="1"/>
  <c r="H252" i="10"/>
  <c r="I252" i="10"/>
  <c r="J252" i="10"/>
  <c r="K252" i="10"/>
  <c r="L252" i="10"/>
  <c r="M252" i="10"/>
  <c r="C253" i="10" a="1"/>
  <c r="C253" i="10"/>
  <c r="D253" i="10"/>
  <c r="E253" i="10"/>
  <c r="F253" i="10"/>
  <c r="G253" i="10"/>
  <c r="H253" i="10" a="1"/>
  <c r="H253" i="10"/>
  <c r="I253" i="10"/>
  <c r="J253" i="10"/>
  <c r="K253" i="10"/>
  <c r="L253" i="10"/>
  <c r="M253" i="10"/>
  <c r="C254" i="10" a="1"/>
  <c r="C254" i="10"/>
  <c r="D254" i="10"/>
  <c r="E254" i="10"/>
  <c r="F254" i="10"/>
  <c r="G254" i="10"/>
  <c r="H254" i="10" a="1"/>
  <c r="H254" i="10"/>
  <c r="I254" i="10"/>
  <c r="J254" i="10"/>
  <c r="K254" i="10"/>
  <c r="L254" i="10"/>
  <c r="M254" i="10"/>
  <c r="C255" i="10" a="1"/>
  <c r="C255" i="10"/>
  <c r="D255" i="10"/>
  <c r="E255" i="10"/>
  <c r="F255" i="10"/>
  <c r="G255" i="10"/>
  <c r="H255" i="10" a="1"/>
  <c r="H255" i="10"/>
  <c r="I255" i="10"/>
  <c r="J255" i="10"/>
  <c r="K255" i="10"/>
  <c r="L255" i="10"/>
  <c r="M255" i="10"/>
  <c r="C256" i="10" a="1"/>
  <c r="C256" i="10"/>
  <c r="D256" i="10"/>
  <c r="E256" i="10"/>
  <c r="F256" i="10"/>
  <c r="G256" i="10"/>
  <c r="H256" i="10" a="1"/>
  <c r="H256" i="10"/>
  <c r="I256" i="10"/>
  <c r="J256" i="10"/>
  <c r="K256" i="10"/>
  <c r="L256" i="10"/>
  <c r="M256" i="10"/>
  <c r="C257" i="10" a="1"/>
  <c r="C257" i="10"/>
  <c r="D257" i="10"/>
  <c r="E257" i="10"/>
  <c r="F257" i="10"/>
  <c r="G257" i="10"/>
  <c r="H257" i="10" a="1"/>
  <c r="H257" i="10"/>
  <c r="I257" i="10"/>
  <c r="J257" i="10"/>
  <c r="K257" i="10"/>
  <c r="L257" i="10"/>
  <c r="M257" i="10"/>
  <c r="C258" i="10" a="1"/>
  <c r="C258" i="10"/>
  <c r="D258" i="10"/>
  <c r="E258" i="10"/>
  <c r="F258" i="10"/>
  <c r="G258" i="10"/>
  <c r="H258" i="10" a="1"/>
  <c r="H258" i="10"/>
  <c r="I258" i="10"/>
  <c r="J258" i="10"/>
  <c r="K258" i="10"/>
  <c r="L258" i="10"/>
  <c r="M258" i="10"/>
  <c r="C259" i="10" a="1"/>
  <c r="C259" i="10"/>
  <c r="D259" i="10"/>
  <c r="E259" i="10"/>
  <c r="F259" i="10"/>
  <c r="G259" i="10"/>
  <c r="H259" i="10" a="1"/>
  <c r="H259" i="10"/>
  <c r="I259" i="10"/>
  <c r="J259" i="10"/>
  <c r="K259" i="10"/>
  <c r="L259" i="10"/>
  <c r="M259" i="10"/>
  <c r="C260" i="10" a="1"/>
  <c r="C260" i="10"/>
  <c r="D260" i="10"/>
  <c r="E260" i="10"/>
  <c r="F260" i="10"/>
  <c r="G260" i="10"/>
  <c r="H260" i="10" a="1"/>
  <c r="H260" i="10"/>
  <c r="I260" i="10"/>
  <c r="J260" i="10"/>
  <c r="K260" i="10"/>
  <c r="L260" i="10"/>
  <c r="M260" i="10"/>
  <c r="C261" i="10" a="1"/>
  <c r="C261" i="10"/>
  <c r="D261" i="10"/>
  <c r="E261" i="10"/>
  <c r="F261" i="10"/>
  <c r="G261" i="10"/>
  <c r="H261" i="10" a="1"/>
  <c r="H261" i="10"/>
  <c r="I261" i="10"/>
  <c r="J261" i="10"/>
  <c r="K261" i="10"/>
  <c r="L261" i="10"/>
  <c r="M261" i="10"/>
  <c r="C262" i="10" a="1"/>
  <c r="C262" i="10"/>
  <c r="D262" i="10"/>
  <c r="E262" i="10"/>
  <c r="F262" i="10"/>
  <c r="G262" i="10"/>
  <c r="H262" i="10" a="1"/>
  <c r="H262" i="10"/>
  <c r="I262" i="10"/>
  <c r="J262" i="10"/>
  <c r="K262" i="10"/>
  <c r="L262" i="10"/>
  <c r="M262" i="10"/>
  <c r="C263" i="10" a="1"/>
  <c r="C263" i="10"/>
  <c r="D263" i="10"/>
  <c r="E263" i="10"/>
  <c r="F263" i="10"/>
  <c r="G263" i="10"/>
  <c r="H263" i="10" a="1"/>
  <c r="H263" i="10"/>
  <c r="I263" i="10"/>
  <c r="J263" i="10"/>
  <c r="K263" i="10"/>
  <c r="L263" i="10"/>
  <c r="M263" i="10"/>
  <c r="C264" i="10" a="1"/>
  <c r="C264" i="10"/>
  <c r="D264" i="10"/>
  <c r="E264" i="10"/>
  <c r="F264" i="10"/>
  <c r="G264" i="10"/>
  <c r="H264" i="10" a="1"/>
  <c r="H264" i="10"/>
  <c r="I264" i="10"/>
  <c r="J264" i="10"/>
  <c r="K264" i="10"/>
  <c r="L264" i="10"/>
  <c r="M264" i="10"/>
  <c r="C265" i="10" a="1"/>
  <c r="C265" i="10"/>
  <c r="D265" i="10"/>
  <c r="E265" i="10"/>
  <c r="F265" i="10"/>
  <c r="G265" i="10"/>
  <c r="H265" i="10" a="1"/>
  <c r="H265" i="10"/>
  <c r="I265" i="10"/>
  <c r="J265" i="10"/>
  <c r="K265" i="10"/>
  <c r="L265" i="10"/>
  <c r="M265" i="10"/>
  <c r="C266" i="10" a="1"/>
  <c r="C266" i="10"/>
  <c r="D266" i="10"/>
  <c r="E266" i="10"/>
  <c r="F266" i="10"/>
  <c r="G266" i="10"/>
  <c r="H266" i="10" a="1"/>
  <c r="H266" i="10"/>
  <c r="I266" i="10"/>
  <c r="J266" i="10"/>
  <c r="K266" i="10"/>
  <c r="L266" i="10"/>
  <c r="M266" i="10"/>
  <c r="C267" i="10" a="1"/>
  <c r="C267" i="10"/>
  <c r="D267" i="10"/>
  <c r="E267" i="10"/>
  <c r="F267" i="10"/>
  <c r="G267" i="10"/>
  <c r="H267" i="10" a="1"/>
  <c r="H267" i="10"/>
  <c r="I267" i="10"/>
  <c r="J267" i="10"/>
  <c r="K267" i="10"/>
  <c r="L267" i="10"/>
  <c r="M267" i="10"/>
  <c r="C268" i="10" a="1"/>
  <c r="C268" i="10"/>
  <c r="D268" i="10"/>
  <c r="E268" i="10"/>
  <c r="F268" i="10"/>
  <c r="G268" i="10"/>
  <c r="H268" i="10" a="1"/>
  <c r="H268" i="10"/>
  <c r="I268" i="10"/>
  <c r="J268" i="10"/>
  <c r="K268" i="10"/>
  <c r="L268" i="10"/>
  <c r="M268" i="10"/>
  <c r="C269" i="10" a="1"/>
  <c r="C269" i="10"/>
  <c r="D269" i="10"/>
  <c r="E269" i="10"/>
  <c r="F269" i="10"/>
  <c r="G269" i="10"/>
  <c r="H269" i="10" a="1"/>
  <c r="H269" i="10"/>
  <c r="I269" i="10"/>
  <c r="J269" i="10"/>
  <c r="K269" i="10"/>
  <c r="L269" i="10"/>
  <c r="M269" i="10"/>
  <c r="C270" i="10" a="1"/>
  <c r="C270" i="10"/>
  <c r="D270" i="10"/>
  <c r="E270" i="10"/>
  <c r="F270" i="10"/>
  <c r="G270" i="10"/>
  <c r="H270" i="10" a="1"/>
  <c r="H270" i="10"/>
  <c r="I270" i="10"/>
  <c r="J270" i="10"/>
  <c r="K270" i="10"/>
  <c r="L270" i="10"/>
  <c r="M270" i="10"/>
  <c r="C271" i="10" a="1"/>
  <c r="C271" i="10"/>
  <c r="D271" i="10"/>
  <c r="E271" i="10"/>
  <c r="F271" i="10"/>
  <c r="G271" i="10"/>
  <c r="H271" i="10" a="1"/>
  <c r="H271" i="10"/>
  <c r="I271" i="10"/>
  <c r="J271" i="10"/>
  <c r="K271" i="10"/>
  <c r="L271" i="10"/>
  <c r="M271" i="10"/>
  <c r="C272" i="10" a="1"/>
  <c r="C272" i="10"/>
  <c r="D272" i="10"/>
  <c r="E272" i="10"/>
  <c r="F272" i="10"/>
  <c r="G272" i="10"/>
  <c r="H272" i="10" a="1"/>
  <c r="H272" i="10"/>
  <c r="I272" i="10"/>
  <c r="J272" i="10"/>
  <c r="K272" i="10"/>
  <c r="L272" i="10"/>
  <c r="M272" i="10"/>
  <c r="C273" i="10" a="1"/>
  <c r="C273" i="10"/>
  <c r="D273" i="10"/>
  <c r="E273" i="10"/>
  <c r="F273" i="10"/>
  <c r="G273" i="10"/>
  <c r="H273" i="10" a="1"/>
  <c r="H273" i="10"/>
  <c r="I273" i="10"/>
  <c r="J273" i="10"/>
  <c r="K273" i="10"/>
  <c r="L273" i="10"/>
  <c r="M273" i="10"/>
  <c r="C274" i="10" a="1"/>
  <c r="C274" i="10"/>
  <c r="D274" i="10"/>
  <c r="E274" i="10"/>
  <c r="F274" i="10"/>
  <c r="G274" i="10"/>
  <c r="H274" i="10" a="1"/>
  <c r="H274" i="10"/>
  <c r="I274" i="10"/>
  <c r="J274" i="10"/>
  <c r="K274" i="10"/>
  <c r="L274" i="10"/>
  <c r="M274" i="10"/>
  <c r="C275" i="10" a="1"/>
  <c r="C275" i="10"/>
  <c r="D275" i="10"/>
  <c r="E275" i="10"/>
  <c r="F275" i="10"/>
  <c r="G275" i="10"/>
  <c r="H275" i="10" a="1"/>
  <c r="H275" i="10"/>
  <c r="I275" i="10"/>
  <c r="J275" i="10"/>
  <c r="K275" i="10"/>
  <c r="L275" i="10"/>
  <c r="M275" i="10"/>
  <c r="C276" i="10" a="1"/>
  <c r="C276" i="10"/>
  <c r="D276" i="10"/>
  <c r="E276" i="10"/>
  <c r="F276" i="10"/>
  <c r="G276" i="10"/>
  <c r="H276" i="10" a="1"/>
  <c r="H276" i="10"/>
  <c r="I276" i="10"/>
  <c r="J276" i="10"/>
  <c r="K276" i="10"/>
  <c r="L276" i="10"/>
  <c r="M276" i="10"/>
  <c r="C277" i="10" a="1"/>
  <c r="C277" i="10"/>
  <c r="D277" i="10"/>
  <c r="E277" i="10"/>
  <c r="F277" i="10"/>
  <c r="G277" i="10"/>
  <c r="H277" i="10" a="1"/>
  <c r="H277" i="10"/>
  <c r="I277" i="10"/>
  <c r="J277" i="10"/>
  <c r="K277" i="10"/>
  <c r="L277" i="10"/>
  <c r="M277" i="10"/>
  <c r="C278" i="10" a="1"/>
  <c r="C278" i="10"/>
  <c r="D278" i="10"/>
  <c r="E278" i="10"/>
  <c r="F278" i="10"/>
  <c r="G278" i="10"/>
  <c r="H278" i="10" a="1"/>
  <c r="H278" i="10"/>
  <c r="I278" i="10"/>
  <c r="J278" i="10"/>
  <c r="K278" i="10"/>
  <c r="L278" i="10"/>
  <c r="M278" i="10"/>
  <c r="C279" i="10" a="1"/>
  <c r="C279" i="10"/>
  <c r="D279" i="10"/>
  <c r="E279" i="10"/>
  <c r="F279" i="10"/>
  <c r="G279" i="10"/>
  <c r="H279" i="10" a="1"/>
  <c r="H279" i="10"/>
  <c r="I279" i="10"/>
  <c r="J279" i="10"/>
  <c r="K279" i="10"/>
  <c r="L279" i="10"/>
  <c r="M279" i="10"/>
  <c r="C280" i="10" a="1"/>
  <c r="C280" i="10"/>
  <c r="D280" i="10"/>
  <c r="E280" i="10"/>
  <c r="F280" i="10"/>
  <c r="G280" i="10"/>
  <c r="H280" i="10" a="1"/>
  <c r="H280" i="10"/>
  <c r="I280" i="10"/>
  <c r="J280" i="10"/>
  <c r="K280" i="10"/>
  <c r="L280" i="10"/>
  <c r="M280" i="10"/>
  <c r="C281" i="10" a="1"/>
  <c r="C281" i="10"/>
  <c r="D281" i="10"/>
  <c r="E281" i="10"/>
  <c r="F281" i="10"/>
  <c r="G281" i="10"/>
  <c r="H281" i="10" a="1"/>
  <c r="H281" i="10"/>
  <c r="I281" i="10"/>
  <c r="J281" i="10"/>
  <c r="K281" i="10"/>
  <c r="L281" i="10"/>
  <c r="M281" i="10"/>
  <c r="C282" i="10" a="1"/>
  <c r="C282" i="10"/>
  <c r="D282" i="10"/>
  <c r="E282" i="10"/>
  <c r="F282" i="10"/>
  <c r="G282" i="10"/>
  <c r="H282" i="10" a="1"/>
  <c r="H282" i="10"/>
  <c r="I282" i="10"/>
  <c r="J282" i="10"/>
  <c r="K282" i="10"/>
  <c r="L282" i="10"/>
  <c r="M282" i="10"/>
  <c r="C283" i="10" a="1"/>
  <c r="C283" i="10"/>
  <c r="D283" i="10"/>
  <c r="E283" i="10"/>
  <c r="F283" i="10"/>
  <c r="G283" i="10"/>
  <c r="H283" i="10" a="1"/>
  <c r="H283" i="10"/>
  <c r="I283" i="10"/>
  <c r="J283" i="10"/>
  <c r="K283" i="10"/>
  <c r="L283" i="10"/>
  <c r="M283" i="10"/>
  <c r="C284" i="10" a="1"/>
  <c r="C284" i="10"/>
  <c r="D284" i="10"/>
  <c r="E284" i="10"/>
  <c r="F284" i="10"/>
  <c r="G284" i="10"/>
  <c r="H284" i="10" a="1"/>
  <c r="H284" i="10"/>
  <c r="I284" i="10"/>
  <c r="J284" i="10"/>
  <c r="K284" i="10"/>
  <c r="L284" i="10"/>
  <c r="M284" i="10"/>
  <c r="C285" i="10" a="1"/>
  <c r="C285" i="10"/>
  <c r="D285" i="10"/>
  <c r="E285" i="10"/>
  <c r="F285" i="10"/>
  <c r="G285" i="10"/>
  <c r="H285" i="10" a="1"/>
  <c r="H285" i="10"/>
  <c r="I285" i="10"/>
  <c r="J285" i="10"/>
  <c r="K285" i="10"/>
  <c r="L285" i="10"/>
  <c r="M285" i="10"/>
  <c r="C286" i="10" a="1"/>
  <c r="C286" i="10"/>
  <c r="D286" i="10"/>
  <c r="E286" i="10"/>
  <c r="F286" i="10"/>
  <c r="G286" i="10"/>
  <c r="H286" i="10" a="1"/>
  <c r="H286" i="10"/>
  <c r="I286" i="10"/>
  <c r="J286" i="10"/>
  <c r="K286" i="10"/>
  <c r="L286" i="10"/>
  <c r="M286" i="10"/>
  <c r="C287" i="10" a="1"/>
  <c r="C287" i="10"/>
  <c r="D287" i="10"/>
  <c r="E287" i="10"/>
  <c r="F287" i="10"/>
  <c r="G287" i="10"/>
  <c r="H287" i="10" a="1"/>
  <c r="H287" i="10"/>
  <c r="I287" i="10"/>
  <c r="J287" i="10"/>
  <c r="K287" i="10"/>
  <c r="L287" i="10"/>
  <c r="M287" i="10"/>
  <c r="C288" i="10" a="1"/>
  <c r="C288" i="10"/>
  <c r="D288" i="10"/>
  <c r="E288" i="10"/>
  <c r="F288" i="10"/>
  <c r="G288" i="10"/>
  <c r="H288" i="10" a="1"/>
  <c r="H288" i="10"/>
  <c r="I288" i="10"/>
  <c r="J288" i="10"/>
  <c r="K288" i="10"/>
  <c r="L288" i="10"/>
  <c r="M288" i="10"/>
  <c r="C289" i="10" a="1"/>
  <c r="C289" i="10"/>
  <c r="D289" i="10"/>
  <c r="E289" i="10"/>
  <c r="F289" i="10"/>
  <c r="G289" i="10"/>
  <c r="H289" i="10" a="1"/>
  <c r="H289" i="10"/>
  <c r="I289" i="10"/>
  <c r="J289" i="10"/>
  <c r="K289" i="10"/>
  <c r="L289" i="10"/>
  <c r="M289" i="10"/>
  <c r="C290" i="10" a="1"/>
  <c r="C290" i="10"/>
  <c r="D290" i="10"/>
  <c r="E290" i="10"/>
  <c r="F290" i="10"/>
  <c r="G290" i="10"/>
  <c r="H290" i="10" a="1"/>
  <c r="H290" i="10"/>
  <c r="I290" i="10"/>
  <c r="J290" i="10"/>
  <c r="K290" i="10"/>
  <c r="L290" i="10"/>
  <c r="M290" i="10"/>
  <c r="C291" i="10" a="1"/>
  <c r="C291" i="10"/>
  <c r="D291" i="10"/>
  <c r="E291" i="10"/>
  <c r="F291" i="10"/>
  <c r="G291" i="10"/>
  <c r="H291" i="10" a="1"/>
  <c r="H291" i="10"/>
  <c r="I291" i="10"/>
  <c r="J291" i="10"/>
  <c r="K291" i="10"/>
  <c r="L291" i="10"/>
  <c r="M291" i="10"/>
  <c r="C292" i="10" a="1"/>
  <c r="C292" i="10"/>
  <c r="D292" i="10"/>
  <c r="E292" i="10"/>
  <c r="F292" i="10"/>
  <c r="G292" i="10"/>
  <c r="H292" i="10" a="1"/>
  <c r="H292" i="10"/>
  <c r="I292" i="10"/>
  <c r="J292" i="10"/>
  <c r="K292" i="10"/>
  <c r="L292" i="10"/>
  <c r="M292" i="10"/>
  <c r="C293" i="10" a="1"/>
  <c r="C293" i="10"/>
  <c r="D293" i="10"/>
  <c r="E293" i="10"/>
  <c r="F293" i="10"/>
  <c r="G293" i="10"/>
  <c r="H293" i="10" a="1"/>
  <c r="H293" i="10"/>
  <c r="I293" i="10"/>
  <c r="J293" i="10"/>
  <c r="K293" i="10"/>
  <c r="L293" i="10"/>
  <c r="M293" i="10"/>
  <c r="C294" i="10" a="1"/>
  <c r="C294" i="10"/>
  <c r="D294" i="10"/>
  <c r="E294" i="10"/>
  <c r="F294" i="10"/>
  <c r="G294" i="10"/>
  <c r="H294" i="10" a="1"/>
  <c r="H294" i="10"/>
  <c r="I294" i="10"/>
  <c r="J294" i="10"/>
  <c r="K294" i="10"/>
  <c r="L294" i="10"/>
  <c r="M294" i="10"/>
  <c r="C295" i="10" a="1"/>
  <c r="C295" i="10"/>
  <c r="D295" i="10"/>
  <c r="E295" i="10"/>
  <c r="F295" i="10"/>
  <c r="G295" i="10"/>
  <c r="H295" i="10" a="1"/>
  <c r="H295" i="10"/>
  <c r="I295" i="10"/>
  <c r="J295" i="10"/>
  <c r="K295" i="10"/>
  <c r="L295" i="10"/>
  <c r="M295" i="10"/>
  <c r="C296" i="10" a="1"/>
  <c r="C296" i="10"/>
  <c r="D296" i="10"/>
  <c r="E296" i="10"/>
  <c r="F296" i="10"/>
  <c r="G296" i="10"/>
  <c r="H296" i="10" a="1"/>
  <c r="H296" i="10"/>
  <c r="I296" i="10"/>
  <c r="J296" i="10"/>
  <c r="K296" i="10"/>
  <c r="L296" i="10"/>
  <c r="M296" i="10"/>
  <c r="C297" i="10" a="1"/>
  <c r="C297" i="10"/>
  <c r="D297" i="10"/>
  <c r="E297" i="10"/>
  <c r="F297" i="10"/>
  <c r="G297" i="10"/>
  <c r="H297" i="10" a="1"/>
  <c r="H297" i="10"/>
  <c r="I297" i="10"/>
  <c r="J297" i="10"/>
  <c r="K297" i="10"/>
  <c r="L297" i="10"/>
  <c r="M297" i="10"/>
  <c r="C298" i="10" a="1"/>
  <c r="C298" i="10"/>
  <c r="D298" i="10"/>
  <c r="E298" i="10"/>
  <c r="F298" i="10"/>
  <c r="G298" i="10"/>
  <c r="H298" i="10" a="1"/>
  <c r="H298" i="10"/>
  <c r="I298" i="10"/>
  <c r="J298" i="10"/>
  <c r="K298" i="10"/>
  <c r="L298" i="10"/>
  <c r="M298" i="10"/>
  <c r="C299" i="10" a="1"/>
  <c r="C299" i="10"/>
  <c r="D299" i="10"/>
  <c r="E299" i="10"/>
  <c r="F299" i="10"/>
  <c r="G299" i="10"/>
  <c r="H299" i="10" a="1"/>
  <c r="H299" i="10"/>
  <c r="I299" i="10"/>
  <c r="J299" i="10"/>
  <c r="K299" i="10"/>
  <c r="L299" i="10"/>
  <c r="M299" i="10"/>
  <c r="C300" i="10" a="1"/>
  <c r="C300" i="10"/>
  <c r="D300" i="10"/>
  <c r="E300" i="10"/>
  <c r="F300" i="10"/>
  <c r="G300" i="10"/>
  <c r="H300" i="10" a="1"/>
  <c r="H300" i="10"/>
  <c r="I300" i="10"/>
  <c r="J300" i="10"/>
  <c r="K300" i="10"/>
  <c r="L300" i="10"/>
  <c r="M300" i="10"/>
  <c r="C301" i="10" a="1"/>
  <c r="C301" i="10"/>
  <c r="D301" i="10"/>
  <c r="E301" i="10"/>
  <c r="F301" i="10"/>
  <c r="G301" i="10"/>
  <c r="H301" i="10" a="1"/>
  <c r="H301" i="10"/>
  <c r="I301" i="10"/>
  <c r="J301" i="10"/>
  <c r="K301" i="10"/>
  <c r="L301" i="10"/>
  <c r="M301" i="10"/>
  <c r="C302" i="10" a="1"/>
  <c r="C302" i="10"/>
  <c r="D302" i="10"/>
  <c r="E302" i="10"/>
  <c r="F302" i="10"/>
  <c r="G302" i="10"/>
  <c r="H302" i="10" a="1"/>
  <c r="H302" i="10"/>
  <c r="I302" i="10"/>
  <c r="J302" i="10"/>
  <c r="K302" i="10"/>
  <c r="L302" i="10"/>
  <c r="M302" i="10"/>
  <c r="C303" i="10" a="1"/>
  <c r="C303" i="10"/>
  <c r="D303" i="10"/>
  <c r="E303" i="10"/>
  <c r="F303" i="10"/>
  <c r="G303" i="10"/>
  <c r="H303" i="10" a="1"/>
  <c r="H303" i="10"/>
  <c r="I303" i="10"/>
  <c r="J303" i="10"/>
  <c r="K303" i="10"/>
  <c r="L303" i="10"/>
  <c r="M303" i="10"/>
  <c r="C304" i="10" a="1"/>
  <c r="C304" i="10"/>
  <c r="D304" i="10"/>
  <c r="E304" i="10"/>
  <c r="F304" i="10"/>
  <c r="G304" i="10"/>
  <c r="H304" i="10" a="1"/>
  <c r="H304" i="10"/>
  <c r="I304" i="10"/>
  <c r="J304" i="10"/>
  <c r="K304" i="10"/>
  <c r="L304" i="10"/>
  <c r="M304" i="10"/>
  <c r="C305" i="10" a="1"/>
  <c r="C305" i="10"/>
  <c r="D305" i="10"/>
  <c r="E305" i="10"/>
  <c r="F305" i="10"/>
  <c r="G305" i="10"/>
  <c r="H305" i="10" a="1"/>
  <c r="H305" i="10"/>
  <c r="I305" i="10"/>
  <c r="J305" i="10"/>
  <c r="K305" i="10"/>
  <c r="L305" i="10"/>
  <c r="M305" i="10"/>
  <c r="C306" i="10" a="1"/>
  <c r="C306" i="10"/>
  <c r="D306" i="10"/>
  <c r="E306" i="10"/>
  <c r="F306" i="10"/>
  <c r="G306" i="10"/>
  <c r="H306" i="10" a="1"/>
  <c r="H306" i="10"/>
  <c r="I306" i="10"/>
  <c r="J306" i="10"/>
  <c r="K306" i="10"/>
  <c r="L306" i="10"/>
  <c r="M306" i="10"/>
  <c r="C307" i="10" a="1"/>
  <c r="C307" i="10"/>
  <c r="D307" i="10"/>
  <c r="E307" i="10"/>
  <c r="F307" i="10"/>
  <c r="G307" i="10"/>
  <c r="H307" i="10" a="1"/>
  <c r="H307" i="10"/>
  <c r="I307" i="10"/>
  <c r="J307" i="10"/>
  <c r="K307" i="10"/>
  <c r="L307" i="10"/>
  <c r="M307" i="10"/>
  <c r="C308" i="10" a="1"/>
  <c r="C308" i="10"/>
  <c r="D308" i="10"/>
  <c r="E308" i="10"/>
  <c r="F308" i="10"/>
  <c r="G308" i="10"/>
  <c r="H308" i="10" a="1"/>
  <c r="H308" i="10"/>
  <c r="I308" i="10"/>
  <c r="J308" i="10"/>
  <c r="K308" i="10"/>
  <c r="L308" i="10"/>
  <c r="M308" i="10"/>
  <c r="C309" i="10" a="1"/>
  <c r="C309" i="10"/>
  <c r="D309" i="10"/>
  <c r="E309" i="10"/>
  <c r="F309" i="10"/>
  <c r="G309" i="10"/>
  <c r="H309" i="10" a="1"/>
  <c r="H309" i="10"/>
  <c r="I309" i="10"/>
  <c r="J309" i="10"/>
  <c r="K309" i="10"/>
  <c r="L309" i="10"/>
  <c r="M309" i="10"/>
  <c r="C310" i="10" a="1"/>
  <c r="C310" i="10"/>
  <c r="D310" i="10"/>
  <c r="E310" i="10"/>
  <c r="F310" i="10"/>
  <c r="G310" i="10"/>
  <c r="H310" i="10" a="1"/>
  <c r="H310" i="10"/>
  <c r="I310" i="10"/>
  <c r="J310" i="10"/>
  <c r="K310" i="10"/>
  <c r="L310" i="10"/>
  <c r="M310" i="10"/>
  <c r="C311" i="10" a="1"/>
  <c r="C311" i="10"/>
  <c r="D311" i="10"/>
  <c r="E311" i="10"/>
  <c r="F311" i="10"/>
  <c r="G311" i="10"/>
  <c r="H311" i="10" a="1"/>
  <c r="H311" i="10"/>
  <c r="I311" i="10"/>
  <c r="J311" i="10"/>
  <c r="K311" i="10"/>
  <c r="L311" i="10"/>
  <c r="M311" i="10"/>
  <c r="C312" i="10" a="1"/>
  <c r="C312" i="10"/>
  <c r="D312" i="10"/>
  <c r="E312" i="10"/>
  <c r="F312" i="10"/>
  <c r="G312" i="10"/>
  <c r="H312" i="10" a="1"/>
  <c r="H312" i="10"/>
  <c r="I312" i="10"/>
  <c r="J312" i="10"/>
  <c r="K312" i="10"/>
  <c r="L312" i="10"/>
  <c r="M312" i="10"/>
  <c r="C313" i="10" a="1"/>
  <c r="C313" i="10"/>
  <c r="D313" i="10"/>
  <c r="E313" i="10"/>
  <c r="F313" i="10"/>
  <c r="G313" i="10"/>
  <c r="H313" i="10" a="1"/>
  <c r="H313" i="10"/>
  <c r="I313" i="10"/>
  <c r="J313" i="10"/>
  <c r="K313" i="10"/>
  <c r="L313" i="10"/>
  <c r="M313" i="10"/>
  <c r="C314" i="10" a="1"/>
  <c r="C314" i="10"/>
  <c r="D314" i="10"/>
  <c r="E314" i="10"/>
  <c r="F314" i="10"/>
  <c r="G314" i="10"/>
  <c r="H314" i="10" a="1"/>
  <c r="H314" i="10"/>
  <c r="I314" i="10"/>
  <c r="J314" i="10"/>
  <c r="K314" i="10"/>
  <c r="L314" i="10"/>
  <c r="M314" i="10"/>
  <c r="C315" i="10" a="1"/>
  <c r="C315" i="10"/>
  <c r="D315" i="10"/>
  <c r="E315" i="10"/>
  <c r="F315" i="10"/>
  <c r="G315" i="10"/>
  <c r="H315" i="10" a="1"/>
  <c r="H315" i="10"/>
  <c r="I315" i="10"/>
  <c r="J315" i="10"/>
  <c r="K315" i="10"/>
  <c r="L315" i="10"/>
  <c r="M315" i="10"/>
  <c r="C316" i="10" a="1"/>
  <c r="C316" i="10"/>
  <c r="D316" i="10"/>
  <c r="E316" i="10"/>
  <c r="F316" i="10"/>
  <c r="G316" i="10"/>
  <c r="H316" i="10" a="1"/>
  <c r="H316" i="10"/>
  <c r="I316" i="10"/>
  <c r="J316" i="10"/>
  <c r="K316" i="10"/>
  <c r="L316" i="10"/>
  <c r="M316" i="10"/>
  <c r="C317" i="10" a="1"/>
  <c r="C317" i="10"/>
  <c r="D317" i="10"/>
  <c r="E317" i="10"/>
  <c r="F317" i="10"/>
  <c r="G317" i="10"/>
  <c r="H317" i="10" a="1"/>
  <c r="H317" i="10"/>
  <c r="I317" i="10"/>
  <c r="J317" i="10"/>
  <c r="K317" i="10"/>
  <c r="L317" i="10"/>
  <c r="M317" i="10"/>
  <c r="C318" i="10" a="1"/>
  <c r="C318" i="10"/>
  <c r="D318" i="10"/>
  <c r="E318" i="10"/>
  <c r="F318" i="10"/>
  <c r="G318" i="10"/>
  <c r="H318" i="10" a="1"/>
  <c r="H318" i="10"/>
  <c r="I318" i="10"/>
  <c r="J318" i="10"/>
  <c r="K318" i="10"/>
  <c r="L318" i="10"/>
  <c r="M318" i="10"/>
  <c r="C319" i="10" a="1"/>
  <c r="C319" i="10"/>
  <c r="D319" i="10"/>
  <c r="E319" i="10"/>
  <c r="F319" i="10"/>
  <c r="G319" i="10"/>
  <c r="H319" i="10" a="1"/>
  <c r="H319" i="10"/>
  <c r="I319" i="10"/>
  <c r="J319" i="10"/>
  <c r="K319" i="10"/>
  <c r="L319" i="10"/>
  <c r="M319" i="10"/>
  <c r="C320" i="10" a="1"/>
  <c r="C320" i="10"/>
  <c r="D320" i="10"/>
  <c r="E320" i="10"/>
  <c r="F320" i="10"/>
  <c r="G320" i="10"/>
  <c r="H320" i="10" a="1"/>
  <c r="H320" i="10"/>
  <c r="I320" i="10"/>
  <c r="J320" i="10"/>
  <c r="K320" i="10"/>
  <c r="L320" i="10"/>
  <c r="M320" i="10"/>
  <c r="C321" i="10" a="1"/>
  <c r="C321" i="10"/>
  <c r="D321" i="10"/>
  <c r="E321" i="10"/>
  <c r="F321" i="10"/>
  <c r="G321" i="10"/>
  <c r="H321" i="10" a="1"/>
  <c r="H321" i="10"/>
  <c r="I321" i="10"/>
  <c r="J321" i="10"/>
  <c r="K321" i="10"/>
  <c r="L321" i="10"/>
  <c r="M321" i="10"/>
  <c r="C322" i="10" a="1"/>
  <c r="C322" i="10"/>
  <c r="D322" i="10"/>
  <c r="E322" i="10"/>
  <c r="F322" i="10"/>
  <c r="G322" i="10"/>
  <c r="H322" i="10" a="1"/>
  <c r="H322" i="10"/>
  <c r="I322" i="10"/>
  <c r="J322" i="10"/>
  <c r="K322" i="10"/>
  <c r="L322" i="10"/>
  <c r="M322" i="10"/>
  <c r="C323" i="10" a="1"/>
  <c r="C323" i="10"/>
  <c r="D323" i="10"/>
  <c r="E323" i="10"/>
  <c r="F323" i="10"/>
  <c r="G323" i="10"/>
  <c r="H323" i="10" a="1"/>
  <c r="H323" i="10"/>
  <c r="I323" i="10"/>
  <c r="J323" i="10"/>
  <c r="K323" i="10"/>
  <c r="L323" i="10"/>
  <c r="M323" i="10"/>
  <c r="C324" i="10" a="1"/>
  <c r="C324" i="10"/>
  <c r="D324" i="10"/>
  <c r="E324" i="10"/>
  <c r="F324" i="10"/>
  <c r="G324" i="10"/>
  <c r="H324" i="10" a="1"/>
  <c r="H324" i="10"/>
  <c r="I324" i="10"/>
  <c r="J324" i="10"/>
  <c r="K324" i="10"/>
  <c r="L324" i="10"/>
  <c r="M324" i="10"/>
  <c r="C325" i="10" a="1"/>
  <c r="C325" i="10"/>
  <c r="D325" i="10"/>
  <c r="E325" i="10"/>
  <c r="F325" i="10"/>
  <c r="G325" i="10"/>
  <c r="H325" i="10" a="1"/>
  <c r="H325" i="10"/>
  <c r="I325" i="10"/>
  <c r="J325" i="10"/>
  <c r="K325" i="10"/>
  <c r="L325" i="10"/>
  <c r="M325" i="10"/>
  <c r="C326" i="10" a="1"/>
  <c r="C326" i="10"/>
  <c r="D326" i="10"/>
  <c r="E326" i="10"/>
  <c r="F326" i="10"/>
  <c r="G326" i="10"/>
  <c r="H326" i="10" a="1"/>
  <c r="H326" i="10"/>
  <c r="I326" i="10"/>
  <c r="J326" i="10"/>
  <c r="K326" i="10"/>
  <c r="L326" i="10"/>
  <c r="M326" i="10"/>
  <c r="C327" i="10" a="1"/>
  <c r="C327" i="10"/>
  <c r="D327" i="10"/>
  <c r="E327" i="10"/>
  <c r="F327" i="10"/>
  <c r="G327" i="10"/>
  <c r="H327" i="10" a="1"/>
  <c r="H327" i="10"/>
  <c r="I327" i="10"/>
  <c r="J327" i="10"/>
  <c r="K327" i="10"/>
  <c r="L327" i="10"/>
  <c r="M327" i="10"/>
  <c r="C328" i="10" a="1"/>
  <c r="C328" i="10"/>
  <c r="D328" i="10"/>
  <c r="E328" i="10"/>
  <c r="F328" i="10"/>
  <c r="G328" i="10"/>
  <c r="H328" i="10" a="1"/>
  <c r="H328" i="10"/>
  <c r="I328" i="10"/>
  <c r="J328" i="10"/>
  <c r="K328" i="10"/>
  <c r="L328" i="10"/>
  <c r="M328" i="10"/>
  <c r="C329" i="10" a="1"/>
  <c r="C329" i="10"/>
  <c r="D329" i="10"/>
  <c r="E329" i="10"/>
  <c r="F329" i="10"/>
  <c r="G329" i="10"/>
  <c r="H329" i="10" a="1"/>
  <c r="H329" i="10"/>
  <c r="I329" i="10"/>
  <c r="J329" i="10"/>
  <c r="K329" i="10"/>
  <c r="L329" i="10"/>
  <c r="M329" i="10"/>
  <c r="C330" i="10" a="1"/>
  <c r="C330" i="10"/>
  <c r="D330" i="10"/>
  <c r="E330" i="10"/>
  <c r="F330" i="10"/>
  <c r="G330" i="10"/>
  <c r="H330" i="10" a="1"/>
  <c r="H330" i="10"/>
  <c r="I330" i="10"/>
  <c r="J330" i="10"/>
  <c r="K330" i="10"/>
  <c r="L330" i="10"/>
  <c r="M330" i="10"/>
  <c r="C331" i="10" a="1"/>
  <c r="C331" i="10"/>
  <c r="D331" i="10"/>
  <c r="E331" i="10"/>
  <c r="F331" i="10"/>
  <c r="G331" i="10"/>
  <c r="H331" i="10" a="1"/>
  <c r="H331" i="10"/>
  <c r="I331" i="10"/>
  <c r="J331" i="10"/>
  <c r="K331" i="10"/>
  <c r="L331" i="10"/>
  <c r="M331" i="10"/>
  <c r="C332" i="10" a="1"/>
  <c r="C332" i="10"/>
  <c r="D332" i="10"/>
  <c r="E332" i="10"/>
  <c r="F332" i="10"/>
  <c r="G332" i="10"/>
  <c r="H332" i="10" a="1"/>
  <c r="H332" i="10"/>
  <c r="I332" i="10"/>
  <c r="J332" i="10"/>
  <c r="K332" i="10"/>
  <c r="L332" i="10"/>
  <c r="M332" i="10"/>
  <c r="C333" i="10" a="1"/>
  <c r="C333" i="10"/>
  <c r="D333" i="10"/>
  <c r="E333" i="10"/>
  <c r="F333" i="10"/>
  <c r="G333" i="10"/>
  <c r="H333" i="10" a="1"/>
  <c r="H333" i="10"/>
  <c r="I333" i="10"/>
  <c r="J333" i="10"/>
  <c r="K333" i="10"/>
  <c r="L333" i="10"/>
  <c r="M333" i="10"/>
  <c r="C334" i="10" a="1"/>
  <c r="C334" i="10"/>
  <c r="D334" i="10"/>
  <c r="E334" i="10"/>
  <c r="F334" i="10"/>
  <c r="G334" i="10"/>
  <c r="H334" i="10" a="1"/>
  <c r="H334" i="10"/>
  <c r="I334" i="10"/>
  <c r="J334" i="10"/>
  <c r="K334" i="10"/>
  <c r="L334" i="10"/>
  <c r="M334" i="10"/>
  <c r="C335" i="10" a="1"/>
  <c r="C335" i="10"/>
  <c r="D335" i="10"/>
  <c r="E335" i="10"/>
  <c r="F335" i="10"/>
  <c r="G335" i="10"/>
  <c r="H335" i="10" a="1"/>
  <c r="H335" i="10"/>
  <c r="I335" i="10"/>
  <c r="J335" i="10"/>
  <c r="K335" i="10"/>
  <c r="L335" i="10"/>
  <c r="M335" i="10"/>
  <c r="C336" i="10" a="1"/>
  <c r="C336" i="10"/>
  <c r="D336" i="10"/>
  <c r="E336" i="10"/>
  <c r="F336" i="10"/>
  <c r="G336" i="10"/>
  <c r="H336" i="10" a="1"/>
  <c r="H336" i="10"/>
  <c r="I336" i="10"/>
  <c r="J336" i="10"/>
  <c r="K336" i="10"/>
  <c r="L336" i="10"/>
  <c r="M336" i="10"/>
  <c r="C337" i="10" a="1"/>
  <c r="C337" i="10"/>
  <c r="D337" i="10"/>
  <c r="E337" i="10"/>
  <c r="F337" i="10"/>
  <c r="G337" i="10"/>
  <c r="H337" i="10" a="1"/>
  <c r="H337" i="10"/>
  <c r="I337" i="10"/>
  <c r="J337" i="10"/>
  <c r="K337" i="10"/>
  <c r="L337" i="10"/>
  <c r="M337" i="10"/>
  <c r="C338" i="10" a="1"/>
  <c r="C338" i="10"/>
  <c r="D338" i="10"/>
  <c r="E338" i="10"/>
  <c r="F338" i="10"/>
  <c r="G338" i="10"/>
  <c r="H338" i="10" a="1"/>
  <c r="H338" i="10"/>
  <c r="I338" i="10"/>
  <c r="J338" i="10"/>
  <c r="K338" i="10"/>
  <c r="L338" i="10"/>
  <c r="M338" i="10"/>
  <c r="C339" i="10" a="1"/>
  <c r="C339" i="10"/>
  <c r="D339" i="10"/>
  <c r="E339" i="10"/>
  <c r="F339" i="10"/>
  <c r="G339" i="10"/>
  <c r="H339" i="10" a="1"/>
  <c r="H339" i="10"/>
  <c r="I339" i="10"/>
  <c r="J339" i="10"/>
  <c r="K339" i="10"/>
  <c r="L339" i="10"/>
  <c r="M339" i="10"/>
  <c r="C340" i="10" a="1"/>
  <c r="C340" i="10"/>
  <c r="D340" i="10"/>
  <c r="E340" i="10"/>
  <c r="F340" i="10"/>
  <c r="G340" i="10"/>
  <c r="H340" i="10" a="1"/>
  <c r="H340" i="10"/>
  <c r="I340" i="10"/>
  <c r="J340" i="10"/>
  <c r="K340" i="10"/>
  <c r="L340" i="10"/>
  <c r="M340" i="10"/>
  <c r="C341" i="10" a="1"/>
  <c r="C341" i="10"/>
  <c r="D341" i="10"/>
  <c r="E341" i="10"/>
  <c r="F341" i="10"/>
  <c r="G341" i="10"/>
  <c r="H341" i="10" a="1"/>
  <c r="H341" i="10"/>
  <c r="I341" i="10"/>
  <c r="J341" i="10"/>
  <c r="K341" i="10"/>
  <c r="L341" i="10"/>
  <c r="M341" i="10"/>
  <c r="C342" i="10" a="1"/>
  <c r="C342" i="10"/>
  <c r="D342" i="10"/>
  <c r="E342" i="10"/>
  <c r="F342" i="10"/>
  <c r="G342" i="10"/>
  <c r="H342" i="10" a="1"/>
  <c r="H342" i="10"/>
  <c r="I342" i="10"/>
  <c r="J342" i="10"/>
  <c r="K342" i="10"/>
  <c r="L342" i="10"/>
  <c r="M342" i="10"/>
  <c r="C343" i="10" a="1"/>
  <c r="C343" i="10"/>
  <c r="D343" i="10"/>
  <c r="E343" i="10"/>
  <c r="F343" i="10"/>
  <c r="G343" i="10"/>
  <c r="H343" i="10" a="1"/>
  <c r="H343" i="10"/>
  <c r="I343" i="10"/>
  <c r="J343" i="10"/>
  <c r="K343" i="10"/>
  <c r="L343" i="10"/>
  <c r="M343" i="10"/>
  <c r="C344" i="10" a="1"/>
  <c r="C344" i="10"/>
  <c r="D344" i="10"/>
  <c r="E344" i="10"/>
  <c r="F344" i="10"/>
  <c r="G344" i="10"/>
  <c r="H344" i="10" a="1"/>
  <c r="H344" i="10"/>
  <c r="I344" i="10"/>
  <c r="J344" i="10"/>
  <c r="K344" i="10"/>
  <c r="L344" i="10"/>
  <c r="M344" i="10"/>
  <c r="C345" i="10" a="1"/>
  <c r="C345" i="10"/>
  <c r="D345" i="10"/>
  <c r="E345" i="10"/>
  <c r="F345" i="10"/>
  <c r="G345" i="10"/>
  <c r="H345" i="10" a="1"/>
  <c r="H345" i="10"/>
  <c r="I345" i="10"/>
  <c r="J345" i="10"/>
  <c r="K345" i="10"/>
  <c r="L345" i="10"/>
  <c r="M345" i="10"/>
  <c r="C346" i="10" a="1"/>
  <c r="C346" i="10"/>
  <c r="D346" i="10"/>
  <c r="E346" i="10"/>
  <c r="F346" i="10"/>
  <c r="G346" i="10"/>
  <c r="H346" i="10" a="1"/>
  <c r="H346" i="10"/>
  <c r="I346" i="10"/>
  <c r="J346" i="10"/>
  <c r="K346" i="10"/>
  <c r="L346" i="10"/>
  <c r="M346" i="10"/>
  <c r="C347" i="10" a="1"/>
  <c r="C347" i="10"/>
  <c r="D347" i="10"/>
  <c r="E347" i="10"/>
  <c r="F347" i="10"/>
  <c r="G347" i="10"/>
  <c r="H347" i="10" a="1"/>
  <c r="H347" i="10"/>
  <c r="I347" i="10"/>
  <c r="J347" i="10"/>
  <c r="K347" i="10"/>
  <c r="L347" i="10"/>
  <c r="M347" i="10"/>
  <c r="C348" i="10" a="1"/>
  <c r="C348" i="10"/>
  <c r="D348" i="10"/>
  <c r="E348" i="10"/>
  <c r="F348" i="10"/>
  <c r="G348" i="10"/>
  <c r="H348" i="10" a="1"/>
  <c r="H348" i="10"/>
  <c r="I348" i="10"/>
  <c r="J348" i="10"/>
  <c r="K348" i="10"/>
  <c r="L348" i="10"/>
  <c r="M348" i="10"/>
  <c r="C349" i="10" a="1"/>
  <c r="C349" i="10"/>
  <c r="D349" i="10"/>
  <c r="E349" i="10"/>
  <c r="F349" i="10"/>
  <c r="G349" i="10"/>
  <c r="H349" i="10" a="1"/>
  <c r="H349" i="10"/>
  <c r="I349" i="10"/>
  <c r="J349" i="10"/>
  <c r="K349" i="10"/>
  <c r="L349" i="10"/>
  <c r="M349" i="10"/>
  <c r="C350" i="10" a="1"/>
  <c r="C350" i="10"/>
  <c r="D350" i="10"/>
  <c r="E350" i="10"/>
  <c r="F350" i="10"/>
  <c r="G350" i="10"/>
  <c r="H350" i="10" a="1"/>
  <c r="H350" i="10"/>
  <c r="I350" i="10"/>
  <c r="J350" i="10"/>
  <c r="K350" i="10"/>
  <c r="L350" i="10"/>
  <c r="M350" i="10"/>
  <c r="C351" i="10" a="1"/>
  <c r="C351" i="10"/>
  <c r="D351" i="10"/>
  <c r="E351" i="10"/>
  <c r="F351" i="10"/>
  <c r="G351" i="10"/>
  <c r="H351" i="10" a="1"/>
  <c r="H351" i="10"/>
  <c r="I351" i="10"/>
  <c r="J351" i="10"/>
  <c r="K351" i="10"/>
  <c r="L351" i="10"/>
  <c r="M351" i="10"/>
  <c r="C352" i="10" a="1"/>
  <c r="C352" i="10"/>
  <c r="D352" i="10"/>
  <c r="E352" i="10"/>
  <c r="F352" i="10"/>
  <c r="G352" i="10"/>
  <c r="H352" i="10" a="1"/>
  <c r="H352" i="10"/>
  <c r="I352" i="10"/>
  <c r="J352" i="10"/>
  <c r="K352" i="10"/>
  <c r="L352" i="10"/>
  <c r="M352" i="10"/>
  <c r="C353" i="10" a="1"/>
  <c r="C353" i="10"/>
  <c r="D353" i="10"/>
  <c r="E353" i="10"/>
  <c r="F353" i="10"/>
  <c r="G353" i="10"/>
  <c r="H353" i="10" a="1"/>
  <c r="H353" i="10"/>
  <c r="I353" i="10"/>
  <c r="J353" i="10"/>
  <c r="K353" i="10"/>
  <c r="L353" i="10"/>
  <c r="M353" i="10"/>
  <c r="C354" i="10" a="1"/>
  <c r="C354" i="10"/>
  <c r="D354" i="10"/>
  <c r="E354" i="10"/>
  <c r="F354" i="10"/>
  <c r="G354" i="10"/>
  <c r="H354" i="10" a="1"/>
  <c r="H354" i="10"/>
  <c r="I354" i="10"/>
  <c r="J354" i="10"/>
  <c r="K354" i="10"/>
  <c r="L354" i="10"/>
  <c r="M354" i="10"/>
  <c r="C355" i="10" a="1"/>
  <c r="C355" i="10"/>
  <c r="D355" i="10"/>
  <c r="E355" i="10"/>
  <c r="F355" i="10"/>
  <c r="G355" i="10"/>
  <c r="H355" i="10" a="1"/>
  <c r="H355" i="10"/>
  <c r="I355" i="10"/>
  <c r="J355" i="10"/>
  <c r="K355" i="10"/>
  <c r="L355" i="10"/>
  <c r="M355" i="10"/>
  <c r="C356" i="10" a="1"/>
  <c r="C356" i="10"/>
  <c r="D356" i="10"/>
  <c r="E356" i="10"/>
  <c r="F356" i="10"/>
  <c r="G356" i="10"/>
  <c r="H356" i="10" a="1"/>
  <c r="H356" i="10"/>
  <c r="I356" i="10"/>
  <c r="J356" i="10"/>
  <c r="K356" i="10"/>
  <c r="L356" i="10"/>
  <c r="M356" i="10"/>
  <c r="C357" i="10" a="1"/>
  <c r="C357" i="10"/>
  <c r="D357" i="10"/>
  <c r="E357" i="10"/>
  <c r="F357" i="10"/>
  <c r="G357" i="10"/>
  <c r="H357" i="10" a="1"/>
  <c r="H357" i="10"/>
  <c r="I357" i="10"/>
  <c r="J357" i="10"/>
  <c r="K357" i="10"/>
  <c r="L357" i="10"/>
  <c r="M357" i="10"/>
  <c r="C358" i="10" a="1"/>
  <c r="C358" i="10"/>
  <c r="D358" i="10"/>
  <c r="E358" i="10"/>
  <c r="F358" i="10"/>
  <c r="G358" i="10"/>
  <c r="H358" i="10" a="1"/>
  <c r="H358" i="10"/>
  <c r="I358" i="10"/>
  <c r="J358" i="10"/>
  <c r="K358" i="10"/>
  <c r="L358" i="10"/>
  <c r="M358" i="10"/>
  <c r="C359" i="10" a="1"/>
  <c r="C359" i="10"/>
  <c r="D359" i="10"/>
  <c r="E359" i="10"/>
  <c r="F359" i="10"/>
  <c r="G359" i="10"/>
  <c r="H359" i="10" a="1"/>
  <c r="H359" i="10"/>
  <c r="I359" i="10"/>
  <c r="J359" i="10"/>
  <c r="K359" i="10"/>
  <c r="L359" i="10"/>
  <c r="M359" i="10"/>
  <c r="C360" i="10" a="1"/>
  <c r="C360" i="10"/>
  <c r="D360" i="10"/>
  <c r="E360" i="10"/>
  <c r="F360" i="10"/>
  <c r="G360" i="10"/>
  <c r="H360" i="10" a="1"/>
  <c r="H360" i="10"/>
  <c r="I360" i="10"/>
  <c r="J360" i="10"/>
  <c r="K360" i="10"/>
  <c r="L360" i="10"/>
  <c r="M360" i="10"/>
  <c r="C361" i="10" a="1"/>
  <c r="C361" i="10"/>
  <c r="D361" i="10"/>
  <c r="E361" i="10"/>
  <c r="F361" i="10"/>
  <c r="G361" i="10"/>
  <c r="H361" i="10" a="1"/>
  <c r="H361" i="10"/>
  <c r="I361" i="10"/>
  <c r="J361" i="10"/>
  <c r="K361" i="10"/>
  <c r="L361" i="10"/>
  <c r="M361" i="10"/>
  <c r="C362" i="10" a="1"/>
  <c r="C362" i="10"/>
  <c r="D362" i="10"/>
  <c r="E362" i="10"/>
  <c r="F362" i="10"/>
  <c r="G362" i="10"/>
  <c r="H362" i="10" a="1"/>
  <c r="H362" i="10"/>
  <c r="I362" i="10"/>
  <c r="J362" i="10"/>
  <c r="K362" i="10"/>
  <c r="L362" i="10"/>
  <c r="M362" i="10"/>
  <c r="C363" i="10" a="1"/>
  <c r="C363" i="10"/>
  <c r="D363" i="10"/>
  <c r="E363" i="10"/>
  <c r="F363" i="10"/>
  <c r="G363" i="10"/>
  <c r="H363" i="10" a="1"/>
  <c r="H363" i="10"/>
  <c r="I363" i="10"/>
  <c r="J363" i="10"/>
  <c r="K363" i="10"/>
  <c r="L363" i="10"/>
  <c r="M363" i="10"/>
  <c r="C364" i="10" a="1"/>
  <c r="C364" i="10"/>
  <c r="D364" i="10"/>
  <c r="E364" i="10"/>
  <c r="F364" i="10"/>
  <c r="G364" i="10"/>
  <c r="H364" i="10" a="1"/>
  <c r="H364" i="10"/>
  <c r="I364" i="10"/>
  <c r="J364" i="10"/>
  <c r="K364" i="10"/>
  <c r="L364" i="10"/>
  <c r="M364" i="10"/>
  <c r="C365" i="10" a="1"/>
  <c r="C365" i="10"/>
  <c r="D365" i="10"/>
  <c r="E365" i="10"/>
  <c r="F365" i="10"/>
  <c r="G365" i="10"/>
  <c r="H365" i="10" a="1"/>
  <c r="H365" i="10"/>
  <c r="I365" i="10"/>
  <c r="J365" i="10"/>
  <c r="K365" i="10"/>
  <c r="L365" i="10"/>
  <c r="M365" i="10"/>
  <c r="C366" i="10" a="1"/>
  <c r="C366" i="10"/>
  <c r="D366" i="10"/>
  <c r="E366" i="10"/>
  <c r="F366" i="10"/>
  <c r="G366" i="10"/>
  <c r="H366" i="10" a="1"/>
  <c r="H366" i="10"/>
  <c r="I366" i="10"/>
  <c r="J366" i="10"/>
  <c r="K366" i="10"/>
  <c r="L366" i="10"/>
  <c r="M366" i="10"/>
  <c r="C367" i="10" a="1"/>
  <c r="C367" i="10"/>
  <c r="D367" i="10"/>
  <c r="E367" i="10"/>
  <c r="F367" i="10"/>
  <c r="G367" i="10"/>
  <c r="H367" i="10" a="1"/>
  <c r="H367" i="10"/>
  <c r="I367" i="10"/>
  <c r="J367" i="10"/>
  <c r="K367" i="10"/>
  <c r="L367" i="10"/>
  <c r="M367" i="10"/>
  <c r="C368" i="10" a="1"/>
  <c r="C368" i="10"/>
  <c r="D368" i="10"/>
  <c r="E368" i="10"/>
  <c r="F368" i="10"/>
  <c r="G368" i="10"/>
  <c r="H368" i="10" a="1"/>
  <c r="H368" i="10"/>
  <c r="I368" i="10"/>
  <c r="J368" i="10"/>
  <c r="K368" i="10"/>
  <c r="L368" i="10"/>
  <c r="M368" i="10"/>
  <c r="C369" i="10" a="1"/>
  <c r="C369" i="10"/>
  <c r="D369" i="10"/>
  <c r="E369" i="10"/>
  <c r="F369" i="10"/>
  <c r="G369" i="10"/>
  <c r="H369" i="10" a="1"/>
  <c r="H369" i="10"/>
  <c r="I369" i="10"/>
  <c r="J369" i="10"/>
  <c r="K369" i="10"/>
  <c r="L369" i="10"/>
  <c r="M369" i="10"/>
  <c r="C370" i="10" a="1"/>
  <c r="C370" i="10"/>
  <c r="D370" i="10"/>
  <c r="E370" i="10"/>
  <c r="F370" i="10"/>
  <c r="G370" i="10"/>
  <c r="H370" i="10" a="1"/>
  <c r="H370" i="10"/>
  <c r="I370" i="10"/>
  <c r="J370" i="10"/>
  <c r="K370" i="10"/>
  <c r="L370" i="10"/>
  <c r="M370" i="10"/>
  <c r="C371" i="10" a="1"/>
  <c r="C371" i="10"/>
  <c r="D371" i="10"/>
  <c r="E371" i="10"/>
  <c r="F371" i="10"/>
  <c r="G371" i="10"/>
  <c r="H371" i="10" a="1"/>
  <c r="H371" i="10"/>
  <c r="I371" i="10"/>
  <c r="J371" i="10"/>
  <c r="K371" i="10"/>
  <c r="L371" i="10"/>
  <c r="M371" i="10"/>
  <c r="C372" i="10" a="1"/>
  <c r="C372" i="10"/>
  <c r="D372" i="10"/>
  <c r="E372" i="10"/>
  <c r="F372" i="10"/>
  <c r="G372" i="10"/>
  <c r="H372" i="10" a="1"/>
  <c r="H372" i="10"/>
  <c r="I372" i="10"/>
  <c r="J372" i="10"/>
  <c r="K372" i="10"/>
  <c r="L372" i="10"/>
  <c r="M372" i="10"/>
  <c r="C373" i="10" a="1"/>
  <c r="C373" i="10"/>
  <c r="D373" i="10"/>
  <c r="E373" i="10"/>
  <c r="F373" i="10"/>
  <c r="G373" i="10"/>
  <c r="H373" i="10" a="1"/>
  <c r="H373" i="10"/>
  <c r="I373" i="10"/>
  <c r="J373" i="10"/>
  <c r="K373" i="10"/>
  <c r="L373" i="10"/>
  <c r="M373" i="10"/>
  <c r="C374" i="10" a="1"/>
  <c r="C374" i="10"/>
  <c r="D374" i="10"/>
  <c r="E374" i="10"/>
  <c r="F374" i="10"/>
  <c r="G374" i="10"/>
  <c r="H374" i="10" a="1"/>
  <c r="H374" i="10"/>
  <c r="I374" i="10"/>
  <c r="J374" i="10"/>
  <c r="K374" i="10"/>
  <c r="L374" i="10"/>
  <c r="M374" i="10"/>
  <c r="C375" i="10" a="1"/>
  <c r="C375" i="10"/>
  <c r="D375" i="10"/>
  <c r="E375" i="10"/>
  <c r="F375" i="10"/>
  <c r="G375" i="10"/>
  <c r="H375" i="10" a="1"/>
  <c r="H375" i="10"/>
  <c r="I375" i="10"/>
  <c r="J375" i="10"/>
  <c r="K375" i="10"/>
  <c r="L375" i="10"/>
  <c r="M375" i="10"/>
  <c r="C376" i="10" a="1"/>
  <c r="C376" i="10"/>
  <c r="D376" i="10"/>
  <c r="E376" i="10"/>
  <c r="F376" i="10"/>
  <c r="G376" i="10"/>
  <c r="H376" i="10" a="1"/>
  <c r="H376" i="10"/>
  <c r="I376" i="10"/>
  <c r="J376" i="10"/>
  <c r="K376" i="10"/>
  <c r="L376" i="10"/>
  <c r="M376" i="10"/>
  <c r="C377" i="10" a="1"/>
  <c r="C377" i="10"/>
  <c r="D377" i="10"/>
  <c r="E377" i="10"/>
  <c r="F377" i="10"/>
  <c r="G377" i="10"/>
  <c r="H377" i="10" a="1"/>
  <c r="H377" i="10"/>
  <c r="I377" i="10"/>
  <c r="J377" i="10"/>
  <c r="K377" i="10"/>
  <c r="L377" i="10"/>
  <c r="M377" i="10"/>
  <c r="C378" i="10" a="1"/>
  <c r="C378" i="10"/>
  <c r="D378" i="10"/>
  <c r="E378" i="10"/>
  <c r="F378" i="10"/>
  <c r="G378" i="10"/>
  <c r="H378" i="10" a="1"/>
  <c r="H378" i="10"/>
  <c r="I378" i="10"/>
  <c r="J378" i="10"/>
  <c r="K378" i="10"/>
  <c r="L378" i="10"/>
  <c r="M378" i="10"/>
  <c r="C379" i="10" a="1"/>
  <c r="C379" i="10"/>
  <c r="D379" i="10"/>
  <c r="E379" i="10"/>
  <c r="F379" i="10"/>
  <c r="G379" i="10"/>
  <c r="H379" i="10" a="1"/>
  <c r="H379" i="10"/>
  <c r="I379" i="10"/>
  <c r="J379" i="10"/>
  <c r="K379" i="10"/>
  <c r="L379" i="10"/>
  <c r="M379" i="10"/>
  <c r="C380" i="10" a="1"/>
  <c r="C380" i="10"/>
  <c r="D380" i="10"/>
  <c r="E380" i="10"/>
  <c r="F380" i="10"/>
  <c r="G380" i="10"/>
  <c r="H380" i="10" a="1"/>
  <c r="H380" i="10"/>
  <c r="I380" i="10"/>
  <c r="J380" i="10"/>
  <c r="K380" i="10"/>
  <c r="L380" i="10"/>
  <c r="M380" i="10"/>
  <c r="C381" i="10" a="1"/>
  <c r="C381" i="10"/>
  <c r="D381" i="10"/>
  <c r="E381" i="10"/>
  <c r="F381" i="10"/>
  <c r="G381" i="10"/>
  <c r="H381" i="10" a="1"/>
  <c r="H381" i="10"/>
  <c r="I381" i="10"/>
  <c r="J381" i="10"/>
  <c r="K381" i="10"/>
  <c r="L381" i="10"/>
  <c r="M381" i="10"/>
  <c r="C382" i="10" a="1"/>
  <c r="C382" i="10"/>
  <c r="D382" i="10"/>
  <c r="E382" i="10"/>
  <c r="F382" i="10"/>
  <c r="G382" i="10"/>
  <c r="H382" i="10" a="1"/>
  <c r="H382" i="10"/>
  <c r="I382" i="10"/>
  <c r="J382" i="10"/>
  <c r="K382" i="10"/>
  <c r="L382" i="10"/>
  <c r="M382" i="10"/>
  <c r="C383" i="10" a="1"/>
  <c r="C383" i="10"/>
  <c r="D383" i="10"/>
  <c r="E383" i="10"/>
  <c r="F383" i="10"/>
  <c r="G383" i="10"/>
  <c r="H383" i="10" a="1"/>
  <c r="H383" i="10"/>
  <c r="I383" i="10"/>
  <c r="J383" i="10"/>
  <c r="K383" i="10"/>
  <c r="L383" i="10"/>
  <c r="M383" i="10"/>
  <c r="C384" i="10" a="1"/>
  <c r="C384" i="10"/>
  <c r="D384" i="10"/>
  <c r="E384" i="10"/>
  <c r="F384" i="10"/>
  <c r="G384" i="10"/>
  <c r="H384" i="10" a="1"/>
  <c r="H384" i="10"/>
  <c r="I384" i="10"/>
  <c r="J384" i="10"/>
  <c r="K384" i="10"/>
  <c r="L384" i="10"/>
  <c r="M384" i="10"/>
  <c r="C385" i="10" a="1"/>
  <c r="C385" i="10"/>
  <c r="D385" i="10"/>
  <c r="E385" i="10"/>
  <c r="F385" i="10"/>
  <c r="G385" i="10"/>
  <c r="H385" i="10" a="1"/>
  <c r="H385" i="10"/>
  <c r="I385" i="10"/>
  <c r="J385" i="10"/>
  <c r="K385" i="10"/>
  <c r="L385" i="10"/>
  <c r="M385" i="10"/>
  <c r="C386" i="10" a="1"/>
  <c r="C386" i="10"/>
  <c r="D386" i="10"/>
  <c r="E386" i="10"/>
  <c r="F386" i="10"/>
  <c r="G386" i="10"/>
  <c r="H386" i="10" a="1"/>
  <c r="H386" i="10"/>
  <c r="I386" i="10"/>
  <c r="J386" i="10"/>
  <c r="K386" i="10"/>
  <c r="L386" i="10"/>
  <c r="M386" i="10"/>
  <c r="C387" i="10" a="1"/>
  <c r="C387" i="10"/>
  <c r="D387" i="10"/>
  <c r="E387" i="10"/>
  <c r="F387" i="10"/>
  <c r="G387" i="10"/>
  <c r="H387" i="10" a="1"/>
  <c r="H387" i="10"/>
  <c r="I387" i="10"/>
  <c r="J387" i="10"/>
  <c r="K387" i="10"/>
  <c r="L387" i="10"/>
  <c r="M387" i="10"/>
  <c r="C388" i="10" a="1"/>
  <c r="C388" i="10"/>
  <c r="D388" i="10"/>
  <c r="E388" i="10"/>
  <c r="F388" i="10"/>
  <c r="G388" i="10"/>
  <c r="H388" i="10" a="1"/>
  <c r="H388" i="10"/>
  <c r="I388" i="10"/>
  <c r="J388" i="10"/>
  <c r="K388" i="10"/>
  <c r="L388" i="10"/>
  <c r="M388" i="10"/>
  <c r="C389" i="10" a="1"/>
  <c r="C389" i="10"/>
  <c r="D389" i="10"/>
  <c r="E389" i="10"/>
  <c r="F389" i="10"/>
  <c r="G389" i="10"/>
  <c r="H389" i="10" a="1"/>
  <c r="H389" i="10"/>
  <c r="I389" i="10"/>
  <c r="J389" i="10"/>
  <c r="K389" i="10"/>
  <c r="L389" i="10"/>
  <c r="M389" i="10"/>
  <c r="C390" i="10" a="1"/>
  <c r="C390" i="10"/>
  <c r="D390" i="10"/>
  <c r="E390" i="10"/>
  <c r="F390" i="10"/>
  <c r="G390" i="10"/>
  <c r="H390" i="10" a="1"/>
  <c r="H390" i="10"/>
  <c r="I390" i="10"/>
  <c r="J390" i="10"/>
  <c r="K390" i="10"/>
  <c r="L390" i="10"/>
  <c r="M390" i="10"/>
  <c r="C391" i="10" a="1"/>
  <c r="C391" i="10"/>
  <c r="D391" i="10"/>
  <c r="E391" i="10"/>
  <c r="F391" i="10"/>
  <c r="G391" i="10"/>
  <c r="H391" i="10" a="1"/>
  <c r="H391" i="10"/>
  <c r="I391" i="10"/>
  <c r="J391" i="10"/>
  <c r="K391" i="10"/>
  <c r="L391" i="10"/>
  <c r="M391" i="10"/>
  <c r="C392" i="10" a="1"/>
  <c r="C392" i="10"/>
  <c r="D392" i="10"/>
  <c r="E392" i="10"/>
  <c r="F392" i="10"/>
  <c r="G392" i="10"/>
  <c r="H392" i="10" a="1"/>
  <c r="H392" i="10"/>
  <c r="I392" i="10"/>
  <c r="J392" i="10"/>
  <c r="K392" i="10"/>
  <c r="L392" i="10"/>
  <c r="M392" i="10"/>
  <c r="C393" i="10" a="1"/>
  <c r="C393" i="10"/>
  <c r="D393" i="10"/>
  <c r="E393" i="10"/>
  <c r="F393" i="10"/>
  <c r="G393" i="10"/>
  <c r="H393" i="10" a="1"/>
  <c r="H393" i="10"/>
  <c r="I393" i="10"/>
  <c r="J393" i="10"/>
  <c r="K393" i="10"/>
  <c r="L393" i="10"/>
  <c r="M393" i="10"/>
  <c r="C394" i="10" a="1"/>
  <c r="C394" i="10"/>
  <c r="D394" i="10"/>
  <c r="E394" i="10"/>
  <c r="F394" i="10"/>
  <c r="G394" i="10"/>
  <c r="H394" i="10" a="1"/>
  <c r="H394" i="10"/>
  <c r="I394" i="10"/>
  <c r="J394" i="10"/>
  <c r="K394" i="10"/>
  <c r="L394" i="10"/>
  <c r="M394" i="10"/>
  <c r="C395" i="10" a="1"/>
  <c r="C395" i="10"/>
  <c r="D395" i="10"/>
  <c r="E395" i="10"/>
  <c r="F395" i="10"/>
  <c r="G395" i="10"/>
  <c r="H395" i="10" a="1"/>
  <c r="H395" i="10"/>
  <c r="I395" i="10"/>
  <c r="J395" i="10"/>
  <c r="K395" i="10"/>
  <c r="L395" i="10"/>
  <c r="M395" i="10"/>
  <c r="C396" i="10" a="1"/>
  <c r="C396" i="10"/>
  <c r="D396" i="10"/>
  <c r="E396" i="10"/>
  <c r="F396" i="10"/>
  <c r="G396" i="10"/>
  <c r="H396" i="10" a="1"/>
  <c r="H396" i="10"/>
  <c r="I396" i="10"/>
  <c r="J396" i="10"/>
  <c r="K396" i="10"/>
  <c r="L396" i="10"/>
  <c r="M396" i="10"/>
  <c r="C397" i="10" a="1"/>
  <c r="C397" i="10"/>
  <c r="D397" i="10"/>
  <c r="E397" i="10"/>
  <c r="F397" i="10"/>
  <c r="G397" i="10"/>
  <c r="H397" i="10" a="1"/>
  <c r="H397" i="10"/>
  <c r="I397" i="10"/>
  <c r="J397" i="10"/>
  <c r="K397" i="10"/>
  <c r="L397" i="10"/>
  <c r="M397" i="10"/>
  <c r="C398" i="10" a="1"/>
  <c r="C398" i="10"/>
  <c r="D398" i="10"/>
  <c r="E398" i="10"/>
  <c r="F398" i="10"/>
  <c r="G398" i="10"/>
  <c r="H398" i="10" a="1"/>
  <c r="H398" i="10"/>
  <c r="I398" i="10"/>
  <c r="J398" i="10"/>
  <c r="K398" i="10"/>
  <c r="L398" i="10"/>
  <c r="M398" i="10"/>
  <c r="C399" i="10" a="1"/>
  <c r="C399" i="10"/>
  <c r="D399" i="10"/>
  <c r="E399" i="10"/>
  <c r="F399" i="10"/>
  <c r="G399" i="10"/>
  <c r="H399" i="10" a="1"/>
  <c r="H399" i="10"/>
  <c r="I399" i="10"/>
  <c r="J399" i="10"/>
  <c r="K399" i="10"/>
  <c r="L399" i="10"/>
  <c r="M399" i="10"/>
  <c r="C400" i="10" a="1"/>
  <c r="C400" i="10"/>
  <c r="D400" i="10"/>
  <c r="E400" i="10"/>
  <c r="F400" i="10"/>
  <c r="G400" i="10"/>
  <c r="H400" i="10" a="1"/>
  <c r="H400" i="10"/>
  <c r="I400" i="10"/>
  <c r="J400" i="10"/>
  <c r="K400" i="10"/>
  <c r="L400" i="10"/>
  <c r="M400" i="10"/>
  <c r="C401" i="10" a="1"/>
  <c r="C401" i="10"/>
  <c r="D401" i="10"/>
  <c r="E401" i="10"/>
  <c r="F401" i="10"/>
  <c r="G401" i="10"/>
  <c r="H401" i="10" a="1"/>
  <c r="H401" i="10"/>
  <c r="I401" i="10"/>
  <c r="J401" i="10"/>
  <c r="K401" i="10"/>
  <c r="L401" i="10"/>
  <c r="M401" i="10"/>
  <c r="C402" i="10" a="1"/>
  <c r="C402" i="10"/>
  <c r="D402" i="10"/>
  <c r="E402" i="10"/>
  <c r="F402" i="10"/>
  <c r="G402" i="10"/>
  <c r="H402" i="10" a="1"/>
  <c r="H402" i="10"/>
  <c r="I402" i="10"/>
  <c r="J402" i="10"/>
  <c r="K402" i="10"/>
  <c r="L402" i="10"/>
  <c r="M402" i="10"/>
  <c r="C403" i="10" a="1"/>
  <c r="C403" i="10"/>
  <c r="D403" i="10"/>
  <c r="E403" i="10"/>
  <c r="F403" i="10"/>
  <c r="G403" i="10"/>
  <c r="H403" i="10" a="1"/>
  <c r="H403" i="10"/>
  <c r="I403" i="10"/>
  <c r="J403" i="10"/>
  <c r="K403" i="10"/>
  <c r="L403" i="10"/>
  <c r="M403" i="10"/>
  <c r="C404" i="10" a="1"/>
  <c r="C404" i="10"/>
  <c r="D404" i="10"/>
  <c r="E404" i="10"/>
  <c r="F404" i="10"/>
  <c r="G404" i="10"/>
  <c r="H404" i="10" a="1"/>
  <c r="H404" i="10"/>
  <c r="I404" i="10"/>
  <c r="J404" i="10"/>
  <c r="K404" i="10"/>
  <c r="L404" i="10"/>
  <c r="M404" i="10"/>
  <c r="C405" i="10" a="1"/>
  <c r="C405" i="10"/>
  <c r="D405" i="10"/>
  <c r="E405" i="10"/>
  <c r="F405" i="10"/>
  <c r="G405" i="10"/>
  <c r="H405" i="10" a="1"/>
  <c r="H405" i="10"/>
  <c r="I405" i="10"/>
  <c r="J405" i="10"/>
  <c r="K405" i="10"/>
  <c r="L405" i="10"/>
  <c r="M405" i="10"/>
  <c r="C406" i="10" a="1"/>
  <c r="C406" i="10"/>
  <c r="D406" i="10"/>
  <c r="E406" i="10"/>
  <c r="F406" i="10"/>
  <c r="G406" i="10"/>
  <c r="H406" i="10" a="1"/>
  <c r="H406" i="10"/>
  <c r="I406" i="10"/>
  <c r="J406" i="10"/>
  <c r="K406" i="10"/>
  <c r="L406" i="10"/>
  <c r="M406" i="10"/>
  <c r="C407" i="10" a="1"/>
  <c r="C407" i="10"/>
  <c r="D407" i="10"/>
  <c r="E407" i="10"/>
  <c r="F407" i="10"/>
  <c r="G407" i="10"/>
  <c r="H407" i="10" a="1"/>
  <c r="H407" i="10"/>
  <c r="I407" i="10"/>
  <c r="J407" i="10"/>
  <c r="K407" i="10"/>
  <c r="L407" i="10"/>
  <c r="M407" i="10"/>
  <c r="C408" i="10" a="1"/>
  <c r="C408" i="10"/>
  <c r="D408" i="10"/>
  <c r="E408" i="10"/>
  <c r="F408" i="10"/>
  <c r="G408" i="10"/>
  <c r="H408" i="10" a="1"/>
  <c r="H408" i="10"/>
  <c r="I408" i="10"/>
  <c r="J408" i="10"/>
  <c r="K408" i="10"/>
  <c r="L408" i="10"/>
  <c r="M408" i="10"/>
  <c r="C409" i="10" a="1"/>
  <c r="C409" i="10"/>
  <c r="D409" i="10"/>
  <c r="E409" i="10"/>
  <c r="F409" i="10"/>
  <c r="G409" i="10"/>
  <c r="H409" i="10" a="1"/>
  <c r="H409" i="10"/>
  <c r="I409" i="10"/>
  <c r="J409" i="10"/>
  <c r="K409" i="10"/>
  <c r="L409" i="10"/>
  <c r="M409" i="10"/>
  <c r="C410" i="10" a="1"/>
  <c r="C410" i="10"/>
  <c r="D410" i="10"/>
  <c r="E410" i="10"/>
  <c r="F410" i="10"/>
  <c r="G410" i="10"/>
  <c r="H410" i="10" a="1"/>
  <c r="H410" i="10"/>
  <c r="I410" i="10"/>
  <c r="J410" i="10"/>
  <c r="K410" i="10"/>
  <c r="L410" i="10"/>
  <c r="M410" i="10"/>
  <c r="C411" i="10" a="1"/>
  <c r="C411" i="10"/>
  <c r="D411" i="10"/>
  <c r="E411" i="10"/>
  <c r="F411" i="10"/>
  <c r="G411" i="10"/>
  <c r="H411" i="10" a="1"/>
  <c r="H411" i="10"/>
  <c r="I411" i="10"/>
  <c r="J411" i="10"/>
  <c r="K411" i="10"/>
  <c r="L411" i="10"/>
  <c r="M411" i="10"/>
  <c r="C412" i="10" a="1"/>
  <c r="C412" i="10"/>
  <c r="D412" i="10"/>
  <c r="E412" i="10"/>
  <c r="F412" i="10"/>
  <c r="G412" i="10"/>
  <c r="H412" i="10" a="1"/>
  <c r="H412" i="10"/>
  <c r="I412" i="10"/>
  <c r="J412" i="10"/>
  <c r="K412" i="10"/>
  <c r="L412" i="10"/>
  <c r="M412" i="10"/>
  <c r="C413" i="10" a="1"/>
  <c r="C413" i="10"/>
  <c r="D413" i="10"/>
  <c r="E413" i="10"/>
  <c r="F413" i="10"/>
  <c r="G413" i="10"/>
  <c r="H413" i="10" a="1"/>
  <c r="H413" i="10"/>
  <c r="I413" i="10"/>
  <c r="J413" i="10"/>
  <c r="K413" i="10"/>
  <c r="L413" i="10"/>
  <c r="M413" i="10"/>
  <c r="C414" i="10" a="1"/>
  <c r="C414" i="10"/>
  <c r="D414" i="10"/>
  <c r="E414" i="10"/>
  <c r="F414" i="10"/>
  <c r="G414" i="10"/>
  <c r="H414" i="10" a="1"/>
  <c r="H414" i="10"/>
  <c r="I414" i="10"/>
  <c r="J414" i="10"/>
  <c r="K414" i="10"/>
  <c r="L414" i="10"/>
  <c r="M414" i="10"/>
  <c r="C415" i="10" a="1"/>
  <c r="C415" i="10"/>
  <c r="D415" i="10"/>
  <c r="E415" i="10"/>
  <c r="F415" i="10"/>
  <c r="G415" i="10"/>
  <c r="H415" i="10" a="1"/>
  <c r="H415" i="10"/>
  <c r="I415" i="10"/>
  <c r="J415" i="10"/>
  <c r="K415" i="10"/>
  <c r="L415" i="10"/>
  <c r="M415" i="10"/>
  <c r="C416" i="10" a="1"/>
  <c r="C416" i="10"/>
  <c r="D416" i="10"/>
  <c r="E416" i="10"/>
  <c r="F416" i="10"/>
  <c r="G416" i="10"/>
  <c r="H416" i="10" a="1"/>
  <c r="H416" i="10"/>
  <c r="I416" i="10"/>
  <c r="J416" i="10"/>
  <c r="K416" i="10"/>
  <c r="L416" i="10"/>
  <c r="M416" i="10"/>
  <c r="C417" i="10" a="1"/>
  <c r="C417" i="10"/>
  <c r="D417" i="10"/>
  <c r="E417" i="10"/>
  <c r="F417" i="10"/>
  <c r="G417" i="10"/>
  <c r="H417" i="10" a="1"/>
  <c r="H417" i="10"/>
  <c r="I417" i="10"/>
  <c r="J417" i="10"/>
  <c r="K417" i="10"/>
  <c r="L417" i="10"/>
  <c r="M417" i="10"/>
  <c r="C418" i="10" a="1"/>
  <c r="C418" i="10"/>
  <c r="D418" i="10"/>
  <c r="E418" i="10"/>
  <c r="F418" i="10"/>
  <c r="G418" i="10"/>
  <c r="H418" i="10" a="1"/>
  <c r="H418" i="10"/>
  <c r="I418" i="10"/>
  <c r="J418" i="10"/>
  <c r="K418" i="10"/>
  <c r="L418" i="10"/>
  <c r="M418" i="10"/>
  <c r="C419" i="10" a="1"/>
  <c r="C419" i="10"/>
  <c r="D419" i="10"/>
  <c r="E419" i="10"/>
  <c r="F419" i="10"/>
  <c r="G419" i="10"/>
  <c r="H419" i="10" a="1"/>
  <c r="H419" i="10"/>
  <c r="I419" i="10"/>
  <c r="J419" i="10"/>
  <c r="K419" i="10"/>
  <c r="L419" i="10"/>
  <c r="M419" i="10"/>
  <c r="C420" i="10" a="1"/>
  <c r="C420" i="10"/>
  <c r="D420" i="10"/>
  <c r="E420" i="10"/>
  <c r="F420" i="10"/>
  <c r="G420" i="10"/>
  <c r="H420" i="10" a="1"/>
  <c r="H420" i="10"/>
  <c r="I420" i="10"/>
  <c r="J420" i="10"/>
  <c r="K420" i="10"/>
  <c r="L420" i="10"/>
  <c r="M420" i="10"/>
  <c r="C421" i="10" a="1"/>
  <c r="C421" i="10"/>
  <c r="D421" i="10"/>
  <c r="E421" i="10"/>
  <c r="F421" i="10"/>
  <c r="G421" i="10"/>
  <c r="H421" i="10" a="1"/>
  <c r="H421" i="10"/>
  <c r="I421" i="10"/>
  <c r="J421" i="10"/>
  <c r="K421" i="10"/>
  <c r="L421" i="10"/>
  <c r="M421" i="10"/>
  <c r="C422" i="10" a="1"/>
  <c r="C422" i="10"/>
  <c r="D422" i="10"/>
  <c r="E422" i="10"/>
  <c r="F422" i="10"/>
  <c r="G422" i="10"/>
  <c r="H422" i="10" a="1"/>
  <c r="H422" i="10"/>
  <c r="I422" i="10"/>
  <c r="J422" i="10"/>
  <c r="K422" i="10"/>
  <c r="L422" i="10"/>
  <c r="M422" i="10"/>
  <c r="C423" i="10" a="1"/>
  <c r="C423" i="10"/>
  <c r="D423" i="10"/>
  <c r="E423" i="10"/>
  <c r="F423" i="10"/>
  <c r="G423" i="10"/>
  <c r="H423" i="10" a="1"/>
  <c r="H423" i="10"/>
  <c r="I423" i="10"/>
  <c r="J423" i="10"/>
  <c r="K423" i="10"/>
  <c r="L423" i="10"/>
  <c r="M423" i="10"/>
  <c r="C424" i="10" a="1"/>
  <c r="C424" i="10"/>
  <c r="D424" i="10"/>
  <c r="E424" i="10"/>
  <c r="F424" i="10"/>
  <c r="G424" i="10"/>
  <c r="H424" i="10" a="1"/>
  <c r="H424" i="10"/>
  <c r="I424" i="10"/>
  <c r="J424" i="10"/>
  <c r="K424" i="10"/>
  <c r="L424" i="10"/>
  <c r="M424" i="10"/>
  <c r="C425" i="10" a="1"/>
  <c r="C425" i="10"/>
  <c r="D425" i="10"/>
  <c r="E425" i="10"/>
  <c r="F425" i="10"/>
  <c r="G425" i="10"/>
  <c r="H425" i="10" a="1"/>
  <c r="H425" i="10"/>
  <c r="I425" i="10"/>
  <c r="J425" i="10"/>
  <c r="K425" i="10"/>
  <c r="L425" i="10"/>
  <c r="M425" i="10"/>
  <c r="C426" i="10" a="1"/>
  <c r="C426" i="10"/>
  <c r="D426" i="10"/>
  <c r="E426" i="10"/>
  <c r="F426" i="10"/>
  <c r="G426" i="10"/>
  <c r="H426" i="10" a="1"/>
  <c r="H426" i="10"/>
  <c r="I426" i="10"/>
  <c r="J426" i="10"/>
  <c r="K426" i="10"/>
  <c r="L426" i="10"/>
  <c r="M426" i="10"/>
  <c r="C427" i="10" a="1"/>
  <c r="C427" i="10"/>
  <c r="D427" i="10"/>
  <c r="E427" i="10"/>
  <c r="F427" i="10"/>
  <c r="G427" i="10"/>
  <c r="H427" i="10" a="1"/>
  <c r="H427" i="10"/>
  <c r="I427" i="10"/>
  <c r="J427" i="10"/>
  <c r="K427" i="10"/>
  <c r="L427" i="10"/>
  <c r="M427" i="10"/>
  <c r="C428" i="10" a="1"/>
  <c r="C428" i="10"/>
  <c r="D428" i="10"/>
  <c r="E428" i="10"/>
  <c r="F428" i="10"/>
  <c r="G428" i="10"/>
  <c r="H428" i="10" a="1"/>
  <c r="H428" i="10"/>
  <c r="I428" i="10"/>
  <c r="J428" i="10"/>
  <c r="K428" i="10"/>
  <c r="L428" i="10"/>
  <c r="M428" i="10"/>
  <c r="C429" i="10" a="1"/>
  <c r="C429" i="10"/>
  <c r="D429" i="10"/>
  <c r="E429" i="10"/>
  <c r="F429" i="10"/>
  <c r="G429" i="10"/>
  <c r="H429" i="10" a="1"/>
  <c r="H429" i="10"/>
  <c r="I429" i="10"/>
  <c r="J429" i="10"/>
  <c r="K429" i="10"/>
  <c r="L429" i="10"/>
  <c r="M429" i="10"/>
  <c r="C430" i="10" a="1"/>
  <c r="C430" i="10"/>
  <c r="D430" i="10"/>
  <c r="E430" i="10"/>
  <c r="F430" i="10"/>
  <c r="G430" i="10"/>
  <c r="H430" i="10" a="1"/>
  <c r="H430" i="10"/>
  <c r="I430" i="10"/>
  <c r="J430" i="10"/>
  <c r="K430" i="10"/>
  <c r="L430" i="10"/>
  <c r="M430" i="10"/>
  <c r="C431" i="10" a="1"/>
  <c r="C431" i="10"/>
  <c r="D431" i="10"/>
  <c r="E431" i="10"/>
  <c r="F431" i="10"/>
  <c r="G431" i="10"/>
  <c r="H431" i="10" a="1"/>
  <c r="H431" i="10"/>
  <c r="I431" i="10"/>
  <c r="J431" i="10"/>
  <c r="K431" i="10"/>
  <c r="L431" i="10"/>
  <c r="M431" i="10"/>
  <c r="C432" i="10" a="1"/>
  <c r="C432" i="10"/>
  <c r="D432" i="10"/>
  <c r="E432" i="10"/>
  <c r="F432" i="10"/>
  <c r="G432" i="10"/>
  <c r="H432" i="10" a="1"/>
  <c r="H432" i="10"/>
  <c r="I432" i="10"/>
  <c r="J432" i="10"/>
  <c r="K432" i="10"/>
  <c r="L432" i="10"/>
  <c r="M432" i="10"/>
  <c r="C433" i="10" a="1"/>
  <c r="C433" i="10"/>
  <c r="D433" i="10"/>
  <c r="E433" i="10"/>
  <c r="F433" i="10"/>
  <c r="G433" i="10"/>
  <c r="H433" i="10" a="1"/>
  <c r="H433" i="10"/>
  <c r="I433" i="10"/>
  <c r="J433" i="10"/>
  <c r="K433" i="10"/>
  <c r="L433" i="10"/>
  <c r="M433" i="10"/>
  <c r="C434" i="10" a="1"/>
  <c r="C434" i="10"/>
  <c r="D434" i="10"/>
  <c r="E434" i="10"/>
  <c r="F434" i="10"/>
  <c r="G434" i="10"/>
  <c r="H434" i="10" a="1"/>
  <c r="H434" i="10"/>
  <c r="I434" i="10"/>
  <c r="J434" i="10"/>
  <c r="K434" i="10"/>
  <c r="L434" i="10"/>
  <c r="M434" i="10"/>
  <c r="C435" i="10" a="1"/>
  <c r="C435" i="10"/>
  <c r="D435" i="10"/>
  <c r="E435" i="10"/>
  <c r="F435" i="10"/>
  <c r="G435" i="10"/>
  <c r="H435" i="10" a="1"/>
  <c r="H435" i="10"/>
  <c r="I435" i="10"/>
  <c r="J435" i="10"/>
  <c r="K435" i="10"/>
  <c r="L435" i="10"/>
  <c r="M435" i="10"/>
  <c r="C436" i="10" a="1"/>
  <c r="C436" i="10"/>
  <c r="D436" i="10"/>
  <c r="E436" i="10"/>
  <c r="F436" i="10"/>
  <c r="G436" i="10"/>
  <c r="H436" i="10" a="1"/>
  <c r="H436" i="10"/>
  <c r="I436" i="10"/>
  <c r="J436" i="10"/>
  <c r="K436" i="10"/>
  <c r="L436" i="10"/>
  <c r="M436" i="10"/>
  <c r="C437" i="10" a="1"/>
  <c r="C437" i="10"/>
  <c r="D437" i="10"/>
  <c r="E437" i="10"/>
  <c r="F437" i="10"/>
  <c r="G437" i="10"/>
  <c r="H437" i="10" a="1"/>
  <c r="H437" i="10"/>
  <c r="I437" i="10"/>
  <c r="J437" i="10"/>
  <c r="K437" i="10"/>
  <c r="L437" i="10"/>
  <c r="M437" i="10"/>
  <c r="C438" i="10" a="1"/>
  <c r="C438" i="10"/>
  <c r="D438" i="10"/>
  <c r="E438" i="10"/>
  <c r="F438" i="10"/>
  <c r="G438" i="10"/>
  <c r="H438" i="10" a="1"/>
  <c r="H438" i="10"/>
  <c r="I438" i="10"/>
  <c r="J438" i="10"/>
  <c r="K438" i="10"/>
  <c r="L438" i="10"/>
  <c r="M438" i="10"/>
  <c r="C439" i="10" a="1"/>
  <c r="C439" i="10"/>
  <c r="D439" i="10"/>
  <c r="E439" i="10"/>
  <c r="F439" i="10"/>
  <c r="G439" i="10"/>
  <c r="H439" i="10" a="1"/>
  <c r="H439" i="10"/>
  <c r="I439" i="10"/>
  <c r="J439" i="10"/>
  <c r="K439" i="10"/>
  <c r="L439" i="10"/>
  <c r="M439" i="10"/>
  <c r="C440" i="10" a="1"/>
  <c r="C440" i="10"/>
  <c r="D440" i="10"/>
  <c r="E440" i="10"/>
  <c r="F440" i="10"/>
  <c r="G440" i="10"/>
  <c r="H440" i="10" a="1"/>
  <c r="H440" i="10"/>
  <c r="I440" i="10"/>
  <c r="J440" i="10"/>
  <c r="K440" i="10"/>
  <c r="L440" i="10"/>
  <c r="M440" i="10"/>
  <c r="C441" i="10" a="1"/>
  <c r="C441" i="10"/>
  <c r="D441" i="10"/>
  <c r="E441" i="10"/>
  <c r="F441" i="10"/>
  <c r="G441" i="10"/>
  <c r="H441" i="10" a="1"/>
  <c r="H441" i="10"/>
  <c r="I441" i="10"/>
  <c r="J441" i="10"/>
  <c r="K441" i="10"/>
  <c r="L441" i="10"/>
  <c r="M441" i="10"/>
  <c r="C442" i="10" a="1"/>
  <c r="C442" i="10"/>
  <c r="D442" i="10"/>
  <c r="E442" i="10"/>
  <c r="F442" i="10"/>
  <c r="G442" i="10"/>
  <c r="H442" i="10" a="1"/>
  <c r="H442" i="10"/>
  <c r="I442" i="10"/>
  <c r="J442" i="10"/>
  <c r="K442" i="10"/>
  <c r="L442" i="10"/>
  <c r="M442" i="10"/>
  <c r="C443" i="10" a="1"/>
  <c r="C443" i="10"/>
  <c r="D443" i="10"/>
  <c r="E443" i="10"/>
  <c r="F443" i="10"/>
  <c r="G443" i="10"/>
  <c r="H443" i="10" a="1"/>
  <c r="H443" i="10"/>
  <c r="I443" i="10"/>
  <c r="J443" i="10"/>
  <c r="K443" i="10"/>
  <c r="L443" i="10"/>
  <c r="M443" i="10"/>
  <c r="C444" i="10" a="1"/>
  <c r="C444" i="10"/>
  <c r="D444" i="10"/>
  <c r="E444" i="10"/>
  <c r="F444" i="10"/>
  <c r="G444" i="10"/>
  <c r="H444" i="10" a="1"/>
  <c r="H444" i="10"/>
  <c r="I444" i="10"/>
  <c r="J444" i="10"/>
  <c r="K444" i="10"/>
  <c r="L444" i="10"/>
  <c r="M444" i="10"/>
  <c r="C445" i="10" a="1"/>
  <c r="C445" i="10"/>
  <c r="D445" i="10"/>
  <c r="E445" i="10"/>
  <c r="F445" i="10"/>
  <c r="G445" i="10"/>
  <c r="H445" i="10" a="1"/>
  <c r="H445" i="10"/>
  <c r="I445" i="10"/>
  <c r="J445" i="10"/>
  <c r="K445" i="10"/>
  <c r="L445" i="10"/>
  <c r="M445" i="10"/>
  <c r="C446" i="10" a="1"/>
  <c r="C446" i="10"/>
  <c r="D446" i="10"/>
  <c r="E446" i="10"/>
  <c r="F446" i="10"/>
  <c r="G446" i="10"/>
  <c r="H446" i="10" a="1"/>
  <c r="H446" i="10"/>
  <c r="I446" i="10"/>
  <c r="J446" i="10"/>
  <c r="K446" i="10"/>
  <c r="L446" i="10"/>
  <c r="M446" i="10"/>
  <c r="C447" i="10" a="1"/>
  <c r="C447" i="10"/>
  <c r="D447" i="10"/>
  <c r="E447" i="10"/>
  <c r="F447" i="10"/>
  <c r="G447" i="10"/>
  <c r="H447" i="10" a="1"/>
  <c r="H447" i="10"/>
  <c r="I447" i="10"/>
  <c r="J447" i="10"/>
  <c r="K447" i="10"/>
  <c r="L447" i="10"/>
  <c r="M447" i="10"/>
  <c r="C448" i="10" a="1"/>
  <c r="C448" i="10"/>
  <c r="D448" i="10"/>
  <c r="E448" i="10"/>
  <c r="F448" i="10"/>
  <c r="G448" i="10"/>
  <c r="H448" i="10" a="1"/>
  <c r="H448" i="10"/>
  <c r="I448" i="10"/>
  <c r="J448" i="10"/>
  <c r="K448" i="10"/>
  <c r="L448" i="10"/>
  <c r="M448" i="10"/>
  <c r="C449" i="10" a="1"/>
  <c r="C449" i="10"/>
  <c r="D449" i="10"/>
  <c r="E449" i="10"/>
  <c r="F449" i="10"/>
  <c r="G449" i="10"/>
  <c r="H449" i="10" a="1"/>
  <c r="H449" i="10"/>
  <c r="I449" i="10"/>
  <c r="J449" i="10"/>
  <c r="K449" i="10"/>
  <c r="L449" i="10"/>
  <c r="M449" i="10"/>
  <c r="C450" i="10" a="1"/>
  <c r="C450" i="10"/>
  <c r="D450" i="10"/>
  <c r="E450" i="10"/>
  <c r="F450" i="10"/>
  <c r="G450" i="10"/>
  <c r="H450" i="10" a="1"/>
  <c r="H450" i="10"/>
  <c r="I450" i="10"/>
  <c r="J450" i="10"/>
  <c r="K450" i="10"/>
  <c r="L450" i="10"/>
  <c r="M450" i="10"/>
  <c r="C451" i="10" a="1"/>
  <c r="C451" i="10"/>
  <c r="D451" i="10"/>
  <c r="E451" i="10"/>
  <c r="F451" i="10"/>
  <c r="G451" i="10"/>
  <c r="H451" i="10" a="1"/>
  <c r="H451" i="10"/>
  <c r="I451" i="10"/>
  <c r="J451" i="10"/>
  <c r="K451" i="10"/>
  <c r="L451" i="10"/>
  <c r="M451" i="10"/>
  <c r="C452" i="10" a="1"/>
  <c r="C452" i="10"/>
  <c r="D452" i="10"/>
  <c r="E452" i="10"/>
  <c r="F452" i="10"/>
  <c r="G452" i="10"/>
  <c r="H452" i="10" a="1"/>
  <c r="H452" i="10"/>
  <c r="I452" i="10"/>
  <c r="J452" i="10"/>
  <c r="K452" i="10"/>
  <c r="L452" i="10"/>
  <c r="M452" i="10"/>
  <c r="C453" i="10" a="1"/>
  <c r="C453" i="10"/>
  <c r="D453" i="10"/>
  <c r="E453" i="10"/>
  <c r="F453" i="10"/>
  <c r="G453" i="10"/>
  <c r="H453" i="10" a="1"/>
  <c r="H453" i="10"/>
  <c r="I453" i="10"/>
  <c r="J453" i="10"/>
  <c r="K453" i="10"/>
  <c r="L453" i="10"/>
  <c r="M453" i="10"/>
  <c r="C454" i="10" a="1"/>
  <c r="C454" i="10"/>
  <c r="D454" i="10"/>
  <c r="E454" i="10"/>
  <c r="F454" i="10"/>
  <c r="G454" i="10"/>
  <c r="H454" i="10" a="1"/>
  <c r="H454" i="10"/>
  <c r="I454" i="10"/>
  <c r="J454" i="10"/>
  <c r="K454" i="10"/>
  <c r="L454" i="10"/>
  <c r="M454" i="10"/>
  <c r="C455" i="10" a="1"/>
  <c r="C455" i="10"/>
  <c r="D455" i="10"/>
  <c r="E455" i="10"/>
  <c r="F455" i="10"/>
  <c r="G455" i="10"/>
  <c r="H455" i="10" a="1"/>
  <c r="H455" i="10"/>
  <c r="I455" i="10"/>
  <c r="J455" i="10"/>
  <c r="K455" i="10"/>
  <c r="L455" i="10"/>
  <c r="M455" i="10"/>
  <c r="C456" i="10" a="1"/>
  <c r="C456" i="10"/>
  <c r="D456" i="10"/>
  <c r="E456" i="10"/>
  <c r="F456" i="10"/>
  <c r="G456" i="10"/>
  <c r="H456" i="10" a="1"/>
  <c r="H456" i="10"/>
  <c r="I456" i="10"/>
  <c r="J456" i="10"/>
  <c r="K456" i="10"/>
  <c r="L456" i="10"/>
  <c r="M456" i="10"/>
  <c r="C457" i="10" a="1"/>
  <c r="C457" i="10"/>
  <c r="D457" i="10"/>
  <c r="E457" i="10"/>
  <c r="F457" i="10"/>
  <c r="G457" i="10"/>
  <c r="H457" i="10" a="1"/>
  <c r="H457" i="10"/>
  <c r="I457" i="10"/>
  <c r="J457" i="10"/>
  <c r="K457" i="10"/>
  <c r="L457" i="10"/>
  <c r="M457" i="10"/>
  <c r="C458" i="10" a="1"/>
  <c r="C458" i="10"/>
  <c r="D458" i="10"/>
  <c r="E458" i="10"/>
  <c r="F458" i="10"/>
  <c r="G458" i="10"/>
  <c r="H458" i="10" a="1"/>
  <c r="H458" i="10"/>
  <c r="I458" i="10"/>
  <c r="J458" i="10"/>
  <c r="K458" i="10"/>
  <c r="L458" i="10"/>
  <c r="M458" i="10"/>
  <c r="C459" i="10" a="1"/>
  <c r="C459" i="10"/>
  <c r="D459" i="10"/>
  <c r="E459" i="10"/>
  <c r="F459" i="10"/>
  <c r="G459" i="10"/>
  <c r="H459" i="10" a="1"/>
  <c r="H459" i="10"/>
  <c r="I459" i="10"/>
  <c r="J459" i="10"/>
  <c r="K459" i="10"/>
  <c r="L459" i="10"/>
  <c r="M459" i="10"/>
  <c r="C460" i="10" a="1"/>
  <c r="C460" i="10"/>
  <c r="D460" i="10"/>
  <c r="E460" i="10"/>
  <c r="F460" i="10"/>
  <c r="G460" i="10"/>
  <c r="H460" i="10" a="1"/>
  <c r="H460" i="10"/>
  <c r="I460" i="10"/>
  <c r="J460" i="10"/>
  <c r="K460" i="10"/>
  <c r="L460" i="10"/>
  <c r="M460" i="10"/>
  <c r="C461" i="10" a="1"/>
  <c r="C461" i="10"/>
  <c r="D461" i="10"/>
  <c r="E461" i="10"/>
  <c r="F461" i="10"/>
  <c r="G461" i="10"/>
  <c r="H461" i="10" a="1"/>
  <c r="H461" i="10"/>
  <c r="I461" i="10"/>
  <c r="J461" i="10"/>
  <c r="K461" i="10"/>
  <c r="L461" i="10"/>
  <c r="M461" i="10"/>
  <c r="C462" i="10" a="1"/>
  <c r="C462" i="10"/>
  <c r="D462" i="10"/>
  <c r="E462" i="10"/>
  <c r="F462" i="10"/>
  <c r="G462" i="10"/>
  <c r="H462" i="10" a="1"/>
  <c r="H462" i="10"/>
  <c r="I462" i="10"/>
  <c r="J462" i="10"/>
  <c r="K462" i="10"/>
  <c r="L462" i="10"/>
  <c r="M462" i="10"/>
  <c r="C463" i="10" a="1"/>
  <c r="C463" i="10"/>
  <c r="D463" i="10"/>
  <c r="E463" i="10"/>
  <c r="F463" i="10"/>
  <c r="G463" i="10"/>
  <c r="H463" i="10" a="1"/>
  <c r="H463" i="10"/>
  <c r="I463" i="10"/>
  <c r="J463" i="10"/>
  <c r="K463" i="10"/>
  <c r="L463" i="10"/>
  <c r="M463" i="10"/>
  <c r="C464" i="10" a="1"/>
  <c r="C464" i="10"/>
  <c r="D464" i="10"/>
  <c r="E464" i="10"/>
  <c r="F464" i="10"/>
  <c r="G464" i="10"/>
  <c r="H464" i="10" a="1"/>
  <c r="H464" i="10"/>
  <c r="I464" i="10"/>
  <c r="J464" i="10"/>
  <c r="K464" i="10"/>
  <c r="L464" i="10"/>
  <c r="M464" i="10"/>
  <c r="C465" i="10" a="1"/>
  <c r="C465" i="10"/>
  <c r="D465" i="10"/>
  <c r="E465" i="10"/>
  <c r="F465" i="10"/>
  <c r="G465" i="10"/>
  <c r="H465" i="10" a="1"/>
  <c r="H465" i="10"/>
  <c r="I465" i="10"/>
  <c r="J465" i="10"/>
  <c r="K465" i="10"/>
  <c r="L465" i="10"/>
  <c r="M465" i="10"/>
  <c r="C466" i="10" a="1"/>
  <c r="C466" i="10"/>
  <c r="D466" i="10"/>
  <c r="E466" i="10"/>
  <c r="F466" i="10"/>
  <c r="G466" i="10"/>
  <c r="H466" i="10" a="1"/>
  <c r="H466" i="10"/>
  <c r="I466" i="10"/>
  <c r="J466" i="10"/>
  <c r="K466" i="10"/>
  <c r="L466" i="10"/>
  <c r="M466" i="10"/>
  <c r="C467" i="10" a="1"/>
  <c r="C467" i="10"/>
  <c r="D467" i="10"/>
  <c r="E467" i="10"/>
  <c r="F467" i="10"/>
  <c r="G467" i="10"/>
  <c r="H467" i="10" a="1"/>
  <c r="H467" i="10"/>
  <c r="I467" i="10"/>
  <c r="J467" i="10"/>
  <c r="K467" i="10"/>
  <c r="L467" i="10"/>
  <c r="M467" i="10"/>
  <c r="C468" i="10" a="1"/>
  <c r="C468" i="10"/>
  <c r="D468" i="10"/>
  <c r="E468" i="10"/>
  <c r="F468" i="10"/>
  <c r="G468" i="10"/>
  <c r="H468" i="10" a="1"/>
  <c r="H468" i="10"/>
  <c r="I468" i="10"/>
  <c r="J468" i="10"/>
  <c r="K468" i="10"/>
  <c r="L468" i="10"/>
  <c r="M468" i="10"/>
  <c r="C469" i="10" a="1"/>
  <c r="C469" i="10"/>
  <c r="D469" i="10"/>
  <c r="E469" i="10"/>
  <c r="F469" i="10"/>
  <c r="G469" i="10"/>
  <c r="H469" i="10" a="1"/>
  <c r="H469" i="10"/>
  <c r="I469" i="10"/>
  <c r="J469" i="10"/>
  <c r="K469" i="10"/>
  <c r="L469" i="10"/>
  <c r="M469" i="10"/>
  <c r="C470" i="10" a="1"/>
  <c r="C470" i="10"/>
  <c r="D470" i="10"/>
  <c r="E470" i="10"/>
  <c r="F470" i="10"/>
  <c r="G470" i="10"/>
  <c r="H470" i="10" a="1"/>
  <c r="H470" i="10"/>
  <c r="I470" i="10"/>
  <c r="J470" i="10"/>
  <c r="K470" i="10"/>
  <c r="L470" i="10"/>
  <c r="M470" i="10"/>
  <c r="C471" i="10" a="1"/>
  <c r="C471" i="10"/>
  <c r="D471" i="10"/>
  <c r="E471" i="10"/>
  <c r="F471" i="10"/>
  <c r="G471" i="10"/>
  <c r="H471" i="10" a="1"/>
  <c r="H471" i="10"/>
  <c r="I471" i="10"/>
  <c r="J471" i="10"/>
  <c r="K471" i="10"/>
  <c r="L471" i="10"/>
  <c r="M471" i="10"/>
  <c r="C472" i="10" a="1"/>
  <c r="C472" i="10"/>
  <c r="D472" i="10"/>
  <c r="E472" i="10"/>
  <c r="F472" i="10"/>
  <c r="G472" i="10"/>
  <c r="H472" i="10" a="1"/>
  <c r="H472" i="10"/>
  <c r="I472" i="10"/>
  <c r="J472" i="10"/>
  <c r="K472" i="10"/>
  <c r="L472" i="10"/>
  <c r="M472" i="10"/>
  <c r="C473" i="10" a="1"/>
  <c r="C473" i="10"/>
  <c r="D473" i="10"/>
  <c r="E473" i="10"/>
  <c r="F473" i="10"/>
  <c r="G473" i="10"/>
  <c r="H473" i="10" a="1"/>
  <c r="H473" i="10"/>
  <c r="I473" i="10"/>
  <c r="J473" i="10"/>
  <c r="K473" i="10"/>
  <c r="L473" i="10"/>
  <c r="M473" i="10"/>
  <c r="C474" i="10" a="1"/>
  <c r="C474" i="10"/>
  <c r="D474" i="10"/>
  <c r="E474" i="10"/>
  <c r="F474" i="10"/>
  <c r="G474" i="10"/>
  <c r="H474" i="10" a="1"/>
  <c r="H474" i="10"/>
  <c r="I474" i="10"/>
  <c r="J474" i="10"/>
  <c r="K474" i="10"/>
  <c r="L474" i="10"/>
  <c r="M474" i="10"/>
  <c r="C475" i="10" a="1"/>
  <c r="C475" i="10"/>
  <c r="D475" i="10"/>
  <c r="E475" i="10"/>
  <c r="F475" i="10"/>
  <c r="G475" i="10"/>
  <c r="H475" i="10" a="1"/>
  <c r="H475" i="10"/>
  <c r="I475" i="10"/>
  <c r="J475" i="10"/>
  <c r="K475" i="10"/>
  <c r="L475" i="10"/>
  <c r="M475" i="10"/>
  <c r="C476" i="10" a="1"/>
  <c r="C476" i="10"/>
  <c r="D476" i="10"/>
  <c r="E476" i="10"/>
  <c r="F476" i="10"/>
  <c r="G476" i="10"/>
  <c r="H476" i="10" a="1"/>
  <c r="H476" i="10"/>
  <c r="I476" i="10"/>
  <c r="J476" i="10"/>
  <c r="K476" i="10"/>
  <c r="L476" i="10"/>
  <c r="M476" i="10"/>
  <c r="C477" i="10" a="1"/>
  <c r="C477" i="10"/>
  <c r="D477" i="10"/>
  <c r="E477" i="10"/>
  <c r="F477" i="10"/>
  <c r="G477" i="10"/>
  <c r="H477" i="10" a="1"/>
  <c r="H477" i="10"/>
  <c r="I477" i="10"/>
  <c r="J477" i="10"/>
  <c r="K477" i="10"/>
  <c r="L477" i="10"/>
  <c r="M477" i="10"/>
  <c r="C478" i="10" a="1"/>
  <c r="C478" i="10"/>
  <c r="D478" i="10"/>
  <c r="E478" i="10"/>
  <c r="F478" i="10"/>
  <c r="G478" i="10"/>
  <c r="H478" i="10" a="1"/>
  <c r="H478" i="10"/>
  <c r="I478" i="10"/>
  <c r="J478" i="10"/>
  <c r="K478" i="10"/>
  <c r="L478" i="10"/>
  <c r="M478" i="10"/>
  <c r="C479" i="10" a="1"/>
  <c r="C479" i="10"/>
  <c r="D479" i="10"/>
  <c r="E479" i="10"/>
  <c r="F479" i="10"/>
  <c r="G479" i="10"/>
  <c r="H479" i="10" a="1"/>
  <c r="H479" i="10"/>
  <c r="I479" i="10"/>
  <c r="J479" i="10"/>
  <c r="K479" i="10"/>
  <c r="L479" i="10"/>
  <c r="M479" i="10"/>
  <c r="C480" i="10" a="1"/>
  <c r="C480" i="10"/>
  <c r="D480" i="10"/>
  <c r="E480" i="10"/>
  <c r="F480" i="10"/>
  <c r="G480" i="10"/>
  <c r="H480" i="10" a="1"/>
  <c r="H480" i="10"/>
  <c r="I480" i="10"/>
  <c r="J480" i="10"/>
  <c r="K480" i="10"/>
  <c r="L480" i="10"/>
  <c r="M480" i="10"/>
  <c r="C481" i="10" a="1"/>
  <c r="C481" i="10"/>
  <c r="D481" i="10"/>
  <c r="E481" i="10"/>
  <c r="F481" i="10"/>
  <c r="G481" i="10"/>
  <c r="H481" i="10" a="1"/>
  <c r="H481" i="10"/>
  <c r="I481" i="10"/>
  <c r="J481" i="10"/>
  <c r="K481" i="10"/>
  <c r="L481" i="10"/>
  <c r="M481" i="10"/>
  <c r="C482" i="10" a="1"/>
  <c r="C482" i="10"/>
  <c r="D482" i="10"/>
  <c r="E482" i="10"/>
  <c r="F482" i="10"/>
  <c r="G482" i="10"/>
  <c r="H482" i="10" a="1"/>
  <c r="H482" i="10"/>
  <c r="I482" i="10"/>
  <c r="J482" i="10"/>
  <c r="K482" i="10"/>
  <c r="L482" i="10"/>
  <c r="M482" i="10"/>
  <c r="C483" i="10" a="1"/>
  <c r="C483" i="10"/>
  <c r="D483" i="10"/>
  <c r="E483" i="10"/>
  <c r="F483" i="10"/>
  <c r="G483" i="10"/>
  <c r="H483" i="10" a="1"/>
  <c r="H483" i="10"/>
  <c r="I483" i="10"/>
  <c r="J483" i="10"/>
  <c r="K483" i="10"/>
  <c r="L483" i="10"/>
  <c r="M483" i="10"/>
  <c r="C484" i="10" a="1"/>
  <c r="C484" i="10"/>
  <c r="D484" i="10"/>
  <c r="E484" i="10"/>
  <c r="F484" i="10"/>
  <c r="G484" i="10"/>
  <c r="H484" i="10" a="1"/>
  <c r="H484" i="10"/>
  <c r="I484" i="10"/>
  <c r="J484" i="10"/>
  <c r="K484" i="10"/>
  <c r="L484" i="10"/>
  <c r="M484" i="10"/>
  <c r="C485" i="10" a="1"/>
  <c r="C485" i="10"/>
  <c r="D485" i="10"/>
  <c r="E485" i="10"/>
  <c r="F485" i="10"/>
  <c r="G485" i="10"/>
  <c r="H485" i="10" a="1"/>
  <c r="H485" i="10"/>
  <c r="I485" i="10"/>
  <c r="J485" i="10"/>
  <c r="K485" i="10"/>
  <c r="L485" i="10"/>
  <c r="M485" i="10"/>
  <c r="C486" i="10" a="1"/>
  <c r="C486" i="10"/>
  <c r="D486" i="10"/>
  <c r="E486" i="10"/>
  <c r="F486" i="10"/>
  <c r="G486" i="10"/>
  <c r="H486" i="10" a="1"/>
  <c r="H486" i="10"/>
  <c r="I486" i="10"/>
  <c r="J486" i="10"/>
  <c r="K486" i="10"/>
  <c r="L486" i="10"/>
  <c r="M486" i="10"/>
  <c r="C487" i="10" a="1"/>
  <c r="C487" i="10"/>
  <c r="D487" i="10"/>
  <c r="E487" i="10"/>
  <c r="F487" i="10"/>
  <c r="G487" i="10"/>
  <c r="H487" i="10" a="1"/>
  <c r="H487" i="10"/>
  <c r="I487" i="10"/>
  <c r="J487" i="10"/>
  <c r="K487" i="10"/>
  <c r="L487" i="10"/>
  <c r="M487" i="10"/>
  <c r="C488" i="10" a="1"/>
  <c r="C488" i="10"/>
  <c r="D488" i="10"/>
  <c r="E488" i="10"/>
  <c r="F488" i="10"/>
  <c r="G488" i="10"/>
  <c r="H488" i="10" a="1"/>
  <c r="H488" i="10"/>
  <c r="I488" i="10"/>
  <c r="J488" i="10"/>
  <c r="K488" i="10"/>
  <c r="L488" i="10"/>
  <c r="M488" i="10"/>
  <c r="C489" i="10" a="1"/>
  <c r="C489" i="10"/>
  <c r="D489" i="10"/>
  <c r="E489" i="10"/>
  <c r="F489" i="10"/>
  <c r="G489" i="10"/>
  <c r="H489" i="10" a="1"/>
  <c r="H489" i="10"/>
  <c r="I489" i="10"/>
  <c r="J489" i="10"/>
  <c r="K489" i="10"/>
  <c r="L489" i="10"/>
  <c r="M489" i="10"/>
  <c r="C490" i="10" a="1"/>
  <c r="C490" i="10"/>
  <c r="D490" i="10"/>
  <c r="E490" i="10"/>
  <c r="F490" i="10"/>
  <c r="G490" i="10"/>
  <c r="H490" i="10" a="1"/>
  <c r="H490" i="10"/>
  <c r="I490" i="10"/>
  <c r="J490" i="10"/>
  <c r="K490" i="10"/>
  <c r="L490" i="10"/>
  <c r="M490" i="10"/>
  <c r="C491" i="10" a="1"/>
  <c r="C491" i="10"/>
  <c r="D491" i="10"/>
  <c r="E491" i="10"/>
  <c r="F491" i="10"/>
  <c r="G491" i="10"/>
  <c r="H491" i="10" a="1"/>
  <c r="H491" i="10"/>
  <c r="I491" i="10"/>
  <c r="J491" i="10"/>
  <c r="K491" i="10"/>
  <c r="L491" i="10"/>
  <c r="M491" i="10"/>
  <c r="C492" i="10" a="1"/>
  <c r="C492" i="10"/>
  <c r="D492" i="10"/>
  <c r="E492" i="10"/>
  <c r="F492" i="10"/>
  <c r="G492" i="10"/>
  <c r="H492" i="10" a="1"/>
  <c r="H492" i="10"/>
  <c r="I492" i="10"/>
  <c r="J492" i="10"/>
  <c r="K492" i="10"/>
  <c r="L492" i="10"/>
  <c r="M492" i="10"/>
  <c r="C493" i="10" a="1"/>
  <c r="C493" i="10"/>
  <c r="D493" i="10"/>
  <c r="E493" i="10"/>
  <c r="F493" i="10"/>
  <c r="G493" i="10"/>
  <c r="H493" i="10" a="1"/>
  <c r="H493" i="10"/>
  <c r="I493" i="10"/>
  <c r="J493" i="10"/>
  <c r="K493" i="10"/>
  <c r="L493" i="10"/>
  <c r="M493" i="10"/>
  <c r="C494" i="10" a="1"/>
  <c r="C494" i="10"/>
  <c r="D494" i="10"/>
  <c r="E494" i="10"/>
  <c r="F494" i="10"/>
  <c r="G494" i="10"/>
  <c r="H494" i="10" a="1"/>
  <c r="H494" i="10"/>
  <c r="I494" i="10"/>
  <c r="J494" i="10"/>
  <c r="K494" i="10"/>
  <c r="L494" i="10"/>
  <c r="M494" i="10"/>
  <c r="C495" i="10" a="1"/>
  <c r="C495" i="10"/>
  <c r="D495" i="10"/>
  <c r="E495" i="10"/>
  <c r="F495" i="10"/>
  <c r="G495" i="10"/>
  <c r="H495" i="10" a="1"/>
  <c r="H495" i="10"/>
  <c r="I495" i="10"/>
  <c r="J495" i="10"/>
  <c r="K495" i="10"/>
  <c r="L495" i="10"/>
  <c r="M495" i="10"/>
  <c r="C496" i="10" a="1"/>
  <c r="C496" i="10"/>
  <c r="D496" i="10"/>
  <c r="E496" i="10"/>
  <c r="F496" i="10"/>
  <c r="G496" i="10"/>
  <c r="H496" i="10" a="1"/>
  <c r="H496" i="10"/>
  <c r="I496" i="10"/>
  <c r="J496" i="10"/>
  <c r="K496" i="10"/>
  <c r="L496" i="10"/>
  <c r="M496" i="10"/>
  <c r="C497" i="10" a="1"/>
  <c r="C497" i="10"/>
  <c r="D497" i="10"/>
  <c r="E497" i="10"/>
  <c r="F497" i="10"/>
  <c r="G497" i="10"/>
  <c r="H497" i="10" a="1"/>
  <c r="H497" i="10"/>
  <c r="I497" i="10"/>
  <c r="J497" i="10"/>
  <c r="K497" i="10"/>
  <c r="L497" i="10"/>
  <c r="M497" i="10"/>
  <c r="C498" i="10" a="1"/>
  <c r="C498" i="10"/>
  <c r="D498" i="10"/>
  <c r="E498" i="10"/>
  <c r="F498" i="10"/>
  <c r="G498" i="10"/>
  <c r="H498" i="10" a="1"/>
  <c r="H498" i="10"/>
  <c r="I498" i="10"/>
  <c r="J498" i="10"/>
  <c r="K498" i="10"/>
  <c r="L498" i="10"/>
  <c r="M498" i="10"/>
  <c r="C499" i="10" a="1"/>
  <c r="C499" i="10"/>
  <c r="D499" i="10"/>
  <c r="E499" i="10"/>
  <c r="F499" i="10"/>
  <c r="G499" i="10"/>
  <c r="H499" i="10" a="1"/>
  <c r="H499" i="10"/>
  <c r="I499" i="10"/>
  <c r="J499" i="10"/>
  <c r="K499" i="10"/>
  <c r="L499" i="10"/>
  <c r="M499" i="10"/>
  <c r="C500" i="10" a="1"/>
  <c r="C500" i="10"/>
  <c r="D500" i="10"/>
  <c r="E500" i="10"/>
  <c r="F500" i="10"/>
  <c r="G500" i="10"/>
  <c r="H500" i="10" a="1"/>
  <c r="H500" i="10"/>
  <c r="I500" i="10"/>
  <c r="J500" i="10"/>
  <c r="K500" i="10"/>
  <c r="L500" i="10"/>
  <c r="M500" i="10"/>
  <c r="C501" i="10" a="1"/>
  <c r="C501" i="10"/>
  <c r="D501" i="10"/>
  <c r="E501" i="10"/>
  <c r="F501" i="10"/>
  <c r="G501" i="10"/>
  <c r="H501" i="10" a="1"/>
  <c r="H501" i="10"/>
  <c r="I501" i="10"/>
  <c r="J501" i="10"/>
  <c r="K501" i="10"/>
  <c r="L501" i="10"/>
  <c r="M501" i="10"/>
  <c r="C502" i="10" a="1"/>
  <c r="C502" i="10"/>
  <c r="D502" i="10"/>
  <c r="E502" i="10"/>
  <c r="F502" i="10"/>
  <c r="G502" i="10"/>
  <c r="H502" i="10" a="1"/>
  <c r="H502" i="10"/>
  <c r="I502" i="10"/>
  <c r="J502" i="10"/>
  <c r="K502" i="10"/>
  <c r="L502" i="10"/>
  <c r="M502" i="10"/>
  <c r="C503" i="10" a="1"/>
  <c r="C503" i="10"/>
  <c r="D503" i="10"/>
  <c r="E503" i="10"/>
  <c r="F503" i="10"/>
  <c r="G503" i="10"/>
  <c r="H503" i="10" a="1"/>
  <c r="H503" i="10"/>
  <c r="I503" i="10"/>
  <c r="J503" i="10"/>
  <c r="K503" i="10"/>
  <c r="L503" i="10"/>
  <c r="M503" i="10"/>
  <c r="C504" i="10" a="1"/>
  <c r="C504" i="10"/>
  <c r="D504" i="10"/>
  <c r="E504" i="10"/>
  <c r="F504" i="10"/>
  <c r="G504" i="10"/>
  <c r="H504" i="10" a="1"/>
  <c r="H504" i="10"/>
  <c r="I504" i="10"/>
  <c r="J504" i="10"/>
  <c r="K504" i="10"/>
  <c r="L504" i="10"/>
  <c r="M504" i="10"/>
  <c r="C505" i="10" a="1"/>
  <c r="C505" i="10"/>
  <c r="D505" i="10"/>
  <c r="E505" i="10"/>
  <c r="F505" i="10"/>
  <c r="G505" i="10"/>
  <c r="H505" i="10" a="1"/>
  <c r="H505" i="10"/>
  <c r="I505" i="10"/>
  <c r="J505" i="10"/>
  <c r="K505" i="10"/>
  <c r="L505" i="10"/>
  <c r="M505" i="10"/>
  <c r="C506" i="10" a="1"/>
  <c r="C506" i="10"/>
  <c r="D506" i="10"/>
  <c r="E506" i="10"/>
  <c r="F506" i="10"/>
  <c r="G506" i="10"/>
  <c r="H506" i="10" a="1"/>
  <c r="H506" i="10"/>
  <c r="I506" i="10"/>
  <c r="J506" i="10"/>
  <c r="K506" i="10"/>
  <c r="L506" i="10"/>
  <c r="M506" i="10"/>
  <c r="C507" i="10" a="1"/>
  <c r="C507" i="10"/>
  <c r="D507" i="10"/>
  <c r="E507" i="10"/>
  <c r="F507" i="10"/>
  <c r="G507" i="10"/>
  <c r="H507" i="10" a="1"/>
  <c r="H507" i="10"/>
  <c r="I507" i="10"/>
  <c r="J507" i="10"/>
  <c r="K507" i="10"/>
  <c r="L507" i="10"/>
  <c r="M507" i="10"/>
  <c r="C508" i="10" a="1"/>
  <c r="C508" i="10"/>
  <c r="D508" i="10"/>
  <c r="E508" i="10"/>
  <c r="F508" i="10"/>
  <c r="G508" i="10"/>
  <c r="H508" i="10" a="1"/>
  <c r="H508" i="10"/>
  <c r="I508" i="10"/>
  <c r="J508" i="10"/>
  <c r="K508" i="10"/>
  <c r="L508" i="10"/>
  <c r="M508" i="10"/>
  <c r="C509" i="10" a="1"/>
  <c r="C509" i="10"/>
  <c r="D509" i="10"/>
  <c r="E509" i="10"/>
  <c r="F509" i="10"/>
  <c r="G509" i="10"/>
  <c r="H509" i="10" a="1"/>
  <c r="H509" i="10"/>
  <c r="I509" i="10"/>
  <c r="J509" i="10"/>
  <c r="K509" i="10"/>
  <c r="L509" i="10"/>
  <c r="M509" i="10"/>
  <c r="C510" i="10" a="1"/>
  <c r="C510" i="10"/>
  <c r="D510" i="10"/>
  <c r="E510" i="10"/>
  <c r="F510" i="10"/>
  <c r="G510" i="10"/>
  <c r="H510" i="10" a="1"/>
  <c r="H510" i="10"/>
  <c r="I510" i="10"/>
  <c r="J510" i="10"/>
  <c r="K510" i="10"/>
  <c r="L510" i="10"/>
  <c r="M510" i="10"/>
  <c r="C511" i="10" a="1"/>
  <c r="C511" i="10"/>
  <c r="D511" i="10"/>
  <c r="E511" i="10"/>
  <c r="F511" i="10"/>
  <c r="G511" i="10"/>
  <c r="H511" i="10" a="1"/>
  <c r="H511" i="10"/>
  <c r="I511" i="10"/>
  <c r="J511" i="10"/>
  <c r="K511" i="10"/>
  <c r="L511" i="10"/>
  <c r="M511" i="10"/>
  <c r="C512" i="10" a="1"/>
  <c r="C512" i="10"/>
  <c r="D512" i="10"/>
  <c r="E512" i="10"/>
  <c r="F512" i="10"/>
  <c r="G512" i="10"/>
  <c r="H512" i="10" a="1"/>
  <c r="H512" i="10"/>
  <c r="I512" i="10"/>
  <c r="J512" i="10"/>
  <c r="K512" i="10"/>
  <c r="L512" i="10"/>
  <c r="M512" i="10"/>
  <c r="C513" i="10" a="1"/>
  <c r="C513" i="10"/>
  <c r="D513" i="10"/>
  <c r="E513" i="10"/>
  <c r="F513" i="10"/>
  <c r="G513" i="10"/>
  <c r="H513" i="10" a="1"/>
  <c r="H513" i="10"/>
  <c r="I513" i="10"/>
  <c r="J513" i="10"/>
  <c r="K513" i="10"/>
  <c r="L513" i="10"/>
  <c r="M513" i="10"/>
  <c r="C514" i="10" a="1"/>
  <c r="C514" i="10"/>
  <c r="D514" i="10"/>
  <c r="E514" i="10"/>
  <c r="F514" i="10"/>
  <c r="G514" i="10"/>
  <c r="H514" i="10" a="1"/>
  <c r="H514" i="10"/>
  <c r="I514" i="10"/>
  <c r="J514" i="10"/>
  <c r="K514" i="10"/>
  <c r="L514" i="10"/>
  <c r="M514" i="10"/>
  <c r="C515" i="10" a="1"/>
  <c r="C515" i="10"/>
  <c r="D515" i="10"/>
  <c r="E515" i="10"/>
  <c r="F515" i="10"/>
  <c r="G515" i="10"/>
  <c r="H515" i="10" a="1"/>
  <c r="H515" i="10"/>
  <c r="I515" i="10"/>
  <c r="J515" i="10"/>
  <c r="K515" i="10"/>
  <c r="L515" i="10"/>
  <c r="M515" i="10"/>
  <c r="C516" i="10" a="1"/>
  <c r="C516" i="10"/>
  <c r="D516" i="10"/>
  <c r="E516" i="10"/>
  <c r="F516" i="10"/>
  <c r="G516" i="10"/>
  <c r="H516" i="10" a="1"/>
  <c r="H516" i="10"/>
  <c r="I516" i="10"/>
  <c r="J516" i="10"/>
  <c r="K516" i="10"/>
  <c r="L516" i="10"/>
  <c r="M516" i="10"/>
  <c r="C517" i="10" a="1"/>
  <c r="C517" i="10"/>
  <c r="D517" i="10"/>
  <c r="E517" i="10"/>
  <c r="F517" i="10"/>
  <c r="G517" i="10"/>
  <c r="H517" i="10" a="1"/>
  <c r="H517" i="10"/>
  <c r="I517" i="10"/>
  <c r="J517" i="10"/>
  <c r="K517" i="10"/>
  <c r="L517" i="10"/>
  <c r="M517" i="10"/>
  <c r="C518" i="10" a="1"/>
  <c r="C518" i="10"/>
  <c r="D518" i="10"/>
  <c r="E518" i="10"/>
  <c r="F518" i="10"/>
  <c r="G518" i="10"/>
  <c r="H518" i="10" a="1"/>
  <c r="H518" i="10"/>
  <c r="I518" i="10"/>
  <c r="J518" i="10"/>
  <c r="K518" i="10"/>
  <c r="L518" i="10"/>
  <c r="M518" i="10"/>
  <c r="C519" i="10" a="1"/>
  <c r="C519" i="10"/>
  <c r="D519" i="10"/>
  <c r="E519" i="10"/>
  <c r="F519" i="10"/>
  <c r="G519" i="10"/>
  <c r="H519" i="10" a="1"/>
  <c r="H519" i="10"/>
  <c r="I519" i="10"/>
  <c r="J519" i="10"/>
  <c r="K519" i="10"/>
  <c r="L519" i="10"/>
  <c r="M519" i="10"/>
  <c r="C520" i="10" a="1"/>
  <c r="C520" i="10"/>
  <c r="D520" i="10"/>
  <c r="E520" i="10"/>
  <c r="F520" i="10"/>
  <c r="G520" i="10"/>
  <c r="H520" i="10" a="1"/>
  <c r="H520" i="10"/>
  <c r="I520" i="10"/>
  <c r="J520" i="10"/>
  <c r="K520" i="10"/>
  <c r="L520" i="10"/>
  <c r="M520" i="10"/>
  <c r="C521" i="10" a="1"/>
  <c r="C521" i="10"/>
  <c r="D521" i="10"/>
  <c r="E521" i="10"/>
  <c r="F521" i="10"/>
  <c r="G521" i="10"/>
  <c r="H521" i="10" a="1"/>
  <c r="H521" i="10"/>
  <c r="I521" i="10"/>
  <c r="J521" i="10"/>
  <c r="K521" i="10"/>
  <c r="L521" i="10"/>
  <c r="M521" i="10"/>
  <c r="C522" i="10" a="1"/>
  <c r="C522" i="10"/>
  <c r="D522" i="10"/>
  <c r="E522" i="10"/>
  <c r="F522" i="10"/>
  <c r="G522" i="10"/>
  <c r="H522" i="10" a="1"/>
  <c r="H522" i="10"/>
  <c r="I522" i="10"/>
  <c r="J522" i="10"/>
  <c r="K522" i="10"/>
  <c r="L522" i="10"/>
  <c r="M522" i="10"/>
  <c r="C523" i="10" a="1"/>
  <c r="C523" i="10"/>
  <c r="D523" i="10"/>
  <c r="E523" i="10"/>
  <c r="F523" i="10"/>
  <c r="G523" i="10"/>
  <c r="H523" i="10" a="1"/>
  <c r="H523" i="10"/>
  <c r="I523" i="10"/>
  <c r="J523" i="10"/>
  <c r="K523" i="10"/>
  <c r="L523" i="10"/>
  <c r="M523" i="10"/>
  <c r="C524" i="10" a="1"/>
  <c r="C524" i="10"/>
  <c r="D524" i="10"/>
  <c r="E524" i="10"/>
  <c r="F524" i="10"/>
  <c r="G524" i="10"/>
  <c r="H524" i="10" a="1"/>
  <c r="H524" i="10"/>
  <c r="I524" i="10"/>
  <c r="J524" i="10"/>
  <c r="K524" i="10"/>
  <c r="L524" i="10"/>
  <c r="M524" i="10"/>
  <c r="C525" i="10" a="1"/>
  <c r="C525" i="10"/>
  <c r="D525" i="10"/>
  <c r="E525" i="10"/>
  <c r="F525" i="10"/>
  <c r="G525" i="10"/>
  <c r="H525" i="10" a="1"/>
  <c r="H525" i="10"/>
  <c r="I525" i="10"/>
  <c r="J525" i="10"/>
  <c r="K525" i="10"/>
  <c r="L525" i="10"/>
  <c r="M525" i="10"/>
  <c r="C526" i="10" a="1"/>
  <c r="C526" i="10"/>
  <c r="D526" i="10"/>
  <c r="E526" i="10"/>
  <c r="F526" i="10"/>
  <c r="G526" i="10"/>
  <c r="H526" i="10" a="1"/>
  <c r="H526" i="10"/>
  <c r="I526" i="10"/>
  <c r="J526" i="10"/>
  <c r="K526" i="10"/>
  <c r="L526" i="10"/>
  <c r="M526" i="10"/>
  <c r="C527" i="10" a="1"/>
  <c r="C527" i="10"/>
  <c r="D527" i="10"/>
  <c r="E527" i="10"/>
  <c r="F527" i="10"/>
  <c r="G527" i="10"/>
  <c r="H527" i="10" a="1"/>
  <c r="H527" i="10"/>
  <c r="I527" i="10"/>
  <c r="J527" i="10"/>
  <c r="K527" i="10"/>
  <c r="L527" i="10"/>
  <c r="M527" i="10"/>
  <c r="C528" i="10" a="1"/>
  <c r="C528" i="10"/>
  <c r="D528" i="10"/>
  <c r="E528" i="10"/>
  <c r="F528" i="10"/>
  <c r="G528" i="10"/>
  <c r="H528" i="10" a="1"/>
  <c r="H528" i="10"/>
  <c r="I528" i="10"/>
  <c r="J528" i="10"/>
  <c r="K528" i="10"/>
  <c r="L528" i="10"/>
  <c r="M528" i="10"/>
  <c r="C529" i="10" a="1"/>
  <c r="C529" i="10"/>
  <c r="D529" i="10"/>
  <c r="E529" i="10"/>
  <c r="F529" i="10"/>
  <c r="G529" i="10"/>
  <c r="H529" i="10" a="1"/>
  <c r="H529" i="10"/>
  <c r="I529" i="10"/>
  <c r="J529" i="10"/>
  <c r="K529" i="10"/>
  <c r="L529" i="10"/>
  <c r="M529" i="10"/>
  <c r="C530" i="10" a="1"/>
  <c r="C530" i="10"/>
  <c r="D530" i="10"/>
  <c r="E530" i="10"/>
  <c r="F530" i="10"/>
  <c r="G530" i="10"/>
  <c r="H530" i="10" a="1"/>
  <c r="H530" i="10"/>
  <c r="I530" i="10"/>
  <c r="J530" i="10"/>
  <c r="K530" i="10"/>
  <c r="L530" i="10"/>
  <c r="M530" i="10"/>
  <c r="C531" i="10" a="1"/>
  <c r="C531" i="10"/>
  <c r="D531" i="10"/>
  <c r="E531" i="10"/>
  <c r="F531" i="10"/>
  <c r="G531" i="10"/>
  <c r="H531" i="10" a="1"/>
  <c r="H531" i="10"/>
  <c r="I531" i="10"/>
  <c r="J531" i="10"/>
  <c r="K531" i="10"/>
  <c r="L531" i="10"/>
  <c r="M531" i="10"/>
  <c r="C532" i="10" a="1"/>
  <c r="C532" i="10"/>
  <c r="D532" i="10"/>
  <c r="E532" i="10"/>
  <c r="F532" i="10"/>
  <c r="G532" i="10"/>
  <c r="H532" i="10" a="1"/>
  <c r="H532" i="10"/>
  <c r="I532" i="10"/>
  <c r="J532" i="10"/>
  <c r="K532" i="10"/>
  <c r="L532" i="10"/>
  <c r="M532" i="10"/>
  <c r="C533" i="10" a="1"/>
  <c r="C533" i="10"/>
  <c r="D533" i="10"/>
  <c r="E533" i="10"/>
  <c r="F533" i="10"/>
  <c r="G533" i="10"/>
  <c r="H533" i="10" a="1"/>
  <c r="H533" i="10"/>
  <c r="I533" i="10"/>
  <c r="J533" i="10"/>
  <c r="K533" i="10"/>
  <c r="L533" i="10"/>
  <c r="M533" i="10"/>
  <c r="C534" i="10" a="1"/>
  <c r="C534" i="10"/>
  <c r="D534" i="10"/>
  <c r="E534" i="10"/>
  <c r="F534" i="10"/>
  <c r="G534" i="10"/>
  <c r="H534" i="10" a="1"/>
  <c r="H534" i="10"/>
  <c r="I534" i="10"/>
  <c r="J534" i="10"/>
  <c r="K534" i="10"/>
  <c r="L534" i="10"/>
  <c r="M534" i="10"/>
  <c r="C535" i="10" a="1"/>
  <c r="C535" i="10"/>
  <c r="D535" i="10"/>
  <c r="E535" i="10"/>
  <c r="F535" i="10"/>
  <c r="G535" i="10"/>
  <c r="H535" i="10" a="1"/>
  <c r="H535" i="10"/>
  <c r="I535" i="10"/>
  <c r="J535" i="10"/>
  <c r="K535" i="10"/>
  <c r="L535" i="10"/>
  <c r="M535" i="10"/>
  <c r="C536" i="10" a="1"/>
  <c r="C536" i="10"/>
  <c r="D536" i="10"/>
  <c r="E536" i="10"/>
  <c r="F536" i="10"/>
  <c r="G536" i="10"/>
  <c r="H536" i="10" a="1"/>
  <c r="H536" i="10"/>
  <c r="I536" i="10"/>
  <c r="J536" i="10"/>
  <c r="K536" i="10"/>
  <c r="L536" i="10"/>
  <c r="M536" i="10"/>
  <c r="C537" i="10" a="1"/>
  <c r="C537" i="10"/>
  <c r="D537" i="10"/>
  <c r="E537" i="10"/>
  <c r="F537" i="10"/>
  <c r="G537" i="10"/>
  <c r="H537" i="10" a="1"/>
  <c r="H537" i="10"/>
  <c r="I537" i="10"/>
  <c r="J537" i="10"/>
  <c r="K537" i="10"/>
  <c r="L537" i="10"/>
  <c r="M537" i="10"/>
  <c r="C538" i="10" a="1"/>
  <c r="C538" i="10"/>
  <c r="D538" i="10"/>
  <c r="E538" i="10"/>
  <c r="F538" i="10"/>
  <c r="G538" i="10"/>
  <c r="H538" i="10" a="1"/>
  <c r="H538" i="10"/>
  <c r="I538" i="10"/>
  <c r="J538" i="10"/>
  <c r="K538" i="10"/>
  <c r="L538" i="10"/>
  <c r="M538" i="10"/>
  <c r="C539" i="10" a="1"/>
  <c r="C539" i="10"/>
  <c r="D539" i="10"/>
  <c r="E539" i="10"/>
  <c r="F539" i="10"/>
  <c r="G539" i="10"/>
  <c r="H539" i="10" a="1"/>
  <c r="H539" i="10"/>
  <c r="I539" i="10"/>
  <c r="J539" i="10"/>
  <c r="K539" i="10"/>
  <c r="L539" i="10"/>
  <c r="M539" i="10"/>
  <c r="C540" i="10" a="1"/>
  <c r="C540" i="10"/>
  <c r="D540" i="10"/>
  <c r="E540" i="10"/>
  <c r="F540" i="10"/>
  <c r="G540" i="10"/>
  <c r="H540" i="10" a="1"/>
  <c r="H540" i="10"/>
  <c r="I540" i="10"/>
  <c r="J540" i="10"/>
  <c r="K540" i="10"/>
  <c r="L540" i="10"/>
  <c r="M540" i="10"/>
  <c r="C541" i="10" a="1"/>
  <c r="C541" i="10"/>
  <c r="D541" i="10"/>
  <c r="E541" i="10"/>
  <c r="F541" i="10"/>
  <c r="G541" i="10"/>
  <c r="H541" i="10" a="1"/>
  <c r="H541" i="10"/>
  <c r="I541" i="10"/>
  <c r="J541" i="10"/>
  <c r="K541" i="10"/>
  <c r="L541" i="10"/>
  <c r="M541" i="10"/>
  <c r="C542" i="10" a="1"/>
  <c r="C542" i="10"/>
  <c r="D542" i="10"/>
  <c r="E542" i="10"/>
  <c r="F542" i="10"/>
  <c r="G542" i="10"/>
  <c r="H542" i="10" a="1"/>
  <c r="H542" i="10"/>
  <c r="I542" i="10"/>
  <c r="J542" i="10"/>
  <c r="K542" i="10"/>
  <c r="L542" i="10"/>
  <c r="M542" i="10"/>
  <c r="C543" i="10" a="1"/>
  <c r="C543" i="10"/>
  <c r="D543" i="10"/>
  <c r="E543" i="10"/>
  <c r="F543" i="10"/>
  <c r="G543" i="10"/>
  <c r="H543" i="10" a="1"/>
  <c r="H543" i="10"/>
  <c r="I543" i="10"/>
  <c r="J543" i="10"/>
  <c r="K543" i="10"/>
  <c r="L543" i="10"/>
  <c r="M543" i="10"/>
  <c r="C544" i="10" a="1"/>
  <c r="C544" i="10"/>
  <c r="D544" i="10"/>
  <c r="E544" i="10"/>
  <c r="F544" i="10"/>
  <c r="G544" i="10"/>
  <c r="H544" i="10" a="1"/>
  <c r="H544" i="10"/>
  <c r="I544" i="10"/>
  <c r="J544" i="10"/>
  <c r="K544" i="10"/>
  <c r="L544" i="10"/>
  <c r="M544" i="10"/>
  <c r="C545" i="10" a="1"/>
  <c r="C545" i="10"/>
  <c r="D545" i="10"/>
  <c r="E545" i="10"/>
  <c r="F545" i="10"/>
  <c r="G545" i="10"/>
  <c r="H545" i="10" a="1"/>
  <c r="H545" i="10"/>
  <c r="I545" i="10"/>
  <c r="J545" i="10"/>
  <c r="K545" i="10"/>
  <c r="L545" i="10"/>
  <c r="M545" i="10"/>
  <c r="C546" i="10" a="1"/>
  <c r="C546" i="10"/>
  <c r="D546" i="10"/>
  <c r="E546" i="10"/>
  <c r="F546" i="10"/>
  <c r="G546" i="10"/>
  <c r="H546" i="10" a="1"/>
  <c r="H546" i="10"/>
  <c r="I546" i="10"/>
  <c r="J546" i="10"/>
  <c r="K546" i="10"/>
  <c r="L546" i="10"/>
  <c r="M546" i="10"/>
  <c r="C547" i="10" a="1"/>
  <c r="C547" i="10"/>
  <c r="D547" i="10"/>
  <c r="E547" i="10"/>
  <c r="F547" i="10"/>
  <c r="G547" i="10"/>
  <c r="H547" i="10" a="1"/>
  <c r="H547" i="10"/>
  <c r="I547" i="10"/>
  <c r="J547" i="10"/>
  <c r="K547" i="10"/>
  <c r="L547" i="10"/>
  <c r="M547" i="10"/>
  <c r="C548" i="10" a="1"/>
  <c r="C548" i="10"/>
  <c r="D548" i="10"/>
  <c r="E548" i="10"/>
  <c r="F548" i="10"/>
  <c r="G548" i="10"/>
  <c r="H548" i="10" a="1"/>
  <c r="H548" i="10"/>
  <c r="I548" i="10"/>
  <c r="J548" i="10"/>
  <c r="K548" i="10"/>
  <c r="L548" i="10"/>
  <c r="M548" i="10"/>
  <c r="C549" i="10" a="1"/>
  <c r="C549" i="10"/>
  <c r="D549" i="10"/>
  <c r="E549" i="10"/>
  <c r="F549" i="10"/>
  <c r="G549" i="10"/>
  <c r="H549" i="10" a="1"/>
  <c r="H549" i="10"/>
  <c r="I549" i="10"/>
  <c r="J549" i="10"/>
  <c r="K549" i="10"/>
  <c r="L549" i="10"/>
  <c r="M549" i="10"/>
  <c r="C550" i="10" a="1"/>
  <c r="C550" i="10"/>
  <c r="D550" i="10"/>
  <c r="E550" i="10"/>
  <c r="F550" i="10"/>
  <c r="G550" i="10"/>
  <c r="H550" i="10" a="1"/>
  <c r="H550" i="10"/>
  <c r="I550" i="10"/>
  <c r="J550" i="10"/>
  <c r="K550" i="10"/>
  <c r="L550" i="10"/>
  <c r="M550" i="10"/>
  <c r="C551" i="10" a="1"/>
  <c r="C551" i="10"/>
  <c r="D551" i="10"/>
  <c r="E551" i="10"/>
  <c r="F551" i="10"/>
  <c r="G551" i="10"/>
  <c r="H551" i="10" a="1"/>
  <c r="H551" i="10"/>
  <c r="I551" i="10"/>
  <c r="J551" i="10"/>
  <c r="K551" i="10"/>
  <c r="L551" i="10"/>
  <c r="M551" i="10"/>
  <c r="C552" i="10" a="1"/>
  <c r="C552" i="10"/>
  <c r="D552" i="10"/>
  <c r="E552" i="10"/>
  <c r="F552" i="10"/>
  <c r="G552" i="10"/>
  <c r="H552" i="10" a="1"/>
  <c r="H552" i="10"/>
  <c r="I552" i="10"/>
  <c r="J552" i="10"/>
  <c r="K552" i="10"/>
  <c r="L552" i="10"/>
  <c r="M552" i="10"/>
  <c r="C553" i="10" a="1"/>
  <c r="C553" i="10"/>
  <c r="D553" i="10"/>
  <c r="E553" i="10"/>
  <c r="F553" i="10"/>
  <c r="G553" i="10"/>
  <c r="H553" i="10" a="1"/>
  <c r="H553" i="10"/>
  <c r="I553" i="10"/>
  <c r="J553" i="10"/>
  <c r="K553" i="10"/>
  <c r="L553" i="10"/>
  <c r="M553" i="10"/>
  <c r="C554" i="10" a="1"/>
  <c r="C554" i="10"/>
  <c r="D554" i="10"/>
  <c r="E554" i="10"/>
  <c r="F554" i="10"/>
  <c r="G554" i="10"/>
  <c r="H554" i="10" a="1"/>
  <c r="H554" i="10"/>
  <c r="I554" i="10"/>
  <c r="J554" i="10"/>
  <c r="K554" i="10"/>
  <c r="L554" i="10"/>
  <c r="M554" i="10"/>
  <c r="C555" i="10" a="1"/>
  <c r="C555" i="10"/>
  <c r="D555" i="10"/>
  <c r="E555" i="10"/>
  <c r="F555" i="10"/>
  <c r="G555" i="10"/>
  <c r="H555" i="10" a="1"/>
  <c r="H555" i="10"/>
  <c r="I555" i="10"/>
  <c r="J555" i="10"/>
  <c r="K555" i="10"/>
  <c r="L555" i="10"/>
  <c r="M555" i="10"/>
  <c r="C556" i="10" a="1"/>
  <c r="C556" i="10"/>
  <c r="D556" i="10"/>
  <c r="E556" i="10"/>
  <c r="F556" i="10"/>
  <c r="G556" i="10"/>
  <c r="H556" i="10" a="1"/>
  <c r="H556" i="10"/>
  <c r="I556" i="10"/>
  <c r="J556" i="10"/>
  <c r="K556" i="10"/>
  <c r="L556" i="10"/>
  <c r="M556" i="10"/>
  <c r="C557" i="10" a="1"/>
  <c r="C557" i="10"/>
  <c r="D557" i="10"/>
  <c r="E557" i="10"/>
  <c r="F557" i="10"/>
  <c r="G557" i="10"/>
  <c r="H557" i="10" a="1"/>
  <c r="H557" i="10"/>
  <c r="I557" i="10"/>
  <c r="J557" i="10"/>
  <c r="K557" i="10"/>
  <c r="L557" i="10"/>
  <c r="M557" i="10"/>
  <c r="C558" i="10" a="1"/>
  <c r="C558" i="10"/>
  <c r="D558" i="10"/>
  <c r="E558" i="10"/>
  <c r="F558" i="10"/>
  <c r="G558" i="10"/>
  <c r="H558" i="10" a="1"/>
  <c r="H558" i="10"/>
  <c r="I558" i="10"/>
  <c r="J558" i="10"/>
  <c r="K558" i="10"/>
  <c r="L558" i="10"/>
  <c r="M558" i="10"/>
  <c r="C559" i="10" a="1"/>
  <c r="C559" i="10"/>
  <c r="D559" i="10"/>
  <c r="E559" i="10"/>
  <c r="F559" i="10"/>
  <c r="G559" i="10"/>
  <c r="H559" i="10" a="1"/>
  <c r="H559" i="10"/>
  <c r="I559" i="10"/>
  <c r="J559" i="10"/>
  <c r="K559" i="10"/>
  <c r="L559" i="10"/>
  <c r="M559" i="10"/>
  <c r="C560" i="10" a="1"/>
  <c r="C560" i="10"/>
  <c r="D560" i="10"/>
  <c r="E560" i="10"/>
  <c r="F560" i="10"/>
  <c r="G560" i="10"/>
  <c r="H560" i="10" a="1"/>
  <c r="H560" i="10"/>
  <c r="I560" i="10"/>
  <c r="J560" i="10"/>
  <c r="K560" i="10"/>
  <c r="L560" i="10"/>
  <c r="M560" i="10"/>
  <c r="C561" i="10" a="1"/>
  <c r="C561" i="10"/>
  <c r="D561" i="10"/>
  <c r="E561" i="10"/>
  <c r="F561" i="10"/>
  <c r="G561" i="10"/>
  <c r="H561" i="10" a="1"/>
  <c r="H561" i="10"/>
  <c r="I561" i="10"/>
  <c r="J561" i="10"/>
  <c r="K561" i="10"/>
  <c r="L561" i="10"/>
  <c r="M561" i="10"/>
  <c r="C562" i="10" a="1"/>
  <c r="C562" i="10"/>
  <c r="D562" i="10"/>
  <c r="E562" i="10"/>
  <c r="F562" i="10"/>
  <c r="G562" i="10"/>
  <c r="H562" i="10" a="1"/>
  <c r="H562" i="10"/>
  <c r="I562" i="10"/>
  <c r="J562" i="10"/>
  <c r="K562" i="10"/>
  <c r="L562" i="10"/>
  <c r="M562" i="10"/>
  <c r="C563" i="10" a="1"/>
  <c r="C563" i="10"/>
  <c r="D563" i="10"/>
  <c r="E563" i="10"/>
  <c r="F563" i="10"/>
  <c r="G563" i="10"/>
  <c r="H563" i="10" a="1"/>
  <c r="H563" i="10"/>
  <c r="I563" i="10"/>
  <c r="J563" i="10"/>
  <c r="K563" i="10"/>
  <c r="L563" i="10"/>
  <c r="M563" i="10"/>
  <c r="C564" i="10" a="1"/>
  <c r="C564" i="10"/>
  <c r="D564" i="10"/>
  <c r="E564" i="10"/>
  <c r="F564" i="10"/>
  <c r="G564" i="10"/>
  <c r="H564" i="10" a="1"/>
  <c r="H564" i="10"/>
  <c r="I564" i="10"/>
  <c r="J564" i="10"/>
  <c r="K564" i="10"/>
  <c r="L564" i="10"/>
  <c r="M564" i="10"/>
  <c r="C565" i="10" a="1"/>
  <c r="C565" i="10"/>
  <c r="D565" i="10"/>
  <c r="E565" i="10"/>
  <c r="F565" i="10"/>
  <c r="G565" i="10"/>
  <c r="H565" i="10" a="1"/>
  <c r="H565" i="10"/>
  <c r="I565" i="10"/>
  <c r="J565" i="10"/>
  <c r="K565" i="10"/>
  <c r="L565" i="10"/>
  <c r="M565" i="10"/>
  <c r="C566" i="10" a="1"/>
  <c r="C566" i="10"/>
  <c r="D566" i="10"/>
  <c r="E566" i="10"/>
  <c r="F566" i="10"/>
  <c r="G566" i="10"/>
  <c r="H566" i="10" a="1"/>
  <c r="H566" i="10"/>
  <c r="I566" i="10"/>
  <c r="J566" i="10"/>
  <c r="K566" i="10"/>
  <c r="L566" i="10"/>
  <c r="M566" i="10"/>
  <c r="C567" i="10" a="1"/>
  <c r="C567" i="10"/>
  <c r="D567" i="10"/>
  <c r="E567" i="10"/>
  <c r="F567" i="10"/>
  <c r="G567" i="10"/>
  <c r="H567" i="10" a="1"/>
  <c r="H567" i="10"/>
  <c r="I567" i="10"/>
  <c r="J567" i="10"/>
  <c r="K567" i="10"/>
  <c r="L567" i="10"/>
  <c r="M567" i="10"/>
  <c r="C568" i="10" a="1"/>
  <c r="C568" i="10"/>
  <c r="D568" i="10"/>
  <c r="E568" i="10"/>
  <c r="F568" i="10"/>
  <c r="G568" i="10"/>
  <c r="H568" i="10" a="1"/>
  <c r="H568" i="10"/>
  <c r="I568" i="10"/>
  <c r="J568" i="10"/>
  <c r="K568" i="10"/>
  <c r="L568" i="10"/>
  <c r="M568" i="10"/>
  <c r="C569" i="10" a="1"/>
  <c r="C569" i="10"/>
  <c r="D569" i="10"/>
  <c r="E569" i="10"/>
  <c r="F569" i="10"/>
  <c r="G569" i="10"/>
  <c r="H569" i="10" a="1"/>
  <c r="H569" i="10"/>
  <c r="I569" i="10"/>
  <c r="J569" i="10"/>
  <c r="K569" i="10"/>
  <c r="L569" i="10"/>
  <c r="M569" i="10"/>
  <c r="C570" i="10" a="1"/>
  <c r="C570" i="10"/>
  <c r="D570" i="10"/>
  <c r="E570" i="10"/>
  <c r="F570" i="10"/>
  <c r="G570" i="10"/>
  <c r="H570" i="10" a="1"/>
  <c r="H570" i="10"/>
  <c r="I570" i="10"/>
  <c r="J570" i="10"/>
  <c r="K570" i="10"/>
  <c r="L570" i="10"/>
  <c r="M570" i="10"/>
  <c r="C571" i="10" a="1"/>
  <c r="C571" i="10"/>
  <c r="D571" i="10"/>
  <c r="E571" i="10"/>
  <c r="F571" i="10"/>
  <c r="G571" i="10"/>
  <c r="H571" i="10" a="1"/>
  <c r="H571" i="10"/>
  <c r="I571" i="10"/>
  <c r="J571" i="10"/>
  <c r="K571" i="10"/>
  <c r="L571" i="10"/>
  <c r="M571" i="10"/>
  <c r="C572" i="10" a="1"/>
  <c r="C572" i="10"/>
  <c r="D572" i="10"/>
  <c r="E572" i="10"/>
  <c r="F572" i="10"/>
  <c r="G572" i="10"/>
  <c r="H572" i="10" a="1"/>
  <c r="H572" i="10"/>
  <c r="I572" i="10"/>
  <c r="J572" i="10"/>
  <c r="K572" i="10"/>
  <c r="L572" i="10"/>
  <c r="M572" i="10"/>
  <c r="C573" i="10" a="1"/>
  <c r="C573" i="10"/>
  <c r="D573" i="10"/>
  <c r="E573" i="10"/>
  <c r="F573" i="10"/>
  <c r="G573" i="10"/>
  <c r="H573" i="10" a="1"/>
  <c r="H573" i="10"/>
  <c r="I573" i="10"/>
  <c r="J573" i="10"/>
  <c r="K573" i="10"/>
  <c r="L573" i="10"/>
  <c r="M573" i="10"/>
  <c r="C574" i="10" a="1"/>
  <c r="C574" i="10"/>
  <c r="D574" i="10"/>
  <c r="E574" i="10"/>
  <c r="F574" i="10"/>
  <c r="G574" i="10"/>
  <c r="H574" i="10" a="1"/>
  <c r="H574" i="10"/>
  <c r="I574" i="10"/>
  <c r="J574" i="10"/>
  <c r="K574" i="10"/>
  <c r="L574" i="10"/>
  <c r="M574" i="10"/>
  <c r="C575" i="10" a="1"/>
  <c r="C575" i="10"/>
  <c r="D575" i="10"/>
  <c r="E575" i="10"/>
  <c r="F575" i="10"/>
  <c r="G575" i="10"/>
  <c r="H575" i="10" a="1"/>
  <c r="H575" i="10"/>
  <c r="I575" i="10"/>
  <c r="J575" i="10"/>
  <c r="K575" i="10"/>
  <c r="L575" i="10"/>
  <c r="M575" i="10"/>
  <c r="C576" i="10" a="1"/>
  <c r="C576" i="10"/>
  <c r="D576" i="10"/>
  <c r="E576" i="10"/>
  <c r="F576" i="10"/>
  <c r="G576" i="10"/>
  <c r="H576" i="10" a="1"/>
  <c r="H576" i="10"/>
  <c r="I576" i="10"/>
  <c r="J576" i="10"/>
  <c r="K576" i="10"/>
  <c r="L576" i="10"/>
  <c r="M576" i="10"/>
  <c r="C577" i="10" a="1"/>
  <c r="C577" i="10"/>
  <c r="D577" i="10"/>
  <c r="E577" i="10"/>
  <c r="F577" i="10"/>
  <c r="G577" i="10"/>
  <c r="H577" i="10" a="1"/>
  <c r="H577" i="10"/>
  <c r="I577" i="10"/>
  <c r="J577" i="10"/>
  <c r="K577" i="10"/>
  <c r="L577" i="10"/>
  <c r="M577" i="10"/>
  <c r="C578" i="10" a="1"/>
  <c r="C578" i="10"/>
  <c r="D578" i="10"/>
  <c r="E578" i="10"/>
  <c r="F578" i="10"/>
  <c r="G578" i="10"/>
  <c r="H578" i="10" a="1"/>
  <c r="H578" i="10"/>
  <c r="I578" i="10"/>
  <c r="J578" i="10"/>
  <c r="K578" i="10"/>
  <c r="L578" i="10"/>
  <c r="M578" i="10"/>
  <c r="C579" i="10" a="1"/>
  <c r="C579" i="10"/>
  <c r="D579" i="10"/>
  <c r="E579" i="10"/>
  <c r="F579" i="10"/>
  <c r="G579" i="10"/>
  <c r="H579" i="10" a="1"/>
  <c r="H579" i="10"/>
  <c r="I579" i="10"/>
  <c r="J579" i="10"/>
  <c r="K579" i="10"/>
  <c r="L579" i="10"/>
  <c r="M579" i="10"/>
  <c r="C580" i="10" a="1"/>
  <c r="C580" i="10"/>
  <c r="D580" i="10"/>
  <c r="E580" i="10"/>
  <c r="F580" i="10"/>
  <c r="G580" i="10"/>
  <c r="H580" i="10" a="1"/>
  <c r="H580" i="10"/>
  <c r="I580" i="10"/>
  <c r="J580" i="10"/>
  <c r="K580" i="10"/>
  <c r="L580" i="10"/>
  <c r="M580" i="10"/>
  <c r="C581" i="10" a="1"/>
  <c r="C581" i="10"/>
  <c r="D581" i="10"/>
  <c r="E581" i="10"/>
  <c r="F581" i="10"/>
  <c r="G581" i="10"/>
  <c r="H581" i="10" a="1"/>
  <c r="H581" i="10"/>
  <c r="I581" i="10"/>
  <c r="J581" i="10"/>
  <c r="K581" i="10"/>
  <c r="L581" i="10"/>
  <c r="M581" i="10"/>
  <c r="C582" i="10" a="1"/>
  <c r="C582" i="10"/>
  <c r="D582" i="10"/>
  <c r="E582" i="10"/>
  <c r="F582" i="10"/>
  <c r="G582" i="10"/>
  <c r="H582" i="10" a="1"/>
  <c r="H582" i="10"/>
  <c r="I582" i="10"/>
  <c r="J582" i="10"/>
  <c r="K582" i="10"/>
  <c r="L582" i="10"/>
  <c r="M582" i="10"/>
  <c r="C583" i="10" a="1"/>
  <c r="C583" i="10"/>
  <c r="D583" i="10"/>
  <c r="E583" i="10"/>
  <c r="F583" i="10"/>
  <c r="G583" i="10"/>
  <c r="H583" i="10" a="1"/>
  <c r="H583" i="10"/>
  <c r="I583" i="10"/>
  <c r="J583" i="10"/>
  <c r="K583" i="10"/>
  <c r="L583" i="10"/>
  <c r="M583" i="10"/>
  <c r="C584" i="10" a="1"/>
  <c r="C584" i="10"/>
  <c r="D584" i="10"/>
  <c r="E584" i="10"/>
  <c r="F584" i="10"/>
  <c r="G584" i="10"/>
  <c r="H584" i="10" a="1"/>
  <c r="H584" i="10"/>
  <c r="I584" i="10"/>
  <c r="J584" i="10"/>
  <c r="K584" i="10"/>
  <c r="L584" i="10"/>
  <c r="M584" i="10"/>
  <c r="C585" i="10" a="1"/>
  <c r="C585" i="10"/>
  <c r="D585" i="10"/>
  <c r="E585" i="10"/>
  <c r="F585" i="10"/>
  <c r="G585" i="10"/>
  <c r="H585" i="10" a="1"/>
  <c r="H585" i="10"/>
  <c r="I585" i="10"/>
  <c r="J585" i="10"/>
  <c r="K585" i="10"/>
  <c r="L585" i="10"/>
  <c r="M585" i="10"/>
  <c r="C586" i="10" a="1"/>
  <c r="C586" i="10"/>
  <c r="D586" i="10"/>
  <c r="E586" i="10"/>
  <c r="F586" i="10"/>
  <c r="G586" i="10"/>
  <c r="H586" i="10" a="1"/>
  <c r="H586" i="10"/>
  <c r="I586" i="10"/>
  <c r="J586" i="10"/>
  <c r="K586" i="10"/>
  <c r="L586" i="10"/>
  <c r="M586" i="10"/>
  <c r="C587" i="10" a="1"/>
  <c r="C587" i="10"/>
  <c r="D587" i="10"/>
  <c r="E587" i="10"/>
  <c r="F587" i="10"/>
  <c r="G587" i="10"/>
  <c r="H587" i="10" a="1"/>
  <c r="H587" i="10"/>
  <c r="I587" i="10"/>
  <c r="J587" i="10"/>
  <c r="K587" i="10"/>
  <c r="L587" i="10"/>
  <c r="M587" i="10"/>
  <c r="C588" i="10" a="1"/>
  <c r="C588" i="10"/>
  <c r="D588" i="10"/>
  <c r="E588" i="10"/>
  <c r="F588" i="10"/>
  <c r="G588" i="10"/>
  <c r="H588" i="10" a="1"/>
  <c r="H588" i="10"/>
  <c r="I588" i="10"/>
  <c r="J588" i="10"/>
  <c r="K588" i="10"/>
  <c r="L588" i="10"/>
  <c r="M588" i="10"/>
  <c r="C589" i="10" a="1"/>
  <c r="C589" i="10"/>
  <c r="D589" i="10"/>
  <c r="E589" i="10"/>
  <c r="F589" i="10"/>
  <c r="G589" i="10"/>
  <c r="H589" i="10" a="1"/>
  <c r="H589" i="10"/>
  <c r="I589" i="10"/>
  <c r="J589" i="10"/>
  <c r="K589" i="10"/>
  <c r="L589" i="10"/>
  <c r="M589" i="10"/>
  <c r="C590" i="10" a="1"/>
  <c r="C590" i="10"/>
  <c r="D590" i="10"/>
  <c r="E590" i="10"/>
  <c r="F590" i="10"/>
  <c r="G590" i="10"/>
  <c r="H590" i="10" a="1"/>
  <c r="H590" i="10"/>
  <c r="I590" i="10"/>
  <c r="J590" i="10"/>
  <c r="K590" i="10"/>
  <c r="L590" i="10"/>
  <c r="M590" i="10"/>
  <c r="C591" i="10" a="1"/>
  <c r="C591" i="10"/>
  <c r="D591" i="10"/>
  <c r="E591" i="10"/>
  <c r="F591" i="10"/>
  <c r="G591" i="10"/>
  <c r="H591" i="10" a="1"/>
  <c r="H591" i="10"/>
  <c r="I591" i="10"/>
  <c r="J591" i="10"/>
  <c r="K591" i="10"/>
  <c r="L591" i="10"/>
  <c r="M591" i="10"/>
  <c r="C592" i="10" a="1"/>
  <c r="C592" i="10"/>
  <c r="D592" i="10"/>
  <c r="E592" i="10"/>
  <c r="F592" i="10"/>
  <c r="G592" i="10"/>
  <c r="H592" i="10" a="1"/>
  <c r="H592" i="10"/>
  <c r="I592" i="10"/>
  <c r="J592" i="10"/>
  <c r="K592" i="10"/>
  <c r="L592" i="10"/>
  <c r="M592" i="10"/>
  <c r="C593" i="10" a="1"/>
  <c r="C593" i="10"/>
  <c r="D593" i="10"/>
  <c r="E593" i="10"/>
  <c r="F593" i="10"/>
  <c r="G593" i="10"/>
  <c r="H593" i="10" a="1"/>
  <c r="H593" i="10"/>
  <c r="I593" i="10"/>
  <c r="J593" i="10"/>
  <c r="K593" i="10"/>
  <c r="L593" i="10"/>
  <c r="M593" i="10"/>
  <c r="C594" i="10" a="1"/>
  <c r="C594" i="10"/>
  <c r="D594" i="10"/>
  <c r="E594" i="10"/>
  <c r="F594" i="10"/>
  <c r="G594" i="10"/>
  <c r="H594" i="10" a="1"/>
  <c r="H594" i="10"/>
  <c r="I594" i="10"/>
  <c r="J594" i="10"/>
  <c r="K594" i="10"/>
  <c r="L594" i="10"/>
  <c r="M594" i="10"/>
  <c r="C595" i="10" a="1"/>
  <c r="C595" i="10"/>
  <c r="D595" i="10"/>
  <c r="E595" i="10"/>
  <c r="F595" i="10"/>
  <c r="G595" i="10"/>
  <c r="H595" i="10" a="1"/>
  <c r="H595" i="10"/>
  <c r="I595" i="10"/>
  <c r="J595" i="10"/>
  <c r="K595" i="10"/>
  <c r="L595" i="10"/>
  <c r="M595" i="10"/>
  <c r="C596" i="10" a="1"/>
  <c r="C596" i="10"/>
  <c r="D596" i="10"/>
  <c r="E596" i="10"/>
  <c r="F596" i="10"/>
  <c r="G596" i="10"/>
  <c r="H596" i="10" a="1"/>
  <c r="H596" i="10"/>
  <c r="I596" i="10"/>
  <c r="J596" i="10"/>
  <c r="K596" i="10"/>
  <c r="L596" i="10"/>
  <c r="M596" i="10"/>
  <c r="C597" i="10" a="1"/>
  <c r="C597" i="10"/>
  <c r="D597" i="10"/>
  <c r="E597" i="10"/>
  <c r="F597" i="10"/>
  <c r="G597" i="10"/>
  <c r="H597" i="10" a="1"/>
  <c r="H597" i="10"/>
  <c r="I597" i="10"/>
  <c r="J597" i="10"/>
  <c r="K597" i="10"/>
  <c r="L597" i="10"/>
  <c r="M597" i="10"/>
  <c r="C598" i="10" a="1"/>
  <c r="C598" i="10"/>
  <c r="D598" i="10"/>
  <c r="E598" i="10"/>
  <c r="F598" i="10"/>
  <c r="G598" i="10"/>
  <c r="H598" i="10" a="1"/>
  <c r="H598" i="10"/>
  <c r="I598" i="10"/>
  <c r="J598" i="10"/>
  <c r="K598" i="10"/>
  <c r="L598" i="10"/>
  <c r="M598" i="10"/>
  <c r="C599" i="10" a="1"/>
  <c r="C599" i="10"/>
  <c r="D599" i="10"/>
  <c r="E599" i="10"/>
  <c r="F599" i="10"/>
  <c r="G599" i="10"/>
  <c r="H599" i="10" a="1"/>
  <c r="H599" i="10"/>
  <c r="I599" i="10"/>
  <c r="J599" i="10"/>
  <c r="K599" i="10"/>
  <c r="L599" i="10"/>
  <c r="M599" i="10"/>
  <c r="C600" i="10" a="1"/>
  <c r="C600" i="10"/>
  <c r="D600" i="10"/>
  <c r="E600" i="10"/>
  <c r="F600" i="10"/>
  <c r="G600" i="10"/>
  <c r="H600" i="10" a="1"/>
  <c r="H600" i="10"/>
  <c r="I600" i="10"/>
  <c r="J600" i="10"/>
  <c r="K600" i="10"/>
  <c r="L600" i="10"/>
  <c r="M600" i="10"/>
  <c r="C601" i="10" a="1"/>
  <c r="C601" i="10"/>
  <c r="D601" i="10"/>
  <c r="E601" i="10"/>
  <c r="F601" i="10"/>
  <c r="G601" i="10"/>
  <c r="H601" i="10" a="1"/>
  <c r="H601" i="10"/>
  <c r="I601" i="10"/>
  <c r="J601" i="10"/>
  <c r="K601" i="10"/>
  <c r="L601" i="10"/>
  <c r="M601" i="10"/>
  <c r="C602" i="10" a="1"/>
  <c r="C602" i="10"/>
  <c r="D602" i="10"/>
  <c r="E602" i="10"/>
  <c r="F602" i="10"/>
  <c r="G602" i="10"/>
  <c r="H602" i="10" a="1"/>
  <c r="H602" i="10"/>
  <c r="I602" i="10"/>
  <c r="J602" i="10"/>
  <c r="K602" i="10"/>
  <c r="L602" i="10"/>
  <c r="M602" i="10"/>
  <c r="C603" i="10" a="1"/>
  <c r="C603" i="10"/>
  <c r="D603" i="10"/>
  <c r="E603" i="10"/>
  <c r="F603" i="10"/>
  <c r="G603" i="10"/>
  <c r="H603" i="10" a="1"/>
  <c r="H603" i="10"/>
  <c r="I603" i="10"/>
  <c r="J603" i="10"/>
  <c r="K603" i="10"/>
  <c r="L603" i="10"/>
  <c r="M603" i="10"/>
  <c r="C604" i="10" a="1"/>
  <c r="C604" i="10"/>
  <c r="D604" i="10"/>
  <c r="E604" i="10"/>
  <c r="F604" i="10"/>
  <c r="G604" i="10"/>
  <c r="H604" i="10" a="1"/>
  <c r="H604" i="10"/>
  <c r="I604" i="10"/>
  <c r="J604" i="10"/>
  <c r="K604" i="10"/>
  <c r="L604" i="10"/>
  <c r="M604" i="10"/>
  <c r="C605" i="10" a="1"/>
  <c r="C605" i="10"/>
  <c r="D605" i="10"/>
  <c r="E605" i="10"/>
  <c r="F605" i="10"/>
  <c r="G605" i="10"/>
  <c r="H605" i="10" a="1"/>
  <c r="H605" i="10"/>
  <c r="I605" i="10"/>
  <c r="J605" i="10"/>
  <c r="K605" i="10"/>
  <c r="L605" i="10"/>
  <c r="M605" i="10"/>
  <c r="C606" i="10" a="1"/>
  <c r="C606" i="10"/>
  <c r="D606" i="10"/>
  <c r="E606" i="10"/>
  <c r="F606" i="10"/>
  <c r="G606" i="10"/>
  <c r="H606" i="10" a="1"/>
  <c r="H606" i="10"/>
  <c r="I606" i="10"/>
  <c r="J606" i="10"/>
  <c r="K606" i="10"/>
  <c r="L606" i="10"/>
  <c r="M606" i="10"/>
  <c r="C607" i="10" a="1"/>
  <c r="C607" i="10"/>
  <c r="D607" i="10"/>
  <c r="E607" i="10"/>
  <c r="F607" i="10"/>
  <c r="G607" i="10"/>
  <c r="H607" i="10" a="1"/>
  <c r="H607" i="10"/>
  <c r="I607" i="10"/>
  <c r="J607" i="10"/>
  <c r="K607" i="10"/>
  <c r="L607" i="10"/>
  <c r="M607" i="10"/>
  <c r="C608" i="10" a="1"/>
  <c r="C608" i="10"/>
  <c r="D608" i="10"/>
  <c r="E608" i="10"/>
  <c r="F608" i="10"/>
  <c r="G608" i="10"/>
  <c r="H608" i="10" a="1"/>
  <c r="H608" i="10"/>
  <c r="I608" i="10"/>
  <c r="J608" i="10"/>
  <c r="K608" i="10"/>
  <c r="L608" i="10"/>
  <c r="M608" i="10"/>
  <c r="C609" i="10" a="1"/>
  <c r="C609" i="10"/>
  <c r="D609" i="10"/>
  <c r="E609" i="10"/>
  <c r="F609" i="10"/>
  <c r="G609" i="10"/>
  <c r="H609" i="10" a="1"/>
  <c r="H609" i="10"/>
  <c r="I609" i="10"/>
  <c r="J609" i="10"/>
  <c r="K609" i="10"/>
  <c r="L609" i="10"/>
  <c r="M609" i="10"/>
  <c r="C610" i="10" a="1"/>
  <c r="C610" i="10"/>
  <c r="D610" i="10"/>
  <c r="E610" i="10"/>
  <c r="F610" i="10"/>
  <c r="G610" i="10"/>
  <c r="H610" i="10" a="1"/>
  <c r="H610" i="10"/>
  <c r="I610" i="10"/>
  <c r="J610" i="10"/>
  <c r="K610" i="10"/>
  <c r="L610" i="10"/>
  <c r="M610" i="10"/>
  <c r="C611" i="10" a="1"/>
  <c r="C611" i="10"/>
  <c r="D611" i="10"/>
  <c r="E611" i="10"/>
  <c r="F611" i="10"/>
  <c r="G611" i="10"/>
  <c r="H611" i="10" a="1"/>
  <c r="H611" i="10"/>
  <c r="I611" i="10"/>
  <c r="J611" i="10"/>
  <c r="K611" i="10"/>
  <c r="L611" i="10"/>
  <c r="M611" i="10"/>
  <c r="C612" i="10" a="1"/>
  <c r="C612" i="10"/>
  <c r="D612" i="10"/>
  <c r="E612" i="10"/>
  <c r="F612" i="10"/>
  <c r="G612" i="10"/>
  <c r="H612" i="10" a="1"/>
  <c r="H612" i="10"/>
  <c r="I612" i="10"/>
  <c r="J612" i="10"/>
  <c r="K612" i="10"/>
  <c r="L612" i="10"/>
  <c r="M612" i="10"/>
  <c r="C613" i="10" a="1"/>
  <c r="C613" i="10"/>
  <c r="D613" i="10"/>
  <c r="E613" i="10"/>
  <c r="F613" i="10"/>
  <c r="G613" i="10"/>
  <c r="H613" i="10" a="1"/>
  <c r="H613" i="10"/>
  <c r="I613" i="10"/>
  <c r="J613" i="10"/>
  <c r="K613" i="10"/>
  <c r="L613" i="10"/>
  <c r="M613" i="10"/>
  <c r="C614" i="10" a="1"/>
  <c r="C614" i="10"/>
  <c r="D614" i="10"/>
  <c r="E614" i="10"/>
  <c r="F614" i="10"/>
  <c r="G614" i="10"/>
  <c r="H614" i="10" a="1"/>
  <c r="H614" i="10"/>
  <c r="I614" i="10"/>
  <c r="J614" i="10"/>
  <c r="K614" i="10"/>
  <c r="L614" i="10"/>
  <c r="M614" i="10"/>
  <c r="C615" i="10" a="1"/>
  <c r="C615" i="10"/>
  <c r="D615" i="10"/>
  <c r="E615" i="10"/>
  <c r="F615" i="10"/>
  <c r="G615" i="10"/>
  <c r="H615" i="10" a="1"/>
  <c r="H615" i="10"/>
  <c r="I615" i="10"/>
  <c r="J615" i="10"/>
  <c r="K615" i="10"/>
  <c r="L615" i="10"/>
  <c r="M615" i="10"/>
  <c r="C616" i="10" a="1"/>
  <c r="C616" i="10"/>
  <c r="D616" i="10"/>
  <c r="E616" i="10"/>
  <c r="F616" i="10"/>
  <c r="G616" i="10"/>
  <c r="H616" i="10" a="1"/>
  <c r="H616" i="10"/>
  <c r="I616" i="10"/>
  <c r="J616" i="10"/>
  <c r="K616" i="10"/>
  <c r="L616" i="10"/>
  <c r="M616" i="10"/>
  <c r="C617" i="10" a="1"/>
  <c r="C617" i="10"/>
  <c r="D617" i="10"/>
  <c r="E617" i="10"/>
  <c r="F617" i="10"/>
  <c r="G617" i="10"/>
  <c r="H617" i="10" a="1"/>
  <c r="H617" i="10"/>
  <c r="I617" i="10"/>
  <c r="J617" i="10"/>
  <c r="K617" i="10"/>
  <c r="L617" i="10"/>
  <c r="M617" i="10"/>
  <c r="C618" i="10" a="1"/>
  <c r="C618" i="10"/>
  <c r="D618" i="10"/>
  <c r="E618" i="10"/>
  <c r="F618" i="10"/>
  <c r="G618" i="10"/>
  <c r="H618" i="10" a="1"/>
  <c r="H618" i="10"/>
  <c r="I618" i="10"/>
  <c r="J618" i="10"/>
  <c r="K618" i="10"/>
  <c r="L618" i="10"/>
  <c r="M618" i="10"/>
  <c r="C619" i="10" a="1"/>
  <c r="C619" i="10"/>
  <c r="D619" i="10"/>
  <c r="E619" i="10"/>
  <c r="F619" i="10"/>
  <c r="G619" i="10"/>
  <c r="H619" i="10" a="1"/>
  <c r="H619" i="10"/>
  <c r="I619" i="10"/>
  <c r="J619" i="10"/>
  <c r="K619" i="10"/>
  <c r="L619" i="10"/>
  <c r="M619" i="10"/>
  <c r="C620" i="10" a="1"/>
  <c r="C620" i="10"/>
  <c r="D620" i="10"/>
  <c r="E620" i="10"/>
  <c r="F620" i="10"/>
  <c r="G620" i="10"/>
  <c r="H620" i="10" a="1"/>
  <c r="H620" i="10"/>
  <c r="I620" i="10"/>
  <c r="J620" i="10"/>
  <c r="K620" i="10"/>
  <c r="L620" i="10"/>
  <c r="M620" i="10"/>
  <c r="C621" i="10" a="1"/>
  <c r="C621" i="10"/>
  <c r="D621" i="10"/>
  <c r="E621" i="10"/>
  <c r="F621" i="10"/>
  <c r="G621" i="10"/>
  <c r="H621" i="10" a="1"/>
  <c r="H621" i="10"/>
  <c r="I621" i="10"/>
  <c r="J621" i="10"/>
  <c r="K621" i="10"/>
  <c r="L621" i="10"/>
  <c r="M621" i="10"/>
  <c r="C622" i="10" a="1"/>
  <c r="C622" i="10"/>
  <c r="D622" i="10"/>
  <c r="E622" i="10"/>
  <c r="F622" i="10"/>
  <c r="G622" i="10"/>
  <c r="H622" i="10" a="1"/>
  <c r="H622" i="10"/>
  <c r="I622" i="10"/>
  <c r="J622" i="10"/>
  <c r="K622" i="10"/>
  <c r="L622" i="10"/>
  <c r="M622" i="10"/>
  <c r="C623" i="10" a="1"/>
  <c r="C623" i="10"/>
  <c r="D623" i="10"/>
  <c r="E623" i="10"/>
  <c r="F623" i="10"/>
  <c r="G623" i="10"/>
  <c r="H623" i="10" a="1"/>
  <c r="H623" i="10"/>
  <c r="I623" i="10"/>
  <c r="J623" i="10"/>
  <c r="K623" i="10"/>
  <c r="L623" i="10"/>
  <c r="M623" i="10"/>
  <c r="C624" i="10" a="1"/>
  <c r="C624" i="10"/>
  <c r="D624" i="10"/>
  <c r="E624" i="10"/>
  <c r="F624" i="10"/>
  <c r="G624" i="10"/>
  <c r="H624" i="10" a="1"/>
  <c r="H624" i="10"/>
  <c r="I624" i="10"/>
  <c r="J624" i="10"/>
  <c r="K624" i="10"/>
  <c r="L624" i="10"/>
  <c r="M624" i="10"/>
  <c r="C625" i="10" a="1"/>
  <c r="C625" i="10"/>
  <c r="D625" i="10"/>
  <c r="E625" i="10"/>
  <c r="F625" i="10"/>
  <c r="G625" i="10"/>
  <c r="H625" i="10" a="1"/>
  <c r="H625" i="10"/>
  <c r="I625" i="10"/>
  <c r="J625" i="10"/>
  <c r="K625" i="10"/>
  <c r="L625" i="10"/>
  <c r="M625" i="10"/>
  <c r="C626" i="10" a="1"/>
  <c r="C626" i="10"/>
  <c r="D626" i="10"/>
  <c r="E626" i="10"/>
  <c r="F626" i="10"/>
  <c r="G626" i="10"/>
  <c r="H626" i="10" a="1"/>
  <c r="H626" i="10"/>
  <c r="I626" i="10"/>
  <c r="J626" i="10"/>
  <c r="K626" i="10"/>
  <c r="L626" i="10"/>
  <c r="M626" i="10"/>
  <c r="C627" i="10" a="1"/>
  <c r="C627" i="10"/>
  <c r="D627" i="10"/>
  <c r="E627" i="10"/>
  <c r="F627" i="10"/>
  <c r="G627" i="10"/>
  <c r="H627" i="10" a="1"/>
  <c r="H627" i="10"/>
  <c r="I627" i="10"/>
  <c r="J627" i="10"/>
  <c r="K627" i="10"/>
  <c r="L627" i="10"/>
  <c r="M627" i="10"/>
  <c r="C628" i="10" a="1"/>
  <c r="C628" i="10"/>
  <c r="D628" i="10"/>
  <c r="E628" i="10"/>
  <c r="F628" i="10"/>
  <c r="G628" i="10"/>
  <c r="H628" i="10" a="1"/>
  <c r="H628" i="10"/>
  <c r="I628" i="10"/>
  <c r="J628" i="10"/>
  <c r="K628" i="10"/>
  <c r="L628" i="10"/>
  <c r="M628" i="10"/>
  <c r="C629" i="10" a="1"/>
  <c r="C629" i="10"/>
  <c r="D629" i="10"/>
  <c r="E629" i="10"/>
  <c r="F629" i="10"/>
  <c r="G629" i="10"/>
  <c r="H629" i="10" a="1"/>
  <c r="H629" i="10"/>
  <c r="I629" i="10"/>
  <c r="J629" i="10"/>
  <c r="K629" i="10"/>
  <c r="L629" i="10"/>
  <c r="M629" i="10"/>
  <c r="C630" i="10" a="1"/>
  <c r="C630" i="10"/>
  <c r="D630" i="10"/>
  <c r="E630" i="10"/>
  <c r="F630" i="10"/>
  <c r="G630" i="10"/>
  <c r="H630" i="10" a="1"/>
  <c r="H630" i="10"/>
  <c r="I630" i="10"/>
  <c r="J630" i="10"/>
  <c r="K630" i="10"/>
  <c r="L630" i="10"/>
  <c r="M630" i="10"/>
  <c r="C631" i="10" a="1"/>
  <c r="C631" i="10"/>
  <c r="D631" i="10"/>
  <c r="E631" i="10"/>
  <c r="F631" i="10"/>
  <c r="G631" i="10"/>
  <c r="H631" i="10" a="1"/>
  <c r="H631" i="10"/>
  <c r="I631" i="10"/>
  <c r="J631" i="10"/>
  <c r="K631" i="10"/>
  <c r="L631" i="10"/>
  <c r="M631" i="10"/>
  <c r="C632" i="10" a="1"/>
  <c r="C632" i="10"/>
  <c r="D632" i="10"/>
  <c r="E632" i="10"/>
  <c r="F632" i="10"/>
  <c r="G632" i="10"/>
  <c r="H632" i="10" a="1"/>
  <c r="H632" i="10"/>
  <c r="I632" i="10"/>
  <c r="J632" i="10"/>
  <c r="K632" i="10"/>
  <c r="L632" i="10"/>
  <c r="M632" i="10"/>
  <c r="C633" i="10" a="1"/>
  <c r="C633" i="10"/>
  <c r="D633" i="10"/>
  <c r="E633" i="10"/>
  <c r="F633" i="10"/>
  <c r="G633" i="10"/>
  <c r="H633" i="10" a="1"/>
  <c r="H633" i="10"/>
  <c r="I633" i="10"/>
  <c r="J633" i="10"/>
  <c r="K633" i="10"/>
  <c r="L633" i="10"/>
  <c r="M633" i="10"/>
  <c r="C634" i="10" a="1"/>
  <c r="C634" i="10"/>
  <c r="D634" i="10"/>
  <c r="E634" i="10"/>
  <c r="F634" i="10"/>
  <c r="G634" i="10"/>
  <c r="H634" i="10" a="1"/>
  <c r="H634" i="10"/>
  <c r="I634" i="10"/>
  <c r="J634" i="10"/>
  <c r="K634" i="10"/>
  <c r="L634" i="10"/>
  <c r="M634" i="10"/>
  <c r="C635" i="10" a="1"/>
  <c r="C635" i="10"/>
  <c r="D635" i="10"/>
  <c r="E635" i="10"/>
  <c r="F635" i="10"/>
  <c r="G635" i="10"/>
  <c r="H635" i="10" a="1"/>
  <c r="H635" i="10"/>
  <c r="I635" i="10"/>
  <c r="J635" i="10"/>
  <c r="K635" i="10"/>
  <c r="L635" i="10"/>
  <c r="M635" i="10"/>
  <c r="C636" i="10" a="1"/>
  <c r="C636" i="10"/>
  <c r="D636" i="10"/>
  <c r="E636" i="10"/>
  <c r="F636" i="10"/>
  <c r="G636" i="10"/>
  <c r="H636" i="10" a="1"/>
  <c r="H636" i="10"/>
  <c r="I636" i="10"/>
  <c r="J636" i="10"/>
  <c r="K636" i="10"/>
  <c r="L636" i="10"/>
  <c r="M636" i="10"/>
  <c r="C637" i="10" a="1"/>
  <c r="C637" i="10"/>
  <c r="D637" i="10"/>
  <c r="E637" i="10"/>
  <c r="F637" i="10"/>
  <c r="G637" i="10"/>
  <c r="H637" i="10" a="1"/>
  <c r="H637" i="10"/>
  <c r="I637" i="10"/>
  <c r="J637" i="10"/>
  <c r="K637" i="10"/>
  <c r="L637" i="10"/>
  <c r="M637" i="10"/>
  <c r="C638" i="10" a="1"/>
  <c r="C638" i="10"/>
  <c r="D638" i="10"/>
  <c r="E638" i="10"/>
  <c r="F638" i="10"/>
  <c r="G638" i="10"/>
  <c r="H638" i="10" a="1"/>
  <c r="H638" i="10"/>
  <c r="I638" i="10"/>
  <c r="J638" i="10"/>
  <c r="K638" i="10"/>
  <c r="L638" i="10"/>
  <c r="M638" i="10"/>
  <c r="C639" i="10" a="1"/>
  <c r="C639" i="10"/>
  <c r="D639" i="10"/>
  <c r="E639" i="10"/>
  <c r="F639" i="10"/>
  <c r="G639" i="10"/>
  <c r="H639" i="10" a="1"/>
  <c r="H639" i="10"/>
  <c r="I639" i="10"/>
  <c r="J639" i="10"/>
  <c r="K639" i="10"/>
  <c r="L639" i="10"/>
  <c r="M639" i="10"/>
  <c r="C640" i="10" a="1"/>
  <c r="C640" i="10"/>
  <c r="D640" i="10"/>
  <c r="E640" i="10"/>
  <c r="F640" i="10"/>
  <c r="G640" i="10"/>
  <c r="H640" i="10" a="1"/>
  <c r="H640" i="10"/>
  <c r="I640" i="10"/>
  <c r="J640" i="10"/>
  <c r="K640" i="10"/>
  <c r="L640" i="10"/>
  <c r="M640" i="10"/>
  <c r="C641" i="10" a="1"/>
  <c r="C641" i="10"/>
  <c r="D641" i="10"/>
  <c r="E641" i="10"/>
  <c r="F641" i="10"/>
  <c r="G641" i="10"/>
  <c r="H641" i="10" a="1"/>
  <c r="H641" i="10"/>
  <c r="I641" i="10"/>
  <c r="J641" i="10"/>
  <c r="K641" i="10"/>
  <c r="L641" i="10"/>
  <c r="M641" i="10"/>
  <c r="C642" i="10" a="1"/>
  <c r="C642" i="10"/>
  <c r="D642" i="10"/>
  <c r="E642" i="10"/>
  <c r="F642" i="10"/>
  <c r="G642" i="10"/>
  <c r="H642" i="10" a="1"/>
  <c r="H642" i="10"/>
  <c r="I642" i="10"/>
  <c r="J642" i="10"/>
  <c r="K642" i="10"/>
  <c r="L642" i="10"/>
  <c r="M642" i="10"/>
  <c r="C643" i="10" a="1"/>
  <c r="C643" i="10"/>
  <c r="D643" i="10"/>
  <c r="E643" i="10"/>
  <c r="F643" i="10"/>
  <c r="G643" i="10"/>
  <c r="H643" i="10" a="1"/>
  <c r="H643" i="10"/>
  <c r="I643" i="10"/>
  <c r="J643" i="10"/>
  <c r="K643" i="10"/>
  <c r="L643" i="10"/>
  <c r="M643" i="10"/>
  <c r="C644" i="10" a="1"/>
  <c r="C644" i="10"/>
  <c r="D644" i="10"/>
  <c r="E644" i="10"/>
  <c r="F644" i="10"/>
  <c r="G644" i="10"/>
  <c r="H644" i="10" a="1"/>
  <c r="H644" i="10"/>
  <c r="I644" i="10"/>
  <c r="J644" i="10"/>
  <c r="K644" i="10"/>
  <c r="L644" i="10"/>
  <c r="M644" i="10"/>
  <c r="C645" i="10" a="1"/>
  <c r="C645" i="10"/>
  <c r="D645" i="10"/>
  <c r="E645" i="10"/>
  <c r="F645" i="10"/>
  <c r="G645" i="10"/>
  <c r="H645" i="10" a="1"/>
  <c r="H645" i="10"/>
  <c r="I645" i="10"/>
  <c r="J645" i="10"/>
  <c r="K645" i="10"/>
  <c r="L645" i="10"/>
  <c r="M645" i="10"/>
  <c r="C646" i="10" a="1"/>
  <c r="C646" i="10"/>
  <c r="D646" i="10"/>
  <c r="E646" i="10"/>
  <c r="F646" i="10"/>
  <c r="G646" i="10"/>
  <c r="H646" i="10" a="1"/>
  <c r="H646" i="10"/>
  <c r="I646" i="10"/>
  <c r="J646" i="10"/>
  <c r="K646" i="10"/>
  <c r="L646" i="10"/>
  <c r="M646" i="10"/>
  <c r="C647" i="10" a="1"/>
  <c r="C647" i="10"/>
  <c r="D647" i="10"/>
  <c r="E647" i="10"/>
  <c r="F647" i="10"/>
  <c r="G647" i="10"/>
  <c r="H647" i="10" a="1"/>
  <c r="H647" i="10"/>
  <c r="I647" i="10"/>
  <c r="J647" i="10"/>
  <c r="K647" i="10"/>
  <c r="L647" i="10"/>
  <c r="M647" i="10"/>
  <c r="C648" i="10" a="1"/>
  <c r="C648" i="10"/>
  <c r="D648" i="10"/>
  <c r="E648" i="10"/>
  <c r="F648" i="10"/>
  <c r="G648" i="10"/>
  <c r="H648" i="10" a="1"/>
  <c r="H648" i="10"/>
  <c r="I648" i="10"/>
  <c r="J648" i="10"/>
  <c r="K648" i="10"/>
  <c r="L648" i="10"/>
  <c r="M648" i="10"/>
  <c r="C649" i="10" a="1"/>
  <c r="C649" i="10"/>
  <c r="D649" i="10"/>
  <c r="E649" i="10"/>
  <c r="F649" i="10"/>
  <c r="G649" i="10"/>
  <c r="H649" i="10" a="1"/>
  <c r="H649" i="10"/>
  <c r="I649" i="10"/>
  <c r="J649" i="10"/>
  <c r="K649" i="10"/>
  <c r="L649" i="10"/>
  <c r="M649" i="10"/>
  <c r="C650" i="10" a="1"/>
  <c r="C650" i="10"/>
  <c r="D650" i="10"/>
  <c r="E650" i="10"/>
  <c r="F650" i="10"/>
  <c r="G650" i="10"/>
  <c r="H650" i="10" a="1"/>
  <c r="H650" i="10"/>
  <c r="I650" i="10"/>
  <c r="J650" i="10"/>
  <c r="K650" i="10"/>
  <c r="L650" i="10"/>
  <c r="M650" i="10"/>
  <c r="C651" i="10" a="1"/>
  <c r="C651" i="10"/>
  <c r="D651" i="10"/>
  <c r="E651" i="10"/>
  <c r="F651" i="10"/>
  <c r="G651" i="10"/>
  <c r="H651" i="10" a="1"/>
  <c r="H651" i="10"/>
  <c r="I651" i="10"/>
  <c r="J651" i="10"/>
  <c r="K651" i="10"/>
  <c r="L651" i="10"/>
  <c r="M651" i="10"/>
  <c r="C652" i="10" a="1"/>
  <c r="C652" i="10"/>
  <c r="D652" i="10"/>
  <c r="E652" i="10"/>
  <c r="F652" i="10"/>
  <c r="G652" i="10"/>
  <c r="H652" i="10" a="1"/>
  <c r="H652" i="10"/>
  <c r="I652" i="10"/>
  <c r="J652" i="10"/>
  <c r="K652" i="10"/>
  <c r="L652" i="10"/>
  <c r="M652" i="10"/>
  <c r="C653" i="10" a="1"/>
  <c r="C653" i="10"/>
  <c r="D653" i="10"/>
  <c r="E653" i="10"/>
  <c r="F653" i="10"/>
  <c r="G653" i="10"/>
  <c r="H653" i="10" a="1"/>
  <c r="H653" i="10"/>
  <c r="I653" i="10"/>
  <c r="J653" i="10"/>
  <c r="K653" i="10"/>
  <c r="L653" i="10"/>
  <c r="M653" i="10"/>
  <c r="C654" i="10" a="1"/>
  <c r="C654" i="10"/>
  <c r="D654" i="10"/>
  <c r="E654" i="10"/>
  <c r="F654" i="10"/>
  <c r="G654" i="10"/>
  <c r="H654" i="10" a="1"/>
  <c r="H654" i="10"/>
  <c r="I654" i="10"/>
  <c r="J654" i="10"/>
  <c r="K654" i="10"/>
  <c r="L654" i="10"/>
  <c r="M654" i="10"/>
  <c r="C655" i="10" a="1"/>
  <c r="C655" i="10"/>
  <c r="D655" i="10"/>
  <c r="E655" i="10"/>
  <c r="F655" i="10"/>
  <c r="G655" i="10"/>
  <c r="H655" i="10" a="1"/>
  <c r="H655" i="10"/>
  <c r="I655" i="10"/>
  <c r="J655" i="10"/>
  <c r="K655" i="10"/>
  <c r="L655" i="10"/>
  <c r="M655" i="10"/>
  <c r="C656" i="10" a="1"/>
  <c r="C656" i="10"/>
  <c r="D656" i="10"/>
  <c r="E656" i="10"/>
  <c r="F656" i="10"/>
  <c r="G656" i="10"/>
  <c r="H656" i="10" a="1"/>
  <c r="H656" i="10"/>
  <c r="I656" i="10"/>
  <c r="J656" i="10"/>
  <c r="K656" i="10"/>
  <c r="L656" i="10"/>
  <c r="M656" i="10"/>
  <c r="C657" i="10" a="1"/>
  <c r="C657" i="10"/>
  <c r="D657" i="10"/>
  <c r="E657" i="10"/>
  <c r="F657" i="10"/>
  <c r="G657" i="10"/>
  <c r="H657" i="10" a="1"/>
  <c r="H657" i="10"/>
  <c r="I657" i="10"/>
  <c r="J657" i="10"/>
  <c r="K657" i="10"/>
  <c r="L657" i="10"/>
  <c r="M657" i="10"/>
  <c r="C658" i="10" a="1"/>
  <c r="C658" i="10"/>
  <c r="D658" i="10"/>
  <c r="E658" i="10"/>
  <c r="F658" i="10"/>
  <c r="G658" i="10"/>
  <c r="H658" i="10" a="1"/>
  <c r="H658" i="10"/>
  <c r="I658" i="10"/>
  <c r="J658" i="10"/>
  <c r="K658" i="10"/>
  <c r="L658" i="10"/>
  <c r="M658" i="10"/>
  <c r="C659" i="10" a="1"/>
  <c r="C659" i="10"/>
  <c r="D659" i="10"/>
  <c r="E659" i="10"/>
  <c r="F659" i="10"/>
  <c r="G659" i="10"/>
  <c r="H659" i="10" a="1"/>
  <c r="H659" i="10"/>
  <c r="I659" i="10"/>
  <c r="J659" i="10"/>
  <c r="K659" i="10"/>
  <c r="L659" i="10"/>
  <c r="M659" i="10"/>
  <c r="C660" i="10" a="1"/>
  <c r="C660" i="10"/>
  <c r="D660" i="10"/>
  <c r="E660" i="10"/>
  <c r="F660" i="10"/>
  <c r="G660" i="10"/>
  <c r="H660" i="10" a="1"/>
  <c r="H660" i="10"/>
  <c r="I660" i="10"/>
  <c r="J660" i="10"/>
  <c r="K660" i="10"/>
  <c r="L660" i="10"/>
  <c r="M660" i="10"/>
  <c r="C661" i="10" a="1"/>
  <c r="C661" i="10"/>
  <c r="D661" i="10"/>
  <c r="E661" i="10"/>
  <c r="F661" i="10"/>
  <c r="G661" i="10"/>
  <c r="H661" i="10" a="1"/>
  <c r="H661" i="10"/>
  <c r="I661" i="10"/>
  <c r="J661" i="10"/>
  <c r="K661" i="10"/>
  <c r="L661" i="10"/>
  <c r="M661" i="10"/>
  <c r="C662" i="10" a="1"/>
  <c r="C662" i="10"/>
  <c r="D662" i="10"/>
  <c r="E662" i="10"/>
  <c r="F662" i="10"/>
  <c r="G662" i="10"/>
  <c r="H662" i="10" a="1"/>
  <c r="H662" i="10"/>
  <c r="I662" i="10"/>
  <c r="J662" i="10"/>
  <c r="K662" i="10"/>
  <c r="L662" i="10"/>
  <c r="M662" i="10"/>
  <c r="C663" i="10" a="1"/>
  <c r="C663" i="10"/>
  <c r="D663" i="10"/>
  <c r="E663" i="10"/>
  <c r="F663" i="10"/>
  <c r="G663" i="10"/>
  <c r="H663" i="10" a="1"/>
  <c r="H663" i="10"/>
  <c r="I663" i="10"/>
  <c r="J663" i="10"/>
  <c r="K663" i="10"/>
  <c r="L663" i="10"/>
  <c r="M663" i="10"/>
  <c r="C664" i="10" a="1"/>
  <c r="C664" i="10"/>
  <c r="D664" i="10"/>
  <c r="E664" i="10"/>
  <c r="F664" i="10"/>
  <c r="G664" i="10"/>
  <c r="H664" i="10" a="1"/>
  <c r="H664" i="10"/>
  <c r="I664" i="10"/>
  <c r="J664" i="10"/>
  <c r="K664" i="10"/>
  <c r="L664" i="10"/>
  <c r="M664" i="10"/>
  <c r="C665" i="10" a="1"/>
  <c r="C665" i="10"/>
  <c r="D665" i="10"/>
  <c r="E665" i="10"/>
  <c r="F665" i="10"/>
  <c r="G665" i="10"/>
  <c r="H665" i="10" a="1"/>
  <c r="H665" i="10"/>
  <c r="I665" i="10"/>
  <c r="J665" i="10"/>
  <c r="K665" i="10"/>
  <c r="L665" i="10"/>
  <c r="M665" i="10"/>
  <c r="C666" i="10" a="1"/>
  <c r="C666" i="10"/>
  <c r="D666" i="10"/>
  <c r="E666" i="10"/>
  <c r="F666" i="10"/>
  <c r="G666" i="10"/>
  <c r="H666" i="10" a="1"/>
  <c r="H666" i="10"/>
  <c r="I666" i="10"/>
  <c r="J666" i="10"/>
  <c r="K666" i="10"/>
  <c r="L666" i="10"/>
  <c r="M666" i="10"/>
  <c r="C667" i="10" a="1"/>
  <c r="C667" i="10"/>
  <c r="D667" i="10"/>
  <c r="E667" i="10"/>
  <c r="F667" i="10"/>
  <c r="G667" i="10"/>
  <c r="H667" i="10" a="1"/>
  <c r="H667" i="10"/>
  <c r="I667" i="10"/>
  <c r="J667" i="10"/>
  <c r="K667" i="10"/>
  <c r="L667" i="10"/>
  <c r="M667" i="10"/>
  <c r="C668" i="10" a="1"/>
  <c r="C668" i="10"/>
  <c r="D668" i="10"/>
  <c r="E668" i="10"/>
  <c r="F668" i="10"/>
  <c r="G668" i="10"/>
  <c r="H668" i="10" a="1"/>
  <c r="H668" i="10"/>
  <c r="I668" i="10"/>
  <c r="J668" i="10"/>
  <c r="K668" i="10"/>
  <c r="L668" i="10"/>
  <c r="M668" i="10"/>
  <c r="C669" i="10" a="1"/>
  <c r="C669" i="10"/>
  <c r="D669" i="10"/>
  <c r="E669" i="10"/>
  <c r="F669" i="10"/>
  <c r="G669" i="10"/>
  <c r="H669" i="10" a="1"/>
  <c r="H669" i="10"/>
  <c r="I669" i="10"/>
  <c r="J669" i="10"/>
  <c r="K669" i="10"/>
  <c r="L669" i="10"/>
  <c r="M669" i="10"/>
  <c r="C670" i="10" a="1"/>
  <c r="C670" i="10"/>
  <c r="D670" i="10"/>
  <c r="E670" i="10"/>
  <c r="F670" i="10"/>
  <c r="G670" i="10"/>
  <c r="H670" i="10" a="1"/>
  <c r="H670" i="10"/>
  <c r="I670" i="10"/>
  <c r="J670" i="10"/>
  <c r="K670" i="10"/>
  <c r="L670" i="10"/>
  <c r="M670" i="10"/>
  <c r="C671" i="10" a="1"/>
  <c r="C671" i="10"/>
  <c r="D671" i="10"/>
  <c r="E671" i="10"/>
  <c r="F671" i="10"/>
  <c r="G671" i="10"/>
  <c r="H671" i="10" a="1"/>
  <c r="H671" i="10"/>
  <c r="I671" i="10"/>
  <c r="J671" i="10"/>
  <c r="K671" i="10"/>
  <c r="L671" i="10"/>
  <c r="M671" i="10"/>
  <c r="C672" i="10" a="1"/>
  <c r="C672" i="10"/>
  <c r="D672" i="10"/>
  <c r="E672" i="10"/>
  <c r="F672" i="10"/>
  <c r="G672" i="10"/>
  <c r="H672" i="10" a="1"/>
  <c r="H672" i="10"/>
  <c r="I672" i="10"/>
  <c r="J672" i="10"/>
  <c r="K672" i="10"/>
  <c r="L672" i="10"/>
  <c r="M672" i="10"/>
  <c r="C673" i="10" a="1"/>
  <c r="C673" i="10"/>
  <c r="D673" i="10"/>
  <c r="E673" i="10"/>
  <c r="F673" i="10"/>
  <c r="G673" i="10"/>
  <c r="H673" i="10" a="1"/>
  <c r="H673" i="10"/>
  <c r="I673" i="10"/>
  <c r="J673" i="10"/>
  <c r="K673" i="10"/>
  <c r="L673" i="10"/>
  <c r="M673" i="10"/>
  <c r="C674" i="10" a="1"/>
  <c r="C674" i="10"/>
  <c r="D674" i="10"/>
  <c r="E674" i="10"/>
  <c r="F674" i="10"/>
  <c r="G674" i="10"/>
  <c r="H674" i="10" a="1"/>
  <c r="H674" i="10"/>
  <c r="I674" i="10"/>
  <c r="J674" i="10"/>
  <c r="K674" i="10"/>
  <c r="L674" i="10"/>
  <c r="M674" i="10"/>
  <c r="C675" i="10" a="1"/>
  <c r="C675" i="10"/>
  <c r="D675" i="10"/>
  <c r="E675" i="10"/>
  <c r="F675" i="10"/>
  <c r="G675" i="10"/>
  <c r="H675" i="10" a="1"/>
  <c r="H675" i="10"/>
  <c r="I675" i="10"/>
  <c r="J675" i="10"/>
  <c r="K675" i="10"/>
  <c r="L675" i="10"/>
  <c r="M675" i="10"/>
  <c r="C676" i="10" a="1"/>
  <c r="C676" i="10"/>
  <c r="D676" i="10"/>
  <c r="E676" i="10"/>
  <c r="F676" i="10"/>
  <c r="G676" i="10"/>
  <c r="H676" i="10" a="1"/>
  <c r="H676" i="10"/>
  <c r="I676" i="10"/>
  <c r="J676" i="10"/>
  <c r="K676" i="10"/>
  <c r="L676" i="10"/>
  <c r="M676" i="10"/>
  <c r="C677" i="10" a="1"/>
  <c r="C677" i="10"/>
  <c r="D677" i="10"/>
  <c r="E677" i="10"/>
  <c r="F677" i="10"/>
  <c r="G677" i="10"/>
  <c r="H677" i="10" a="1"/>
  <c r="H677" i="10"/>
  <c r="I677" i="10"/>
  <c r="J677" i="10"/>
  <c r="K677" i="10"/>
  <c r="L677" i="10"/>
  <c r="M677" i="10"/>
  <c r="C678" i="10" a="1"/>
  <c r="C678" i="10"/>
  <c r="D678" i="10"/>
  <c r="E678" i="10"/>
  <c r="F678" i="10"/>
  <c r="G678" i="10"/>
  <c r="H678" i="10" a="1"/>
  <c r="H678" i="10"/>
  <c r="I678" i="10"/>
  <c r="J678" i="10"/>
  <c r="K678" i="10"/>
  <c r="L678" i="10"/>
  <c r="M678" i="10"/>
  <c r="C679" i="10" a="1"/>
  <c r="C679" i="10"/>
  <c r="D679" i="10"/>
  <c r="E679" i="10"/>
  <c r="F679" i="10"/>
  <c r="G679" i="10"/>
  <c r="H679" i="10" a="1"/>
  <c r="H679" i="10"/>
  <c r="I679" i="10"/>
  <c r="J679" i="10"/>
  <c r="K679" i="10"/>
  <c r="L679" i="10"/>
  <c r="M679" i="10"/>
  <c r="C680" i="10" a="1"/>
  <c r="C680" i="10"/>
  <c r="D680" i="10"/>
  <c r="E680" i="10"/>
  <c r="F680" i="10"/>
  <c r="G680" i="10"/>
  <c r="H680" i="10" a="1"/>
  <c r="H680" i="10"/>
  <c r="I680" i="10"/>
  <c r="J680" i="10"/>
  <c r="K680" i="10"/>
  <c r="L680" i="10"/>
  <c r="M680" i="10"/>
  <c r="C681" i="10" a="1"/>
  <c r="C681" i="10"/>
  <c r="D681" i="10"/>
  <c r="E681" i="10"/>
  <c r="F681" i="10"/>
  <c r="G681" i="10"/>
  <c r="H681" i="10" a="1"/>
  <c r="H681" i="10"/>
  <c r="I681" i="10"/>
  <c r="J681" i="10"/>
  <c r="K681" i="10"/>
  <c r="L681" i="10"/>
  <c r="M681" i="10"/>
  <c r="C682" i="10" a="1"/>
  <c r="C682" i="10"/>
  <c r="D682" i="10"/>
  <c r="E682" i="10"/>
  <c r="F682" i="10"/>
  <c r="G682" i="10"/>
  <c r="H682" i="10" a="1"/>
  <c r="H682" i="10"/>
  <c r="I682" i="10"/>
  <c r="J682" i="10"/>
  <c r="K682" i="10"/>
  <c r="L682" i="10"/>
  <c r="M682" i="10"/>
  <c r="C683" i="10" a="1"/>
  <c r="C683" i="10"/>
  <c r="D683" i="10"/>
  <c r="E683" i="10"/>
  <c r="F683" i="10"/>
  <c r="G683" i="10"/>
  <c r="H683" i="10" a="1"/>
  <c r="H683" i="10"/>
  <c r="I683" i="10"/>
  <c r="J683" i="10"/>
  <c r="K683" i="10"/>
  <c r="L683" i="10"/>
  <c r="M683" i="10"/>
  <c r="C684" i="10" a="1"/>
  <c r="C684" i="10"/>
  <c r="D684" i="10"/>
  <c r="E684" i="10"/>
  <c r="F684" i="10"/>
  <c r="G684" i="10"/>
  <c r="H684" i="10" a="1"/>
  <c r="H684" i="10"/>
  <c r="I684" i="10"/>
  <c r="J684" i="10"/>
  <c r="K684" i="10"/>
  <c r="L684" i="10"/>
  <c r="M684" i="10"/>
  <c r="C685" i="10" a="1"/>
  <c r="C685" i="10"/>
  <c r="D685" i="10"/>
  <c r="E685" i="10"/>
  <c r="F685" i="10"/>
  <c r="G685" i="10"/>
  <c r="H685" i="10" a="1"/>
  <c r="H685" i="10"/>
  <c r="I685" i="10"/>
  <c r="J685" i="10"/>
  <c r="K685" i="10"/>
  <c r="L685" i="10"/>
  <c r="M685" i="10"/>
  <c r="C686" i="10" a="1"/>
  <c r="C686" i="10"/>
  <c r="D686" i="10"/>
  <c r="E686" i="10"/>
  <c r="F686" i="10"/>
  <c r="G686" i="10"/>
  <c r="H686" i="10" a="1"/>
  <c r="H686" i="10"/>
  <c r="I686" i="10"/>
  <c r="J686" i="10"/>
  <c r="K686" i="10"/>
  <c r="L686" i="10"/>
  <c r="M686" i="10"/>
  <c r="C687" i="10" a="1"/>
  <c r="C687" i="10"/>
  <c r="D687" i="10"/>
  <c r="E687" i="10"/>
  <c r="F687" i="10"/>
  <c r="G687" i="10"/>
  <c r="H687" i="10" a="1"/>
  <c r="H687" i="10"/>
  <c r="I687" i="10"/>
  <c r="J687" i="10"/>
  <c r="K687" i="10"/>
  <c r="L687" i="10"/>
  <c r="M687" i="10"/>
  <c r="C688" i="10" a="1"/>
  <c r="C688" i="10"/>
  <c r="D688" i="10"/>
  <c r="E688" i="10"/>
  <c r="F688" i="10"/>
  <c r="G688" i="10"/>
  <c r="H688" i="10" a="1"/>
  <c r="H688" i="10"/>
  <c r="I688" i="10"/>
  <c r="J688" i="10"/>
  <c r="K688" i="10"/>
  <c r="L688" i="10"/>
  <c r="M688" i="10"/>
  <c r="C689" i="10" a="1"/>
  <c r="C689" i="10"/>
  <c r="D689" i="10"/>
  <c r="E689" i="10"/>
  <c r="F689" i="10"/>
  <c r="G689" i="10"/>
  <c r="H689" i="10" a="1"/>
  <c r="H689" i="10"/>
  <c r="I689" i="10"/>
  <c r="J689" i="10"/>
  <c r="K689" i="10"/>
  <c r="L689" i="10"/>
  <c r="M689" i="10"/>
  <c r="C690" i="10" a="1"/>
  <c r="C690" i="10"/>
  <c r="D690" i="10"/>
  <c r="E690" i="10"/>
  <c r="F690" i="10"/>
  <c r="G690" i="10"/>
  <c r="H690" i="10" a="1"/>
  <c r="H690" i="10"/>
  <c r="I690" i="10"/>
  <c r="J690" i="10"/>
  <c r="K690" i="10"/>
  <c r="L690" i="10"/>
  <c r="M690" i="10"/>
  <c r="C691" i="10" a="1"/>
  <c r="C691" i="10"/>
  <c r="D691" i="10"/>
  <c r="E691" i="10"/>
  <c r="F691" i="10"/>
  <c r="G691" i="10"/>
  <c r="H691" i="10" a="1"/>
  <c r="H691" i="10"/>
  <c r="I691" i="10"/>
  <c r="J691" i="10"/>
  <c r="K691" i="10"/>
  <c r="L691" i="10"/>
  <c r="M691" i="10"/>
  <c r="C692" i="10" a="1"/>
  <c r="C692" i="10"/>
  <c r="D692" i="10"/>
  <c r="E692" i="10"/>
  <c r="F692" i="10"/>
  <c r="G692" i="10"/>
  <c r="H692" i="10" a="1"/>
  <c r="H692" i="10"/>
  <c r="I692" i="10"/>
  <c r="J692" i="10"/>
  <c r="K692" i="10"/>
  <c r="L692" i="10"/>
  <c r="M692" i="10"/>
  <c r="C693" i="10" a="1"/>
  <c r="C693" i="10"/>
  <c r="D693" i="10"/>
  <c r="E693" i="10"/>
  <c r="F693" i="10"/>
  <c r="G693" i="10"/>
  <c r="H693" i="10" a="1"/>
  <c r="H693" i="10"/>
  <c r="I693" i="10"/>
  <c r="J693" i="10"/>
  <c r="K693" i="10"/>
  <c r="L693" i="10"/>
  <c r="M693" i="10"/>
  <c r="C694" i="10" a="1"/>
  <c r="C694" i="10"/>
  <c r="D694" i="10"/>
  <c r="E694" i="10"/>
  <c r="F694" i="10"/>
  <c r="G694" i="10"/>
  <c r="H694" i="10" a="1"/>
  <c r="H694" i="10"/>
  <c r="I694" i="10"/>
  <c r="J694" i="10"/>
  <c r="K694" i="10"/>
  <c r="L694" i="10"/>
  <c r="M694" i="10"/>
  <c r="C695" i="10" a="1"/>
  <c r="C695" i="10"/>
  <c r="D695" i="10"/>
  <c r="E695" i="10"/>
  <c r="F695" i="10"/>
  <c r="G695" i="10"/>
  <c r="H695" i="10" a="1"/>
  <c r="H695" i="10"/>
  <c r="I695" i="10"/>
  <c r="J695" i="10"/>
  <c r="K695" i="10"/>
  <c r="L695" i="10"/>
  <c r="M695" i="10"/>
  <c r="C696" i="10" a="1"/>
  <c r="C696" i="10"/>
  <c r="D696" i="10"/>
  <c r="E696" i="10"/>
  <c r="F696" i="10"/>
  <c r="G696" i="10"/>
  <c r="H696" i="10" a="1"/>
  <c r="H696" i="10"/>
  <c r="I696" i="10"/>
  <c r="J696" i="10"/>
  <c r="K696" i="10"/>
  <c r="L696" i="10"/>
  <c r="M696" i="10"/>
  <c r="C697" i="10" a="1"/>
  <c r="C697" i="10"/>
  <c r="D697" i="10"/>
  <c r="E697" i="10"/>
  <c r="F697" i="10"/>
  <c r="G697" i="10"/>
  <c r="H697" i="10" a="1"/>
  <c r="H697" i="10"/>
  <c r="I697" i="10"/>
  <c r="J697" i="10"/>
  <c r="K697" i="10"/>
  <c r="L697" i="10"/>
  <c r="M697" i="10"/>
  <c r="C698" i="10" a="1"/>
  <c r="C698" i="10"/>
  <c r="D698" i="10"/>
  <c r="E698" i="10"/>
  <c r="F698" i="10"/>
  <c r="G698" i="10"/>
  <c r="H698" i="10" a="1"/>
  <c r="H698" i="10"/>
  <c r="I698" i="10"/>
  <c r="J698" i="10"/>
  <c r="K698" i="10"/>
  <c r="L698" i="10"/>
  <c r="M698" i="10"/>
  <c r="C699" i="10" a="1"/>
  <c r="C699" i="10"/>
  <c r="D699" i="10"/>
  <c r="E699" i="10"/>
  <c r="F699" i="10"/>
  <c r="G699" i="10"/>
  <c r="H699" i="10" a="1"/>
  <c r="H699" i="10"/>
  <c r="I699" i="10"/>
  <c r="J699" i="10"/>
  <c r="K699" i="10"/>
  <c r="L699" i="10"/>
  <c r="M699" i="10"/>
  <c r="C700" i="10" a="1"/>
  <c r="C700" i="10"/>
  <c r="D700" i="10"/>
  <c r="E700" i="10"/>
  <c r="F700" i="10"/>
  <c r="G700" i="10"/>
  <c r="H700" i="10" a="1"/>
  <c r="H700" i="10"/>
  <c r="I700" i="10"/>
  <c r="J700" i="10"/>
  <c r="K700" i="10"/>
  <c r="L700" i="10"/>
  <c r="M700" i="10"/>
  <c r="C701" i="10" a="1"/>
  <c r="C701" i="10"/>
  <c r="D701" i="10"/>
  <c r="E701" i="10"/>
  <c r="F701" i="10"/>
  <c r="G701" i="10"/>
  <c r="H701" i="10" a="1"/>
  <c r="H701" i="10"/>
  <c r="I701" i="10"/>
  <c r="J701" i="10"/>
  <c r="K701" i="10"/>
  <c r="L701" i="10"/>
  <c r="M701" i="10"/>
  <c r="C702" i="10" a="1"/>
  <c r="C702" i="10"/>
  <c r="D702" i="10"/>
  <c r="E702" i="10"/>
  <c r="F702" i="10"/>
  <c r="G702" i="10"/>
  <c r="H702" i="10" a="1"/>
  <c r="H702" i="10"/>
  <c r="I702" i="10"/>
  <c r="J702" i="10"/>
  <c r="K702" i="10"/>
  <c r="L702" i="10"/>
  <c r="M702" i="10"/>
  <c r="C703" i="10" a="1"/>
  <c r="C703" i="10"/>
  <c r="D703" i="10"/>
  <c r="E703" i="10"/>
  <c r="F703" i="10"/>
  <c r="G703" i="10"/>
  <c r="H703" i="10" a="1"/>
  <c r="H703" i="10"/>
  <c r="I703" i="10"/>
  <c r="J703" i="10"/>
  <c r="K703" i="10"/>
  <c r="L703" i="10"/>
  <c r="M703" i="10"/>
  <c r="C704" i="10" a="1"/>
  <c r="C704" i="10"/>
  <c r="D704" i="10"/>
  <c r="E704" i="10"/>
  <c r="F704" i="10"/>
  <c r="G704" i="10"/>
  <c r="H704" i="10" a="1"/>
  <c r="H704" i="10"/>
  <c r="I704" i="10"/>
  <c r="J704" i="10"/>
  <c r="K704" i="10"/>
  <c r="L704" i="10"/>
  <c r="M704" i="10"/>
  <c r="C705" i="10" a="1"/>
  <c r="C705" i="10"/>
  <c r="D705" i="10"/>
  <c r="E705" i="10"/>
  <c r="F705" i="10"/>
  <c r="G705" i="10"/>
  <c r="H705" i="10" a="1"/>
  <c r="H705" i="10"/>
  <c r="I705" i="10"/>
  <c r="J705" i="10"/>
  <c r="K705" i="10"/>
  <c r="L705" i="10"/>
  <c r="M705" i="10"/>
  <c r="C706" i="10" a="1"/>
  <c r="C706" i="10"/>
  <c r="D706" i="10"/>
  <c r="E706" i="10"/>
  <c r="F706" i="10"/>
  <c r="G706" i="10"/>
  <c r="H706" i="10" a="1"/>
  <c r="H706" i="10"/>
  <c r="I706" i="10"/>
  <c r="J706" i="10"/>
  <c r="K706" i="10"/>
  <c r="L706" i="10"/>
  <c r="M706" i="10"/>
  <c r="C707" i="10" a="1"/>
  <c r="C707" i="10"/>
  <c r="D707" i="10"/>
  <c r="E707" i="10"/>
  <c r="F707" i="10"/>
  <c r="G707" i="10"/>
  <c r="H707" i="10" a="1"/>
  <c r="H707" i="10"/>
  <c r="I707" i="10"/>
  <c r="J707" i="10"/>
  <c r="K707" i="10"/>
  <c r="L707" i="10"/>
  <c r="M707" i="10"/>
  <c r="C708" i="10" a="1"/>
  <c r="C708" i="10"/>
  <c r="D708" i="10"/>
  <c r="E708" i="10"/>
  <c r="F708" i="10"/>
  <c r="G708" i="10"/>
  <c r="H708" i="10" a="1"/>
  <c r="H708" i="10"/>
  <c r="I708" i="10"/>
  <c r="J708" i="10"/>
  <c r="K708" i="10"/>
  <c r="L708" i="10"/>
  <c r="M708" i="10"/>
  <c r="C709" i="10" a="1"/>
  <c r="C709" i="10"/>
  <c r="D709" i="10"/>
  <c r="E709" i="10"/>
  <c r="F709" i="10"/>
  <c r="G709" i="10"/>
  <c r="H709" i="10" a="1"/>
  <c r="H709" i="10"/>
  <c r="I709" i="10"/>
  <c r="J709" i="10"/>
  <c r="K709" i="10"/>
  <c r="L709" i="10"/>
  <c r="M709" i="10"/>
  <c r="C710" i="10" a="1"/>
  <c r="C710" i="10"/>
  <c r="D710" i="10"/>
  <c r="E710" i="10"/>
  <c r="F710" i="10"/>
  <c r="G710" i="10"/>
  <c r="H710" i="10" a="1"/>
  <c r="H710" i="10"/>
  <c r="I710" i="10"/>
  <c r="J710" i="10"/>
  <c r="K710" i="10"/>
  <c r="L710" i="10"/>
  <c r="M710" i="10"/>
  <c r="C711" i="10" a="1"/>
  <c r="C711" i="10"/>
  <c r="D711" i="10"/>
  <c r="E711" i="10"/>
  <c r="F711" i="10"/>
  <c r="G711" i="10"/>
  <c r="H711" i="10" a="1"/>
  <c r="H711" i="10"/>
  <c r="I711" i="10"/>
  <c r="J711" i="10"/>
  <c r="K711" i="10"/>
  <c r="L711" i="10"/>
  <c r="M711" i="10"/>
  <c r="C712" i="10" a="1"/>
  <c r="C712" i="10"/>
  <c r="D712" i="10"/>
  <c r="E712" i="10"/>
  <c r="F712" i="10"/>
  <c r="G712" i="10"/>
  <c r="H712" i="10" a="1"/>
  <c r="H712" i="10"/>
  <c r="I712" i="10"/>
  <c r="J712" i="10"/>
  <c r="K712" i="10"/>
  <c r="L712" i="10"/>
  <c r="M712" i="10"/>
  <c r="C713" i="10" a="1"/>
  <c r="C713" i="10"/>
  <c r="D713" i="10"/>
  <c r="E713" i="10"/>
  <c r="F713" i="10"/>
  <c r="G713" i="10"/>
  <c r="H713" i="10" a="1"/>
  <c r="H713" i="10"/>
  <c r="I713" i="10"/>
  <c r="J713" i="10"/>
  <c r="K713" i="10"/>
  <c r="L713" i="10"/>
  <c r="M713" i="10"/>
  <c r="C714" i="10" a="1"/>
  <c r="C714" i="10"/>
  <c r="D714" i="10"/>
  <c r="E714" i="10"/>
  <c r="F714" i="10"/>
  <c r="G714" i="10"/>
  <c r="H714" i="10" a="1"/>
  <c r="H714" i="10"/>
  <c r="I714" i="10"/>
  <c r="J714" i="10"/>
  <c r="K714" i="10"/>
  <c r="L714" i="10"/>
  <c r="M714" i="10"/>
  <c r="C715" i="10" a="1"/>
  <c r="C715" i="10"/>
  <c r="D715" i="10"/>
  <c r="E715" i="10"/>
  <c r="F715" i="10"/>
  <c r="G715" i="10"/>
  <c r="H715" i="10" a="1"/>
  <c r="H715" i="10"/>
  <c r="I715" i="10"/>
  <c r="J715" i="10"/>
  <c r="K715" i="10"/>
  <c r="L715" i="10"/>
  <c r="M715" i="10"/>
  <c r="C716" i="10" a="1"/>
  <c r="C716" i="10"/>
  <c r="D716" i="10"/>
  <c r="E716" i="10"/>
  <c r="F716" i="10"/>
  <c r="G716" i="10"/>
  <c r="H716" i="10" a="1"/>
  <c r="H716" i="10"/>
  <c r="I716" i="10"/>
  <c r="J716" i="10"/>
  <c r="K716" i="10"/>
  <c r="L716" i="10"/>
  <c r="M716" i="10"/>
  <c r="C717" i="10" a="1"/>
  <c r="C717" i="10"/>
  <c r="D717" i="10"/>
  <c r="E717" i="10"/>
  <c r="F717" i="10"/>
  <c r="G717" i="10"/>
  <c r="H717" i="10" a="1"/>
  <c r="H717" i="10"/>
  <c r="I717" i="10"/>
  <c r="J717" i="10"/>
  <c r="K717" i="10"/>
  <c r="L717" i="10"/>
  <c r="M717" i="10"/>
  <c r="C718" i="10" a="1"/>
  <c r="C718" i="10"/>
  <c r="D718" i="10"/>
  <c r="E718" i="10"/>
  <c r="F718" i="10"/>
  <c r="G718" i="10"/>
  <c r="H718" i="10" a="1"/>
  <c r="H718" i="10"/>
  <c r="I718" i="10"/>
  <c r="J718" i="10"/>
  <c r="K718" i="10"/>
  <c r="L718" i="10"/>
  <c r="M718" i="10"/>
  <c r="C719" i="10" a="1"/>
  <c r="C719" i="10"/>
  <c r="D719" i="10"/>
  <c r="E719" i="10"/>
  <c r="F719" i="10"/>
  <c r="G719" i="10"/>
  <c r="H719" i="10" a="1"/>
  <c r="H719" i="10"/>
  <c r="I719" i="10"/>
  <c r="J719" i="10"/>
  <c r="K719" i="10"/>
  <c r="L719" i="10"/>
  <c r="M719" i="10"/>
  <c r="C720" i="10" a="1"/>
  <c r="C720" i="10"/>
  <c r="D720" i="10"/>
  <c r="E720" i="10"/>
  <c r="F720" i="10"/>
  <c r="G720" i="10"/>
  <c r="H720" i="10" a="1"/>
  <c r="H720" i="10"/>
  <c r="I720" i="10"/>
  <c r="J720" i="10"/>
  <c r="K720" i="10"/>
  <c r="L720" i="10"/>
  <c r="M720" i="10"/>
  <c r="C721" i="10" a="1"/>
  <c r="C721" i="10"/>
  <c r="D721" i="10"/>
  <c r="E721" i="10"/>
  <c r="F721" i="10"/>
  <c r="G721" i="10"/>
  <c r="H721" i="10" a="1"/>
  <c r="H721" i="10"/>
  <c r="I721" i="10"/>
  <c r="J721" i="10"/>
  <c r="K721" i="10"/>
  <c r="L721" i="10"/>
  <c r="M721" i="10"/>
  <c r="C722" i="10" a="1"/>
  <c r="C722" i="10"/>
  <c r="D722" i="10"/>
  <c r="E722" i="10"/>
  <c r="F722" i="10"/>
  <c r="G722" i="10"/>
  <c r="H722" i="10" a="1"/>
  <c r="H722" i="10"/>
  <c r="I722" i="10"/>
  <c r="J722" i="10"/>
  <c r="K722" i="10"/>
  <c r="L722" i="10"/>
  <c r="M722" i="10"/>
  <c r="C723" i="10" a="1"/>
  <c r="C723" i="10"/>
  <c r="D723" i="10"/>
  <c r="E723" i="10"/>
  <c r="F723" i="10"/>
  <c r="G723" i="10"/>
  <c r="H723" i="10" a="1"/>
  <c r="H723" i="10"/>
  <c r="I723" i="10"/>
  <c r="J723" i="10"/>
  <c r="K723" i="10"/>
  <c r="L723" i="10"/>
  <c r="M723" i="10"/>
  <c r="C724" i="10" a="1"/>
  <c r="C724" i="10"/>
  <c r="D724" i="10"/>
  <c r="E724" i="10"/>
  <c r="F724" i="10"/>
  <c r="G724" i="10"/>
  <c r="H724" i="10" a="1"/>
  <c r="H724" i="10"/>
  <c r="I724" i="10"/>
  <c r="J724" i="10"/>
  <c r="K724" i="10"/>
  <c r="L724" i="10"/>
  <c r="M724" i="10"/>
  <c r="C725" i="10" a="1"/>
  <c r="C725" i="10"/>
  <c r="D725" i="10"/>
  <c r="E725" i="10"/>
  <c r="F725" i="10"/>
  <c r="G725" i="10"/>
  <c r="H725" i="10" a="1"/>
  <c r="H725" i="10"/>
  <c r="I725" i="10"/>
  <c r="J725" i="10"/>
  <c r="K725" i="10"/>
  <c r="L725" i="10"/>
  <c r="M725" i="10"/>
  <c r="C726" i="10" a="1"/>
  <c r="C726" i="10"/>
  <c r="D726" i="10"/>
  <c r="E726" i="10"/>
  <c r="F726" i="10"/>
  <c r="G726" i="10"/>
  <c r="H726" i="10" a="1"/>
  <c r="H726" i="10"/>
  <c r="I726" i="10"/>
  <c r="J726" i="10"/>
  <c r="K726" i="10"/>
  <c r="L726" i="10"/>
  <c r="M726" i="10"/>
  <c r="C727" i="10" a="1"/>
  <c r="C727" i="10"/>
  <c r="D727" i="10"/>
  <c r="E727" i="10"/>
  <c r="F727" i="10"/>
  <c r="G727" i="10"/>
  <c r="H727" i="10" a="1"/>
  <c r="H727" i="10"/>
  <c r="I727" i="10"/>
  <c r="J727" i="10"/>
  <c r="K727" i="10"/>
  <c r="L727" i="10"/>
  <c r="M727" i="10"/>
  <c r="C728" i="10" a="1"/>
  <c r="C728" i="10"/>
  <c r="D728" i="10"/>
  <c r="E728" i="10"/>
  <c r="F728" i="10"/>
  <c r="G728" i="10"/>
  <c r="H728" i="10" a="1"/>
  <c r="H728" i="10"/>
  <c r="I728" i="10"/>
  <c r="J728" i="10"/>
  <c r="K728" i="10"/>
  <c r="L728" i="10"/>
  <c r="M728" i="10"/>
  <c r="C729" i="10" a="1"/>
  <c r="C729" i="10"/>
  <c r="D729" i="10"/>
  <c r="E729" i="10"/>
  <c r="F729" i="10"/>
  <c r="G729" i="10"/>
  <c r="H729" i="10" a="1"/>
  <c r="H729" i="10"/>
  <c r="I729" i="10"/>
  <c r="J729" i="10"/>
  <c r="K729" i="10"/>
  <c r="L729" i="10"/>
  <c r="M729" i="10"/>
  <c r="C730" i="10" a="1"/>
  <c r="C730" i="10"/>
  <c r="D730" i="10"/>
  <c r="E730" i="10"/>
  <c r="F730" i="10"/>
  <c r="G730" i="10"/>
  <c r="H730" i="10" a="1"/>
  <c r="H730" i="10"/>
  <c r="I730" i="10"/>
  <c r="J730" i="10"/>
  <c r="K730" i="10"/>
  <c r="L730" i="10"/>
  <c r="M730" i="10"/>
  <c r="C731" i="10" a="1"/>
  <c r="C731" i="10"/>
  <c r="D731" i="10"/>
  <c r="E731" i="10"/>
  <c r="F731" i="10"/>
  <c r="G731" i="10"/>
  <c r="H731" i="10" a="1"/>
  <c r="H731" i="10"/>
  <c r="I731" i="10"/>
  <c r="J731" i="10"/>
  <c r="K731" i="10"/>
  <c r="L731" i="10"/>
  <c r="M731" i="10"/>
  <c r="C732" i="10" a="1"/>
  <c r="C732" i="10"/>
  <c r="D732" i="10"/>
  <c r="E732" i="10"/>
  <c r="F732" i="10"/>
  <c r="G732" i="10"/>
  <c r="H732" i="10" a="1"/>
  <c r="H732" i="10"/>
  <c r="I732" i="10"/>
  <c r="J732" i="10"/>
  <c r="K732" i="10"/>
  <c r="L732" i="10"/>
  <c r="M732" i="10"/>
  <c r="C733" i="10" a="1"/>
  <c r="C733" i="10"/>
  <c r="D733" i="10"/>
  <c r="E733" i="10"/>
  <c r="F733" i="10"/>
  <c r="G733" i="10"/>
  <c r="H733" i="10" a="1"/>
  <c r="H733" i="10"/>
  <c r="I733" i="10"/>
  <c r="J733" i="10"/>
  <c r="K733" i="10"/>
  <c r="L733" i="10"/>
  <c r="M733" i="10"/>
  <c r="C734" i="10" a="1"/>
  <c r="C734" i="10"/>
  <c r="D734" i="10"/>
  <c r="E734" i="10"/>
  <c r="F734" i="10"/>
  <c r="G734" i="10"/>
  <c r="H734" i="10" a="1"/>
  <c r="H734" i="10"/>
  <c r="I734" i="10"/>
  <c r="J734" i="10"/>
  <c r="K734" i="10"/>
  <c r="L734" i="10"/>
  <c r="M734" i="10"/>
  <c r="C735" i="10" a="1"/>
  <c r="C735" i="10"/>
  <c r="D735" i="10"/>
  <c r="E735" i="10"/>
  <c r="F735" i="10"/>
  <c r="G735" i="10"/>
  <c r="H735" i="10" a="1"/>
  <c r="H735" i="10"/>
  <c r="I735" i="10"/>
  <c r="J735" i="10"/>
  <c r="K735" i="10"/>
  <c r="L735" i="10"/>
  <c r="M735" i="10"/>
  <c r="C736" i="10" a="1"/>
  <c r="C736" i="10"/>
  <c r="D736" i="10"/>
  <c r="E736" i="10"/>
  <c r="F736" i="10"/>
  <c r="G736" i="10"/>
  <c r="H736" i="10" a="1"/>
  <c r="H736" i="10"/>
  <c r="I736" i="10"/>
  <c r="J736" i="10"/>
  <c r="K736" i="10"/>
  <c r="L736" i="10"/>
  <c r="M736" i="10"/>
  <c r="C737" i="10" a="1"/>
  <c r="C737" i="10"/>
  <c r="D737" i="10"/>
  <c r="E737" i="10"/>
  <c r="F737" i="10"/>
  <c r="G737" i="10"/>
  <c r="H737" i="10" a="1"/>
  <c r="H737" i="10"/>
  <c r="I737" i="10"/>
  <c r="J737" i="10"/>
  <c r="K737" i="10"/>
  <c r="L737" i="10"/>
  <c r="M737" i="10"/>
  <c r="C738" i="10" a="1"/>
  <c r="C738" i="10"/>
  <c r="D738" i="10"/>
  <c r="E738" i="10"/>
  <c r="F738" i="10"/>
  <c r="G738" i="10"/>
  <c r="H738" i="10" a="1"/>
  <c r="H738" i="10"/>
  <c r="I738" i="10"/>
  <c r="J738" i="10"/>
  <c r="K738" i="10"/>
  <c r="L738" i="10"/>
  <c r="M738" i="10"/>
  <c r="C739" i="10" a="1"/>
  <c r="C739" i="10"/>
  <c r="D739" i="10"/>
  <c r="E739" i="10"/>
  <c r="F739" i="10"/>
  <c r="G739" i="10"/>
  <c r="H739" i="10" a="1"/>
  <c r="H739" i="10"/>
  <c r="I739" i="10"/>
  <c r="J739" i="10"/>
  <c r="K739" i="10"/>
  <c r="L739" i="10"/>
  <c r="M739" i="10"/>
  <c r="C740" i="10" a="1"/>
  <c r="C740" i="10"/>
  <c r="D740" i="10"/>
  <c r="E740" i="10"/>
  <c r="F740" i="10"/>
  <c r="G740" i="10"/>
  <c r="H740" i="10" a="1"/>
  <c r="H740" i="10"/>
  <c r="I740" i="10"/>
  <c r="J740" i="10"/>
  <c r="K740" i="10"/>
  <c r="L740" i="10"/>
  <c r="M740" i="10"/>
  <c r="C741" i="10" a="1"/>
  <c r="C741" i="10"/>
  <c r="D741" i="10"/>
  <c r="E741" i="10"/>
  <c r="F741" i="10"/>
  <c r="G741" i="10"/>
  <c r="H741" i="10" a="1"/>
  <c r="H741" i="10"/>
  <c r="I741" i="10"/>
  <c r="J741" i="10"/>
  <c r="K741" i="10"/>
  <c r="L741" i="10"/>
  <c r="M741" i="10"/>
  <c r="C742" i="10" a="1"/>
  <c r="C742" i="10"/>
  <c r="D742" i="10"/>
  <c r="E742" i="10"/>
  <c r="F742" i="10"/>
  <c r="G742" i="10"/>
  <c r="H742" i="10" a="1"/>
  <c r="H742" i="10"/>
  <c r="I742" i="10"/>
  <c r="J742" i="10"/>
  <c r="K742" i="10"/>
  <c r="L742" i="10"/>
  <c r="M742" i="10"/>
  <c r="C743" i="10" a="1"/>
  <c r="C743" i="10"/>
  <c r="D743" i="10"/>
  <c r="E743" i="10"/>
  <c r="F743" i="10"/>
  <c r="G743" i="10"/>
  <c r="H743" i="10" a="1"/>
  <c r="H743" i="10"/>
  <c r="I743" i="10"/>
  <c r="J743" i="10"/>
  <c r="K743" i="10"/>
  <c r="L743" i="10"/>
  <c r="M743" i="10"/>
  <c r="C744" i="10" a="1"/>
  <c r="C744" i="10"/>
  <c r="D744" i="10"/>
  <c r="E744" i="10"/>
  <c r="F744" i="10"/>
  <c r="G744" i="10"/>
  <c r="H744" i="10" a="1"/>
  <c r="H744" i="10"/>
  <c r="I744" i="10"/>
  <c r="J744" i="10"/>
  <c r="K744" i="10"/>
  <c r="L744" i="10"/>
  <c r="M744" i="10"/>
  <c r="C745" i="10" a="1"/>
  <c r="C745" i="10"/>
  <c r="D745" i="10"/>
  <c r="E745" i="10"/>
  <c r="F745" i="10"/>
  <c r="G745" i="10"/>
  <c r="H745" i="10" a="1"/>
  <c r="H745" i="10"/>
  <c r="I745" i="10"/>
  <c r="J745" i="10"/>
  <c r="K745" i="10"/>
  <c r="L745" i="10"/>
  <c r="M745" i="10"/>
  <c r="C746" i="10" a="1"/>
  <c r="C746" i="10"/>
  <c r="D746" i="10"/>
  <c r="E746" i="10"/>
  <c r="F746" i="10"/>
  <c r="G746" i="10"/>
  <c r="H746" i="10" a="1"/>
  <c r="H746" i="10"/>
  <c r="I746" i="10"/>
  <c r="J746" i="10"/>
  <c r="K746" i="10"/>
  <c r="L746" i="10"/>
  <c r="M746" i="10"/>
  <c r="C747" i="10" a="1"/>
  <c r="C747" i="10"/>
  <c r="D747" i="10"/>
  <c r="E747" i="10"/>
  <c r="F747" i="10"/>
  <c r="G747" i="10"/>
  <c r="H747" i="10" a="1"/>
  <c r="H747" i="10"/>
  <c r="I747" i="10"/>
  <c r="J747" i="10"/>
  <c r="K747" i="10"/>
  <c r="L747" i="10"/>
  <c r="M747" i="10"/>
  <c r="C748" i="10" a="1"/>
  <c r="C748" i="10"/>
  <c r="D748" i="10"/>
  <c r="E748" i="10"/>
  <c r="F748" i="10"/>
  <c r="G748" i="10"/>
  <c r="H748" i="10" a="1"/>
  <c r="H748" i="10"/>
  <c r="I748" i="10"/>
  <c r="J748" i="10"/>
  <c r="K748" i="10"/>
  <c r="L748" i="10"/>
  <c r="M748" i="10"/>
  <c r="C749" i="10" a="1"/>
  <c r="C749" i="10"/>
  <c r="D749" i="10"/>
  <c r="E749" i="10"/>
  <c r="F749" i="10"/>
  <c r="G749" i="10"/>
  <c r="H749" i="10" a="1"/>
  <c r="H749" i="10"/>
  <c r="I749" i="10"/>
  <c r="J749" i="10"/>
  <c r="K749" i="10"/>
  <c r="L749" i="10"/>
  <c r="M749" i="10"/>
  <c r="C750" i="10" a="1"/>
  <c r="C750" i="10"/>
  <c r="D750" i="10"/>
  <c r="E750" i="10"/>
  <c r="F750" i="10"/>
  <c r="G750" i="10"/>
  <c r="H750" i="10" a="1"/>
  <c r="H750" i="10"/>
  <c r="I750" i="10"/>
  <c r="J750" i="10"/>
  <c r="K750" i="10"/>
  <c r="L750" i="10"/>
  <c r="M750" i="10"/>
  <c r="C751" i="10" a="1"/>
  <c r="C751" i="10"/>
  <c r="D751" i="10"/>
  <c r="E751" i="10"/>
  <c r="F751" i="10"/>
  <c r="G751" i="10"/>
  <c r="H751" i="10" a="1"/>
  <c r="H751" i="10"/>
  <c r="I751" i="10"/>
  <c r="J751" i="10"/>
  <c r="K751" i="10"/>
  <c r="L751" i="10"/>
  <c r="M751" i="10"/>
  <c r="C752" i="10" a="1"/>
  <c r="C752" i="10"/>
  <c r="D752" i="10"/>
  <c r="E752" i="10"/>
  <c r="F752" i="10"/>
  <c r="G752" i="10"/>
  <c r="H752" i="10" a="1"/>
  <c r="H752" i="10"/>
  <c r="I752" i="10"/>
  <c r="J752" i="10"/>
  <c r="K752" i="10"/>
  <c r="L752" i="10"/>
  <c r="M752" i="10"/>
  <c r="C753" i="10" a="1"/>
  <c r="C753" i="10"/>
  <c r="D753" i="10"/>
  <c r="E753" i="10"/>
  <c r="F753" i="10"/>
  <c r="G753" i="10"/>
  <c r="H753" i="10" a="1"/>
  <c r="H753" i="10"/>
  <c r="I753" i="10"/>
  <c r="J753" i="10"/>
  <c r="K753" i="10"/>
  <c r="L753" i="10"/>
  <c r="M753" i="10"/>
  <c r="C754" i="10" a="1"/>
  <c r="C754" i="10"/>
  <c r="D754" i="10"/>
  <c r="E754" i="10"/>
  <c r="F754" i="10"/>
  <c r="G754" i="10"/>
  <c r="H754" i="10" a="1"/>
  <c r="H754" i="10"/>
  <c r="I754" i="10"/>
  <c r="J754" i="10"/>
  <c r="K754" i="10"/>
  <c r="L754" i="10"/>
  <c r="M754" i="10"/>
  <c r="C755" i="10" a="1"/>
  <c r="C755" i="10"/>
  <c r="D755" i="10"/>
  <c r="E755" i="10"/>
  <c r="F755" i="10"/>
  <c r="G755" i="10"/>
  <c r="H755" i="10" a="1"/>
  <c r="H755" i="10"/>
  <c r="I755" i="10"/>
  <c r="J755" i="10"/>
  <c r="K755" i="10"/>
  <c r="L755" i="10"/>
  <c r="M755" i="10"/>
  <c r="C756" i="10" a="1"/>
  <c r="C756" i="10"/>
  <c r="D756" i="10"/>
  <c r="E756" i="10"/>
  <c r="F756" i="10"/>
  <c r="G756" i="10"/>
  <c r="H756" i="10" a="1"/>
  <c r="H756" i="10"/>
  <c r="I756" i="10"/>
  <c r="J756" i="10"/>
  <c r="K756" i="10"/>
  <c r="L756" i="10"/>
  <c r="M756" i="10"/>
  <c r="C757" i="10" a="1"/>
  <c r="C757" i="10"/>
  <c r="D757" i="10"/>
  <c r="E757" i="10"/>
  <c r="F757" i="10"/>
  <c r="G757" i="10"/>
  <c r="H757" i="10" a="1"/>
  <c r="H757" i="10"/>
  <c r="I757" i="10"/>
  <c r="J757" i="10"/>
  <c r="K757" i="10"/>
  <c r="L757" i="10"/>
  <c r="M757" i="10"/>
  <c r="C758" i="10" a="1"/>
  <c r="C758" i="10"/>
  <c r="D758" i="10"/>
  <c r="E758" i="10"/>
  <c r="F758" i="10"/>
  <c r="G758" i="10"/>
  <c r="H758" i="10" a="1"/>
  <c r="H758" i="10"/>
  <c r="I758" i="10"/>
  <c r="J758" i="10"/>
  <c r="K758" i="10"/>
  <c r="L758" i="10"/>
  <c r="M758" i="10"/>
  <c r="C759" i="10" a="1"/>
  <c r="C759" i="10"/>
  <c r="D759" i="10"/>
  <c r="E759" i="10"/>
  <c r="F759" i="10"/>
  <c r="G759" i="10"/>
  <c r="H759" i="10" a="1"/>
  <c r="H759" i="10"/>
  <c r="I759" i="10"/>
  <c r="J759" i="10"/>
  <c r="K759" i="10"/>
  <c r="L759" i="10"/>
  <c r="M759" i="10"/>
  <c r="C760" i="10" a="1"/>
  <c r="C760" i="10"/>
  <c r="D760" i="10"/>
  <c r="E760" i="10"/>
  <c r="F760" i="10"/>
  <c r="G760" i="10"/>
  <c r="H760" i="10" a="1"/>
  <c r="H760" i="10"/>
  <c r="I760" i="10"/>
  <c r="J760" i="10"/>
  <c r="K760" i="10"/>
  <c r="L760" i="10"/>
  <c r="M760" i="10"/>
  <c r="C761" i="10" a="1"/>
  <c r="C761" i="10"/>
  <c r="D761" i="10"/>
  <c r="E761" i="10"/>
  <c r="F761" i="10"/>
  <c r="G761" i="10"/>
  <c r="H761" i="10" a="1"/>
  <c r="H761" i="10"/>
  <c r="I761" i="10"/>
  <c r="J761" i="10"/>
  <c r="K761" i="10"/>
  <c r="L761" i="10"/>
  <c r="M761" i="10"/>
  <c r="C762" i="10" a="1"/>
  <c r="C762" i="10"/>
  <c r="D762" i="10"/>
  <c r="E762" i="10"/>
  <c r="F762" i="10"/>
  <c r="G762" i="10"/>
  <c r="H762" i="10" a="1"/>
  <c r="H762" i="10"/>
  <c r="I762" i="10"/>
  <c r="J762" i="10"/>
  <c r="K762" i="10"/>
  <c r="L762" i="10"/>
  <c r="M762" i="10"/>
  <c r="C763" i="10" a="1"/>
  <c r="C763" i="10"/>
  <c r="D763" i="10"/>
  <c r="E763" i="10"/>
  <c r="F763" i="10"/>
  <c r="G763" i="10"/>
  <c r="H763" i="10" a="1"/>
  <c r="H763" i="10"/>
  <c r="I763" i="10"/>
  <c r="J763" i="10"/>
  <c r="K763" i="10"/>
  <c r="L763" i="10"/>
  <c r="M763" i="10"/>
  <c r="C764" i="10" a="1"/>
  <c r="C764" i="10"/>
  <c r="D764" i="10"/>
  <c r="E764" i="10"/>
  <c r="F764" i="10"/>
  <c r="G764" i="10"/>
  <c r="H764" i="10" a="1"/>
  <c r="H764" i="10"/>
  <c r="I764" i="10"/>
  <c r="J764" i="10"/>
  <c r="K764" i="10"/>
  <c r="L764" i="10"/>
  <c r="M764" i="10"/>
  <c r="C765" i="10" a="1"/>
  <c r="C765" i="10"/>
  <c r="D765" i="10"/>
  <c r="E765" i="10"/>
  <c r="F765" i="10"/>
  <c r="G765" i="10"/>
  <c r="H765" i="10" a="1"/>
  <c r="H765" i="10"/>
  <c r="I765" i="10"/>
  <c r="J765" i="10"/>
  <c r="K765" i="10"/>
  <c r="L765" i="10"/>
  <c r="M765" i="10"/>
  <c r="C766" i="10" a="1"/>
  <c r="C766" i="10"/>
  <c r="D766" i="10"/>
  <c r="E766" i="10"/>
  <c r="F766" i="10"/>
  <c r="G766" i="10"/>
  <c r="H766" i="10" a="1"/>
  <c r="H766" i="10"/>
  <c r="I766" i="10"/>
  <c r="J766" i="10"/>
  <c r="K766" i="10"/>
  <c r="L766" i="10"/>
  <c r="M766" i="10"/>
  <c r="C767" i="10" a="1"/>
  <c r="C767" i="10"/>
  <c r="D767" i="10"/>
  <c r="E767" i="10"/>
  <c r="F767" i="10"/>
  <c r="G767" i="10"/>
  <c r="H767" i="10" a="1"/>
  <c r="H767" i="10"/>
  <c r="I767" i="10"/>
  <c r="J767" i="10"/>
  <c r="K767" i="10"/>
  <c r="L767" i="10"/>
  <c r="M767" i="10"/>
  <c r="C768" i="10" a="1"/>
  <c r="C768" i="10"/>
  <c r="D768" i="10"/>
  <c r="E768" i="10"/>
  <c r="F768" i="10"/>
  <c r="G768" i="10"/>
  <c r="H768" i="10" a="1"/>
  <c r="H768" i="10"/>
  <c r="I768" i="10"/>
  <c r="J768" i="10"/>
  <c r="K768" i="10"/>
  <c r="L768" i="10"/>
  <c r="M768" i="10"/>
  <c r="C769" i="10" a="1"/>
  <c r="C769" i="10"/>
  <c r="D769" i="10"/>
  <c r="E769" i="10"/>
  <c r="F769" i="10"/>
  <c r="G769" i="10"/>
  <c r="H769" i="10" a="1"/>
  <c r="H769" i="10"/>
  <c r="I769" i="10"/>
  <c r="J769" i="10"/>
  <c r="K769" i="10"/>
  <c r="L769" i="10"/>
  <c r="M769" i="10"/>
  <c r="C770" i="10" a="1"/>
  <c r="C770" i="10"/>
  <c r="D770" i="10"/>
  <c r="E770" i="10"/>
  <c r="F770" i="10"/>
  <c r="G770" i="10"/>
  <c r="H770" i="10" a="1"/>
  <c r="H770" i="10"/>
  <c r="I770" i="10"/>
  <c r="J770" i="10"/>
  <c r="K770" i="10"/>
  <c r="L770" i="10"/>
  <c r="M770" i="10"/>
  <c r="C771" i="10" a="1"/>
  <c r="C771" i="10"/>
  <c r="D771" i="10"/>
  <c r="E771" i="10"/>
  <c r="F771" i="10"/>
  <c r="G771" i="10"/>
  <c r="H771" i="10" a="1"/>
  <c r="H771" i="10"/>
  <c r="I771" i="10"/>
  <c r="J771" i="10"/>
  <c r="K771" i="10"/>
  <c r="L771" i="10"/>
  <c r="M771" i="10"/>
  <c r="C772" i="10" a="1"/>
  <c r="C772" i="10"/>
  <c r="D772" i="10"/>
  <c r="E772" i="10"/>
  <c r="F772" i="10"/>
  <c r="G772" i="10"/>
  <c r="H772" i="10" a="1"/>
  <c r="H772" i="10"/>
  <c r="I772" i="10"/>
  <c r="J772" i="10"/>
  <c r="K772" i="10"/>
  <c r="L772" i="10"/>
  <c r="M772" i="10"/>
  <c r="C773" i="10" a="1"/>
  <c r="C773" i="10"/>
  <c r="D773" i="10"/>
  <c r="E773" i="10"/>
  <c r="F773" i="10"/>
  <c r="G773" i="10"/>
  <c r="H773" i="10" a="1"/>
  <c r="H773" i="10"/>
  <c r="I773" i="10"/>
  <c r="J773" i="10"/>
  <c r="K773" i="10"/>
  <c r="L773" i="10"/>
  <c r="M773" i="10"/>
  <c r="C774" i="10" a="1"/>
  <c r="C774" i="10"/>
  <c r="D774" i="10"/>
  <c r="E774" i="10"/>
  <c r="F774" i="10"/>
  <c r="G774" i="10"/>
  <c r="H774" i="10" a="1"/>
  <c r="H774" i="10"/>
  <c r="I774" i="10"/>
  <c r="J774" i="10"/>
  <c r="K774" i="10"/>
  <c r="L774" i="10"/>
  <c r="M774" i="10"/>
  <c r="C775" i="10" a="1"/>
  <c r="C775" i="10"/>
  <c r="D775" i="10"/>
  <c r="E775" i="10"/>
  <c r="F775" i="10"/>
  <c r="G775" i="10"/>
  <c r="H775" i="10" a="1"/>
  <c r="H775" i="10"/>
  <c r="I775" i="10"/>
  <c r="J775" i="10"/>
  <c r="K775" i="10"/>
  <c r="L775" i="10"/>
  <c r="M775" i="10"/>
  <c r="C776" i="10" a="1"/>
  <c r="C776" i="10"/>
  <c r="D776" i="10"/>
  <c r="E776" i="10"/>
  <c r="F776" i="10"/>
  <c r="G776" i="10"/>
  <c r="H776" i="10" a="1"/>
  <c r="H776" i="10"/>
  <c r="I776" i="10"/>
  <c r="J776" i="10"/>
  <c r="K776" i="10"/>
  <c r="L776" i="10"/>
  <c r="M776" i="10"/>
  <c r="C777" i="10" a="1"/>
  <c r="C777" i="10"/>
  <c r="D777" i="10"/>
  <c r="E777" i="10"/>
  <c r="F777" i="10"/>
  <c r="G777" i="10"/>
  <c r="H777" i="10" a="1"/>
  <c r="H777" i="10"/>
  <c r="I777" i="10"/>
  <c r="J777" i="10"/>
  <c r="K777" i="10"/>
  <c r="L777" i="10"/>
  <c r="M777" i="10"/>
  <c r="C778" i="10" a="1"/>
  <c r="C778" i="10"/>
  <c r="D778" i="10"/>
  <c r="E778" i="10"/>
  <c r="F778" i="10"/>
  <c r="G778" i="10"/>
  <c r="H778" i="10" a="1"/>
  <c r="H778" i="10"/>
  <c r="I778" i="10"/>
  <c r="J778" i="10"/>
  <c r="K778" i="10"/>
  <c r="L778" i="10"/>
  <c r="M778" i="10"/>
  <c r="C779" i="10" a="1"/>
  <c r="C779" i="10"/>
  <c r="D779" i="10"/>
  <c r="E779" i="10"/>
  <c r="F779" i="10"/>
  <c r="G779" i="10"/>
  <c r="H779" i="10" a="1"/>
  <c r="H779" i="10"/>
  <c r="I779" i="10"/>
  <c r="J779" i="10"/>
  <c r="K779" i="10"/>
  <c r="L779" i="10"/>
  <c r="M779" i="10"/>
  <c r="C780" i="10" a="1"/>
  <c r="C780" i="10"/>
  <c r="D780" i="10"/>
  <c r="E780" i="10"/>
  <c r="F780" i="10"/>
  <c r="G780" i="10"/>
  <c r="H780" i="10" a="1"/>
  <c r="H780" i="10"/>
  <c r="I780" i="10"/>
  <c r="J780" i="10"/>
  <c r="K780" i="10"/>
  <c r="L780" i="10"/>
  <c r="M780" i="10"/>
  <c r="C781" i="10" a="1"/>
  <c r="C781" i="10"/>
  <c r="D781" i="10"/>
  <c r="E781" i="10"/>
  <c r="F781" i="10"/>
  <c r="G781" i="10"/>
  <c r="H781" i="10" a="1"/>
  <c r="H781" i="10"/>
  <c r="I781" i="10"/>
  <c r="J781" i="10"/>
  <c r="K781" i="10"/>
  <c r="L781" i="10"/>
  <c r="M781" i="10"/>
  <c r="C782" i="10" a="1"/>
  <c r="C782" i="10"/>
  <c r="D782" i="10"/>
  <c r="E782" i="10"/>
  <c r="F782" i="10"/>
  <c r="G782" i="10"/>
  <c r="H782" i="10" a="1"/>
  <c r="H782" i="10"/>
  <c r="I782" i="10"/>
  <c r="J782" i="10"/>
  <c r="K782" i="10"/>
  <c r="L782" i="10"/>
  <c r="M782" i="10"/>
  <c r="C783" i="10" a="1"/>
  <c r="C783" i="10"/>
  <c r="D783" i="10"/>
  <c r="E783" i="10"/>
  <c r="F783" i="10"/>
  <c r="G783" i="10"/>
  <c r="H783" i="10" a="1"/>
  <c r="H783" i="10"/>
  <c r="I783" i="10"/>
  <c r="J783" i="10"/>
  <c r="K783" i="10"/>
  <c r="L783" i="10"/>
  <c r="M783" i="10"/>
  <c r="C784" i="10" a="1"/>
  <c r="C784" i="10"/>
  <c r="D784" i="10"/>
  <c r="E784" i="10"/>
  <c r="F784" i="10"/>
  <c r="G784" i="10"/>
  <c r="H784" i="10" a="1"/>
  <c r="H784" i="10"/>
  <c r="I784" i="10"/>
  <c r="J784" i="10"/>
  <c r="K784" i="10"/>
  <c r="L784" i="10"/>
  <c r="M784" i="10"/>
  <c r="C785" i="10" a="1"/>
  <c r="C785" i="10"/>
  <c r="D785" i="10"/>
  <c r="E785" i="10"/>
  <c r="F785" i="10"/>
  <c r="G785" i="10"/>
  <c r="H785" i="10" a="1"/>
  <c r="H785" i="10"/>
  <c r="I785" i="10"/>
  <c r="J785" i="10"/>
  <c r="K785" i="10"/>
  <c r="L785" i="10"/>
  <c r="M785" i="10"/>
  <c r="C786" i="10" a="1"/>
  <c r="C786" i="10"/>
  <c r="D786" i="10"/>
  <c r="E786" i="10"/>
  <c r="F786" i="10"/>
  <c r="G786" i="10"/>
  <c r="H786" i="10" a="1"/>
  <c r="H786" i="10"/>
  <c r="I786" i="10"/>
  <c r="J786" i="10"/>
  <c r="K786" i="10"/>
  <c r="L786" i="10"/>
  <c r="M786" i="10"/>
  <c r="C787" i="10" a="1"/>
  <c r="C787" i="10"/>
  <c r="D787" i="10"/>
  <c r="E787" i="10"/>
  <c r="F787" i="10"/>
  <c r="G787" i="10"/>
  <c r="H787" i="10" a="1"/>
  <c r="H787" i="10"/>
  <c r="I787" i="10"/>
  <c r="J787" i="10"/>
  <c r="K787" i="10"/>
  <c r="L787" i="10"/>
  <c r="M787" i="10"/>
  <c r="C788" i="10" a="1"/>
  <c r="C788" i="10"/>
  <c r="D788" i="10"/>
  <c r="E788" i="10"/>
  <c r="F788" i="10"/>
  <c r="G788" i="10"/>
  <c r="H788" i="10" a="1"/>
  <c r="H788" i="10"/>
  <c r="I788" i="10"/>
  <c r="J788" i="10"/>
  <c r="K788" i="10"/>
  <c r="L788" i="10"/>
  <c r="M788" i="10"/>
  <c r="C789" i="10" a="1"/>
  <c r="C789" i="10"/>
  <c r="D789" i="10"/>
  <c r="E789" i="10"/>
  <c r="F789" i="10"/>
  <c r="G789" i="10"/>
  <c r="H789" i="10" a="1"/>
  <c r="H789" i="10"/>
  <c r="I789" i="10"/>
  <c r="J789" i="10"/>
  <c r="K789" i="10"/>
  <c r="L789" i="10"/>
  <c r="M789" i="10"/>
  <c r="C790" i="10" a="1"/>
  <c r="C790" i="10"/>
  <c r="D790" i="10"/>
  <c r="E790" i="10"/>
  <c r="F790" i="10"/>
  <c r="G790" i="10"/>
  <c r="H790" i="10" a="1"/>
  <c r="H790" i="10"/>
  <c r="I790" i="10"/>
  <c r="J790" i="10"/>
  <c r="K790" i="10"/>
  <c r="L790" i="10"/>
  <c r="M790" i="10"/>
  <c r="C791" i="10" a="1"/>
  <c r="C791" i="10"/>
  <c r="D791" i="10"/>
  <c r="E791" i="10"/>
  <c r="F791" i="10"/>
  <c r="G791" i="10"/>
  <c r="H791" i="10" a="1"/>
  <c r="H791" i="10"/>
  <c r="I791" i="10"/>
  <c r="J791" i="10"/>
  <c r="K791" i="10"/>
  <c r="L791" i="10"/>
  <c r="M791" i="10"/>
  <c r="C792" i="10" a="1"/>
  <c r="C792" i="10"/>
  <c r="D792" i="10"/>
  <c r="E792" i="10"/>
  <c r="F792" i="10"/>
  <c r="G792" i="10"/>
  <c r="H792" i="10" a="1"/>
  <c r="H792" i="10"/>
  <c r="I792" i="10"/>
  <c r="J792" i="10"/>
  <c r="K792" i="10"/>
  <c r="L792" i="10"/>
  <c r="M792" i="10"/>
  <c r="C793" i="10" a="1"/>
  <c r="C793" i="10"/>
  <c r="D793" i="10"/>
  <c r="E793" i="10"/>
  <c r="F793" i="10"/>
  <c r="G793" i="10"/>
  <c r="H793" i="10" a="1"/>
  <c r="H793" i="10"/>
  <c r="I793" i="10"/>
  <c r="J793" i="10"/>
  <c r="K793" i="10"/>
  <c r="L793" i="10"/>
  <c r="M793" i="10"/>
  <c r="C794" i="10" a="1"/>
  <c r="C794" i="10"/>
  <c r="D794" i="10"/>
  <c r="E794" i="10"/>
  <c r="F794" i="10"/>
  <c r="G794" i="10"/>
  <c r="H794" i="10" a="1"/>
  <c r="H794" i="10"/>
  <c r="I794" i="10"/>
  <c r="J794" i="10"/>
  <c r="K794" i="10"/>
  <c r="L794" i="10"/>
  <c r="M794" i="10"/>
  <c r="C795" i="10" a="1"/>
  <c r="C795" i="10"/>
  <c r="D795" i="10"/>
  <c r="E795" i="10"/>
  <c r="F795" i="10"/>
  <c r="G795" i="10"/>
  <c r="H795" i="10" a="1"/>
  <c r="H795" i="10"/>
  <c r="I795" i="10"/>
  <c r="J795" i="10"/>
  <c r="K795" i="10"/>
  <c r="L795" i="10"/>
  <c r="M795" i="10"/>
  <c r="C796" i="10" a="1"/>
  <c r="C796" i="10"/>
  <c r="D796" i="10"/>
  <c r="E796" i="10"/>
  <c r="F796" i="10"/>
  <c r="G796" i="10"/>
  <c r="H796" i="10" a="1"/>
  <c r="H796" i="10"/>
  <c r="I796" i="10"/>
  <c r="J796" i="10"/>
  <c r="K796" i="10"/>
  <c r="L796" i="10"/>
  <c r="M796" i="10"/>
  <c r="C797" i="10" a="1"/>
  <c r="C797" i="10"/>
  <c r="D797" i="10"/>
  <c r="E797" i="10"/>
  <c r="F797" i="10"/>
  <c r="G797" i="10"/>
  <c r="H797" i="10" a="1"/>
  <c r="H797" i="10"/>
  <c r="I797" i="10"/>
  <c r="J797" i="10"/>
  <c r="K797" i="10"/>
  <c r="L797" i="10"/>
  <c r="M797" i="10"/>
  <c r="C798" i="10" a="1"/>
  <c r="C798" i="10"/>
  <c r="D798" i="10"/>
  <c r="E798" i="10"/>
  <c r="F798" i="10"/>
  <c r="G798" i="10"/>
  <c r="H798" i="10" a="1"/>
  <c r="H798" i="10"/>
  <c r="I798" i="10"/>
  <c r="J798" i="10"/>
  <c r="K798" i="10"/>
  <c r="L798" i="10"/>
  <c r="M798" i="10"/>
  <c r="C799" i="10" a="1"/>
  <c r="C799" i="10"/>
  <c r="D799" i="10"/>
  <c r="E799" i="10"/>
  <c r="F799" i="10"/>
  <c r="G799" i="10"/>
  <c r="H799" i="10" a="1"/>
  <c r="H799" i="10"/>
  <c r="I799" i="10"/>
  <c r="J799" i="10"/>
  <c r="K799" i="10"/>
  <c r="L799" i="10"/>
  <c r="M799" i="10"/>
  <c r="C800" i="10" a="1"/>
  <c r="C800" i="10"/>
  <c r="D800" i="10"/>
  <c r="E800" i="10"/>
  <c r="F800" i="10"/>
  <c r="G800" i="10"/>
  <c r="H800" i="10" a="1"/>
  <c r="H800" i="10"/>
  <c r="I800" i="10"/>
  <c r="J800" i="10"/>
  <c r="K800" i="10"/>
  <c r="L800" i="10"/>
  <c r="M800" i="10"/>
  <c r="C801" i="10" a="1"/>
  <c r="C801" i="10"/>
  <c r="D801" i="10"/>
  <c r="E801" i="10"/>
  <c r="F801" i="10"/>
  <c r="G801" i="10"/>
  <c r="H801" i="10" a="1"/>
  <c r="H801" i="10"/>
  <c r="I801" i="10"/>
  <c r="J801" i="10"/>
  <c r="K801" i="10"/>
  <c r="L801" i="10"/>
  <c r="M801" i="10"/>
  <c r="C802" i="10" a="1"/>
  <c r="C802" i="10"/>
  <c r="D802" i="10"/>
  <c r="E802" i="10"/>
  <c r="F802" i="10"/>
  <c r="G802" i="10"/>
  <c r="H802" i="10" a="1"/>
  <c r="H802" i="10"/>
  <c r="I802" i="10"/>
  <c r="J802" i="10"/>
  <c r="K802" i="10"/>
  <c r="L802" i="10"/>
  <c r="M802" i="10"/>
  <c r="C803" i="10" a="1"/>
  <c r="C803" i="10"/>
  <c r="D803" i="10"/>
  <c r="E803" i="10"/>
  <c r="F803" i="10"/>
  <c r="G803" i="10"/>
  <c r="H803" i="10" a="1"/>
  <c r="H803" i="10"/>
  <c r="I803" i="10"/>
  <c r="J803" i="10"/>
  <c r="K803" i="10"/>
  <c r="L803" i="10"/>
  <c r="M803" i="10"/>
  <c r="C804" i="10" a="1"/>
  <c r="C804" i="10"/>
  <c r="D804" i="10"/>
  <c r="E804" i="10"/>
  <c r="F804" i="10"/>
  <c r="G804" i="10"/>
  <c r="H804" i="10" a="1"/>
  <c r="H804" i="10"/>
  <c r="I804" i="10"/>
  <c r="J804" i="10"/>
  <c r="K804" i="10"/>
  <c r="L804" i="10"/>
  <c r="M804" i="10"/>
  <c r="C805" i="10" a="1"/>
  <c r="C805" i="10"/>
  <c r="D805" i="10"/>
  <c r="E805" i="10"/>
  <c r="F805" i="10"/>
  <c r="G805" i="10"/>
  <c r="H805" i="10" a="1"/>
  <c r="H805" i="10"/>
  <c r="I805" i="10"/>
  <c r="J805" i="10"/>
  <c r="K805" i="10"/>
  <c r="L805" i="10"/>
  <c r="M805" i="10"/>
  <c r="C806" i="10" a="1"/>
  <c r="C806" i="10"/>
  <c r="D806" i="10"/>
  <c r="E806" i="10"/>
  <c r="F806" i="10"/>
  <c r="G806" i="10"/>
  <c r="H806" i="10" a="1"/>
  <c r="H806" i="10"/>
  <c r="I806" i="10"/>
  <c r="J806" i="10"/>
  <c r="K806" i="10"/>
  <c r="L806" i="10"/>
  <c r="M806" i="10"/>
  <c r="C807" i="10" a="1"/>
  <c r="C807" i="10"/>
  <c r="D807" i="10"/>
  <c r="E807" i="10"/>
  <c r="F807" i="10"/>
  <c r="G807" i="10"/>
  <c r="H807" i="10" a="1"/>
  <c r="H807" i="10"/>
  <c r="I807" i="10"/>
  <c r="J807" i="10"/>
  <c r="K807" i="10"/>
  <c r="L807" i="10"/>
  <c r="M807" i="10"/>
  <c r="C808" i="10" a="1"/>
  <c r="C808" i="10"/>
  <c r="D808" i="10"/>
  <c r="E808" i="10"/>
  <c r="F808" i="10"/>
  <c r="G808" i="10"/>
  <c r="H808" i="10" a="1"/>
  <c r="H808" i="10"/>
  <c r="I808" i="10"/>
  <c r="J808" i="10"/>
  <c r="K808" i="10"/>
  <c r="L808" i="10"/>
  <c r="M808" i="10"/>
  <c r="C809" i="10" a="1"/>
  <c r="C809" i="10"/>
  <c r="D809" i="10"/>
  <c r="E809" i="10"/>
  <c r="F809" i="10"/>
  <c r="G809" i="10"/>
  <c r="H809" i="10" a="1"/>
  <c r="H809" i="10"/>
  <c r="I809" i="10"/>
  <c r="J809" i="10"/>
  <c r="K809" i="10"/>
  <c r="L809" i="10"/>
  <c r="M809" i="10"/>
  <c r="C810" i="10" a="1"/>
  <c r="C810" i="10"/>
  <c r="D810" i="10"/>
  <c r="E810" i="10"/>
  <c r="F810" i="10"/>
  <c r="G810" i="10"/>
  <c r="H810" i="10" a="1"/>
  <c r="H810" i="10"/>
  <c r="I810" i="10"/>
  <c r="J810" i="10"/>
  <c r="K810" i="10"/>
  <c r="L810" i="10"/>
  <c r="M810" i="10"/>
  <c r="C811" i="10" a="1"/>
  <c r="C811" i="10"/>
  <c r="D811" i="10"/>
  <c r="E811" i="10"/>
  <c r="F811" i="10"/>
  <c r="G811" i="10"/>
  <c r="H811" i="10" a="1"/>
  <c r="H811" i="10"/>
  <c r="I811" i="10"/>
  <c r="J811" i="10"/>
  <c r="K811" i="10"/>
  <c r="L811" i="10"/>
  <c r="M811" i="10"/>
  <c r="C812" i="10" a="1"/>
  <c r="C812" i="10"/>
  <c r="D812" i="10"/>
  <c r="E812" i="10"/>
  <c r="F812" i="10"/>
  <c r="G812" i="10"/>
  <c r="H812" i="10" a="1"/>
  <c r="H812" i="10"/>
  <c r="I812" i="10"/>
  <c r="J812" i="10"/>
  <c r="K812" i="10"/>
  <c r="L812" i="10"/>
  <c r="M812" i="10"/>
  <c r="C813" i="10" a="1"/>
  <c r="C813" i="10"/>
  <c r="D813" i="10"/>
  <c r="E813" i="10"/>
  <c r="F813" i="10"/>
  <c r="G813" i="10"/>
  <c r="H813" i="10" a="1"/>
  <c r="H813" i="10"/>
  <c r="I813" i="10"/>
  <c r="J813" i="10"/>
  <c r="K813" i="10"/>
  <c r="L813" i="10"/>
  <c r="M813" i="10"/>
  <c r="C814" i="10" a="1"/>
  <c r="C814" i="10"/>
  <c r="D814" i="10"/>
  <c r="E814" i="10"/>
  <c r="F814" i="10"/>
  <c r="G814" i="10"/>
  <c r="H814" i="10" a="1"/>
  <c r="H814" i="10"/>
  <c r="I814" i="10"/>
  <c r="J814" i="10"/>
  <c r="K814" i="10"/>
  <c r="L814" i="10"/>
  <c r="M814" i="10"/>
  <c r="C815" i="10" a="1"/>
  <c r="C815" i="10"/>
  <c r="D815" i="10"/>
  <c r="E815" i="10"/>
  <c r="F815" i="10"/>
  <c r="G815" i="10"/>
  <c r="H815" i="10" a="1"/>
  <c r="H815" i="10"/>
  <c r="I815" i="10"/>
  <c r="J815" i="10"/>
  <c r="K815" i="10"/>
  <c r="L815" i="10"/>
  <c r="M815" i="10"/>
  <c r="C816" i="10" a="1"/>
  <c r="C816" i="10"/>
  <c r="D816" i="10"/>
  <c r="E816" i="10"/>
  <c r="F816" i="10"/>
  <c r="G816" i="10"/>
  <c r="H816" i="10" a="1"/>
  <c r="H816" i="10"/>
  <c r="I816" i="10"/>
  <c r="J816" i="10"/>
  <c r="K816" i="10"/>
  <c r="L816" i="10"/>
  <c r="M816" i="10"/>
  <c r="C817" i="10" a="1"/>
  <c r="C817" i="10"/>
  <c r="D817" i="10"/>
  <c r="E817" i="10"/>
  <c r="F817" i="10"/>
  <c r="G817" i="10"/>
  <c r="H817" i="10" a="1"/>
  <c r="H817" i="10"/>
  <c r="I817" i="10"/>
  <c r="J817" i="10"/>
  <c r="K817" i="10"/>
  <c r="L817" i="10"/>
  <c r="M817" i="10"/>
  <c r="C818" i="10" a="1"/>
  <c r="C818" i="10"/>
  <c r="D818" i="10"/>
  <c r="E818" i="10"/>
  <c r="F818" i="10"/>
  <c r="G818" i="10"/>
  <c r="H818" i="10" a="1"/>
  <c r="H818" i="10"/>
  <c r="I818" i="10"/>
  <c r="J818" i="10"/>
  <c r="K818" i="10"/>
  <c r="L818" i="10"/>
  <c r="M818" i="10"/>
  <c r="C819" i="10" a="1"/>
  <c r="C819" i="10"/>
  <c r="D819" i="10"/>
  <c r="E819" i="10"/>
  <c r="F819" i="10"/>
  <c r="G819" i="10"/>
  <c r="H819" i="10" a="1"/>
  <c r="H819" i="10"/>
  <c r="I819" i="10"/>
  <c r="J819" i="10"/>
  <c r="K819" i="10"/>
  <c r="L819" i="10"/>
  <c r="M819" i="10"/>
  <c r="C820" i="10" a="1"/>
  <c r="C820" i="10"/>
  <c r="D820" i="10"/>
  <c r="E820" i="10"/>
  <c r="F820" i="10"/>
  <c r="G820" i="10"/>
  <c r="H820" i="10" a="1"/>
  <c r="H820" i="10"/>
  <c r="I820" i="10"/>
  <c r="J820" i="10"/>
  <c r="K820" i="10"/>
  <c r="L820" i="10"/>
  <c r="M820" i="10"/>
  <c r="C821" i="10" a="1"/>
  <c r="C821" i="10"/>
  <c r="D821" i="10"/>
  <c r="E821" i="10"/>
  <c r="F821" i="10"/>
  <c r="G821" i="10"/>
  <c r="H821" i="10" a="1"/>
  <c r="H821" i="10"/>
  <c r="I821" i="10"/>
  <c r="J821" i="10"/>
  <c r="K821" i="10"/>
  <c r="L821" i="10"/>
  <c r="M821" i="10"/>
  <c r="C822" i="10" a="1"/>
  <c r="C822" i="10"/>
  <c r="D822" i="10"/>
  <c r="E822" i="10"/>
  <c r="F822" i="10"/>
  <c r="G822" i="10"/>
  <c r="H822" i="10" a="1"/>
  <c r="H822" i="10"/>
  <c r="I822" i="10"/>
  <c r="J822" i="10"/>
  <c r="K822" i="10"/>
  <c r="L822" i="10"/>
  <c r="M822" i="10"/>
  <c r="C823" i="10" a="1"/>
  <c r="C823" i="10"/>
  <c r="D823" i="10"/>
  <c r="E823" i="10"/>
  <c r="F823" i="10"/>
  <c r="G823" i="10"/>
  <c r="H823" i="10" a="1"/>
  <c r="H823" i="10"/>
  <c r="I823" i="10"/>
  <c r="J823" i="10"/>
  <c r="K823" i="10"/>
  <c r="L823" i="10"/>
  <c r="M823" i="10"/>
  <c r="C824" i="10" a="1"/>
  <c r="C824" i="10"/>
  <c r="D824" i="10"/>
  <c r="E824" i="10"/>
  <c r="F824" i="10"/>
  <c r="G824" i="10"/>
  <c r="H824" i="10" a="1"/>
  <c r="H824" i="10"/>
  <c r="I824" i="10"/>
  <c r="J824" i="10"/>
  <c r="K824" i="10"/>
  <c r="L824" i="10"/>
  <c r="M824" i="10"/>
  <c r="C825" i="10" a="1"/>
  <c r="C825" i="10"/>
  <c r="D825" i="10"/>
  <c r="E825" i="10"/>
  <c r="F825" i="10"/>
  <c r="G825" i="10"/>
  <c r="H825" i="10" a="1"/>
  <c r="H825" i="10"/>
  <c r="I825" i="10"/>
  <c r="J825" i="10"/>
  <c r="K825" i="10"/>
  <c r="L825" i="10"/>
  <c r="M825" i="10"/>
  <c r="C826" i="10" a="1"/>
  <c r="C826" i="10"/>
  <c r="D826" i="10"/>
  <c r="E826" i="10"/>
  <c r="F826" i="10"/>
  <c r="G826" i="10"/>
  <c r="H826" i="10" a="1"/>
  <c r="H826" i="10"/>
  <c r="I826" i="10"/>
  <c r="J826" i="10"/>
  <c r="K826" i="10"/>
  <c r="L826" i="10"/>
  <c r="M826" i="10"/>
  <c r="C827" i="10" a="1"/>
  <c r="C827" i="10"/>
  <c r="D827" i="10"/>
  <c r="E827" i="10"/>
  <c r="F827" i="10"/>
  <c r="G827" i="10"/>
  <c r="H827" i="10" a="1"/>
  <c r="H827" i="10"/>
  <c r="I827" i="10"/>
  <c r="J827" i="10"/>
  <c r="K827" i="10"/>
  <c r="L827" i="10"/>
  <c r="M827" i="10"/>
  <c r="C828" i="10" a="1"/>
  <c r="C828" i="10"/>
  <c r="D828" i="10"/>
  <c r="E828" i="10"/>
  <c r="F828" i="10"/>
  <c r="G828" i="10"/>
  <c r="H828" i="10" a="1"/>
  <c r="H828" i="10"/>
  <c r="I828" i="10"/>
  <c r="J828" i="10"/>
  <c r="K828" i="10"/>
  <c r="L828" i="10"/>
  <c r="M828" i="10"/>
  <c r="C829" i="10" a="1"/>
  <c r="C829" i="10"/>
  <c r="D829" i="10"/>
  <c r="E829" i="10"/>
  <c r="F829" i="10"/>
  <c r="G829" i="10"/>
  <c r="H829" i="10" a="1"/>
  <c r="H829" i="10"/>
  <c r="I829" i="10"/>
  <c r="J829" i="10"/>
  <c r="K829" i="10"/>
  <c r="L829" i="10"/>
  <c r="M829" i="10"/>
  <c r="C830" i="10" a="1"/>
  <c r="C830" i="10"/>
  <c r="D830" i="10"/>
  <c r="E830" i="10"/>
  <c r="F830" i="10"/>
  <c r="G830" i="10"/>
  <c r="H830" i="10" a="1"/>
  <c r="H830" i="10"/>
  <c r="I830" i="10"/>
  <c r="J830" i="10"/>
  <c r="K830" i="10"/>
  <c r="L830" i="10"/>
  <c r="M830" i="10"/>
  <c r="C831" i="10" a="1"/>
  <c r="C831" i="10"/>
  <c r="D831" i="10"/>
  <c r="E831" i="10"/>
  <c r="F831" i="10"/>
  <c r="G831" i="10"/>
  <c r="H831" i="10" a="1"/>
  <c r="H831" i="10"/>
  <c r="I831" i="10"/>
  <c r="J831" i="10"/>
  <c r="K831" i="10"/>
  <c r="L831" i="10"/>
  <c r="M831" i="10"/>
  <c r="C832" i="10" a="1"/>
  <c r="C832" i="10"/>
  <c r="D832" i="10"/>
  <c r="E832" i="10"/>
  <c r="F832" i="10"/>
  <c r="G832" i="10"/>
  <c r="H832" i="10" a="1"/>
  <c r="H832" i="10"/>
  <c r="I832" i="10"/>
  <c r="J832" i="10"/>
  <c r="K832" i="10"/>
  <c r="L832" i="10"/>
  <c r="M832" i="10"/>
  <c r="C833" i="10" a="1"/>
  <c r="C833" i="10"/>
  <c r="D833" i="10"/>
  <c r="E833" i="10"/>
  <c r="F833" i="10"/>
  <c r="G833" i="10"/>
  <c r="H833" i="10" a="1"/>
  <c r="H833" i="10"/>
  <c r="I833" i="10"/>
  <c r="J833" i="10"/>
  <c r="K833" i="10"/>
  <c r="L833" i="10"/>
  <c r="M833" i="10"/>
  <c r="C834" i="10" a="1"/>
  <c r="C834" i="10"/>
  <c r="D834" i="10"/>
  <c r="E834" i="10"/>
  <c r="F834" i="10"/>
  <c r="G834" i="10"/>
  <c r="H834" i="10" a="1"/>
  <c r="H834" i="10"/>
  <c r="I834" i="10"/>
  <c r="J834" i="10"/>
  <c r="K834" i="10"/>
  <c r="L834" i="10"/>
  <c r="M834" i="10"/>
  <c r="C835" i="10" a="1"/>
  <c r="C835" i="10"/>
  <c r="D835" i="10"/>
  <c r="E835" i="10"/>
  <c r="F835" i="10"/>
  <c r="G835" i="10"/>
  <c r="H835" i="10" a="1"/>
  <c r="H835" i="10"/>
  <c r="I835" i="10"/>
  <c r="J835" i="10"/>
  <c r="K835" i="10"/>
  <c r="L835" i="10"/>
  <c r="M835" i="10"/>
  <c r="C836" i="10" a="1"/>
  <c r="C836" i="10"/>
  <c r="D836" i="10"/>
  <c r="E836" i="10"/>
  <c r="F836" i="10"/>
  <c r="G836" i="10"/>
  <c r="H836" i="10" a="1"/>
  <c r="H836" i="10"/>
  <c r="I836" i="10"/>
  <c r="J836" i="10"/>
  <c r="K836" i="10"/>
  <c r="L836" i="10"/>
  <c r="M836" i="10"/>
  <c r="C837" i="10" a="1"/>
  <c r="C837" i="10"/>
  <c r="D837" i="10"/>
  <c r="E837" i="10"/>
  <c r="F837" i="10"/>
  <c r="G837" i="10"/>
  <c r="H837" i="10" a="1"/>
  <c r="H837" i="10"/>
  <c r="I837" i="10"/>
  <c r="J837" i="10"/>
  <c r="K837" i="10"/>
  <c r="L837" i="10"/>
  <c r="M837" i="10"/>
  <c r="C838" i="10" a="1"/>
  <c r="C838" i="10"/>
  <c r="D838" i="10"/>
  <c r="E838" i="10"/>
  <c r="F838" i="10"/>
  <c r="G838" i="10"/>
  <c r="H838" i="10" a="1"/>
  <c r="H838" i="10"/>
  <c r="I838" i="10"/>
  <c r="J838" i="10"/>
  <c r="K838" i="10"/>
  <c r="L838" i="10"/>
  <c r="M838" i="10"/>
  <c r="C839" i="10" a="1"/>
  <c r="C839" i="10"/>
  <c r="D839" i="10"/>
  <c r="E839" i="10"/>
  <c r="F839" i="10"/>
  <c r="G839" i="10"/>
  <c r="H839" i="10" a="1"/>
  <c r="H839" i="10"/>
  <c r="I839" i="10"/>
  <c r="J839" i="10"/>
  <c r="K839" i="10"/>
  <c r="L839" i="10"/>
  <c r="M839" i="10"/>
  <c r="C840" i="10" a="1"/>
  <c r="C840" i="10"/>
  <c r="D840" i="10"/>
  <c r="E840" i="10"/>
  <c r="F840" i="10"/>
  <c r="G840" i="10"/>
  <c r="H840" i="10" a="1"/>
  <c r="H840" i="10"/>
  <c r="I840" i="10"/>
  <c r="J840" i="10"/>
  <c r="K840" i="10"/>
  <c r="L840" i="10"/>
  <c r="M840" i="10"/>
  <c r="C841" i="10" a="1"/>
  <c r="C841" i="10"/>
  <c r="D841" i="10"/>
  <c r="E841" i="10"/>
  <c r="F841" i="10"/>
  <c r="G841" i="10"/>
  <c r="H841" i="10" a="1"/>
  <c r="H841" i="10"/>
  <c r="I841" i="10"/>
  <c r="J841" i="10"/>
  <c r="K841" i="10"/>
  <c r="L841" i="10"/>
  <c r="M841" i="10"/>
  <c r="C842" i="10" a="1"/>
  <c r="C842" i="10"/>
  <c r="D842" i="10"/>
  <c r="E842" i="10"/>
  <c r="F842" i="10"/>
  <c r="G842" i="10"/>
  <c r="H842" i="10" a="1"/>
  <c r="H842" i="10"/>
  <c r="I842" i="10"/>
  <c r="J842" i="10"/>
  <c r="K842" i="10"/>
  <c r="L842" i="10"/>
  <c r="M842" i="10"/>
  <c r="C843" i="10" a="1"/>
  <c r="C843" i="10"/>
  <c r="D843" i="10"/>
  <c r="E843" i="10"/>
  <c r="F843" i="10"/>
  <c r="G843" i="10"/>
  <c r="H843" i="10" a="1"/>
  <c r="H843" i="10"/>
  <c r="I843" i="10"/>
  <c r="J843" i="10"/>
  <c r="K843" i="10"/>
  <c r="L843" i="10"/>
  <c r="M843" i="10"/>
  <c r="C844" i="10" a="1"/>
  <c r="C844" i="10"/>
  <c r="D844" i="10"/>
  <c r="E844" i="10"/>
  <c r="F844" i="10"/>
  <c r="G844" i="10"/>
  <c r="H844" i="10" a="1"/>
  <c r="H844" i="10"/>
  <c r="I844" i="10"/>
  <c r="J844" i="10"/>
  <c r="K844" i="10"/>
  <c r="L844" i="10"/>
  <c r="M844" i="10"/>
  <c r="C845" i="10" a="1"/>
  <c r="C845" i="10"/>
  <c r="D845" i="10"/>
  <c r="E845" i="10"/>
  <c r="F845" i="10"/>
  <c r="G845" i="10"/>
  <c r="H845" i="10" a="1"/>
  <c r="H845" i="10"/>
  <c r="I845" i="10"/>
  <c r="J845" i="10"/>
  <c r="K845" i="10"/>
  <c r="L845" i="10"/>
  <c r="M845" i="10"/>
  <c r="C846" i="10" a="1"/>
  <c r="C846" i="10"/>
  <c r="D846" i="10"/>
  <c r="E846" i="10"/>
  <c r="F846" i="10"/>
  <c r="G846" i="10"/>
  <c r="H846" i="10" a="1"/>
  <c r="H846" i="10"/>
  <c r="I846" i="10"/>
  <c r="J846" i="10"/>
  <c r="K846" i="10"/>
  <c r="L846" i="10"/>
  <c r="M846" i="10"/>
  <c r="C847" i="10" a="1"/>
  <c r="C847" i="10"/>
  <c r="D847" i="10"/>
  <c r="E847" i="10"/>
  <c r="F847" i="10"/>
  <c r="G847" i="10"/>
  <c r="H847" i="10" a="1"/>
  <c r="H847" i="10"/>
  <c r="I847" i="10"/>
  <c r="J847" i="10"/>
  <c r="K847" i="10"/>
  <c r="L847" i="10"/>
  <c r="M847" i="10"/>
  <c r="C848" i="10" a="1"/>
  <c r="C848" i="10"/>
  <c r="D848" i="10"/>
  <c r="E848" i="10"/>
  <c r="F848" i="10"/>
  <c r="G848" i="10"/>
  <c r="H848" i="10" a="1"/>
  <c r="H848" i="10"/>
  <c r="I848" i="10"/>
  <c r="J848" i="10"/>
  <c r="K848" i="10"/>
  <c r="L848" i="10"/>
  <c r="M848" i="10"/>
  <c r="C849" i="10" a="1"/>
  <c r="C849" i="10"/>
  <c r="D849" i="10"/>
  <c r="E849" i="10"/>
  <c r="F849" i="10"/>
  <c r="G849" i="10"/>
  <c r="H849" i="10" a="1"/>
  <c r="H849" i="10"/>
  <c r="I849" i="10"/>
  <c r="J849" i="10"/>
  <c r="K849" i="10"/>
  <c r="L849" i="10"/>
  <c r="M849" i="10"/>
  <c r="C850" i="10" a="1"/>
  <c r="C850" i="10"/>
  <c r="D850" i="10"/>
  <c r="E850" i="10"/>
  <c r="F850" i="10"/>
  <c r="G850" i="10"/>
  <c r="H850" i="10" a="1"/>
  <c r="H850" i="10"/>
  <c r="I850" i="10"/>
  <c r="J850" i="10"/>
  <c r="K850" i="10"/>
  <c r="L850" i="10"/>
  <c r="M850" i="10"/>
  <c r="C851" i="10" a="1"/>
  <c r="C851" i="10"/>
  <c r="D851" i="10"/>
  <c r="E851" i="10"/>
  <c r="F851" i="10"/>
  <c r="G851" i="10"/>
  <c r="H851" i="10" a="1"/>
  <c r="H851" i="10"/>
  <c r="I851" i="10"/>
  <c r="J851" i="10"/>
  <c r="K851" i="10"/>
  <c r="L851" i="10"/>
  <c r="M851" i="10"/>
  <c r="C852" i="10" a="1"/>
  <c r="C852" i="10"/>
  <c r="D852" i="10"/>
  <c r="E852" i="10"/>
  <c r="F852" i="10"/>
  <c r="G852" i="10"/>
  <c r="H852" i="10" a="1"/>
  <c r="H852" i="10"/>
  <c r="I852" i="10"/>
  <c r="J852" i="10"/>
  <c r="K852" i="10"/>
  <c r="L852" i="10"/>
  <c r="M852" i="10"/>
  <c r="C853" i="10" a="1"/>
  <c r="C853" i="10"/>
  <c r="D853" i="10"/>
  <c r="E853" i="10"/>
  <c r="F853" i="10"/>
  <c r="G853" i="10"/>
  <c r="H853" i="10" a="1"/>
  <c r="H853" i="10"/>
  <c r="I853" i="10"/>
  <c r="J853" i="10"/>
  <c r="K853" i="10"/>
  <c r="L853" i="10"/>
  <c r="M853" i="10"/>
  <c r="C854" i="10" a="1"/>
  <c r="C854" i="10"/>
  <c r="D854" i="10"/>
  <c r="E854" i="10"/>
  <c r="F854" i="10"/>
  <c r="G854" i="10"/>
  <c r="H854" i="10" a="1"/>
  <c r="H854" i="10"/>
  <c r="I854" i="10"/>
  <c r="J854" i="10"/>
  <c r="K854" i="10"/>
  <c r="L854" i="10"/>
  <c r="M854" i="10"/>
  <c r="C855" i="10" a="1"/>
  <c r="C855" i="10"/>
  <c r="D855" i="10"/>
  <c r="E855" i="10"/>
  <c r="F855" i="10"/>
  <c r="G855" i="10"/>
  <c r="H855" i="10" a="1"/>
  <c r="H855" i="10"/>
  <c r="I855" i="10"/>
  <c r="J855" i="10"/>
  <c r="K855" i="10"/>
  <c r="L855" i="10"/>
  <c r="M855" i="10"/>
  <c r="C856" i="10" a="1"/>
  <c r="C856" i="10"/>
  <c r="D856" i="10"/>
  <c r="E856" i="10"/>
  <c r="F856" i="10"/>
  <c r="G856" i="10"/>
  <c r="H856" i="10" a="1"/>
  <c r="H856" i="10"/>
  <c r="I856" i="10"/>
  <c r="J856" i="10"/>
  <c r="K856" i="10"/>
  <c r="L856" i="10"/>
  <c r="M856" i="10"/>
  <c r="C857" i="10" a="1"/>
  <c r="C857" i="10"/>
  <c r="D857" i="10"/>
  <c r="E857" i="10"/>
  <c r="F857" i="10"/>
  <c r="G857" i="10"/>
  <c r="H857" i="10" a="1"/>
  <c r="H857" i="10"/>
  <c r="I857" i="10"/>
  <c r="J857" i="10"/>
  <c r="K857" i="10"/>
  <c r="L857" i="10"/>
  <c r="M857" i="10"/>
  <c r="C858" i="10" a="1"/>
  <c r="C858" i="10"/>
  <c r="D858" i="10"/>
  <c r="E858" i="10"/>
  <c r="F858" i="10"/>
  <c r="G858" i="10"/>
  <c r="H858" i="10" a="1"/>
  <c r="H858" i="10"/>
  <c r="I858" i="10"/>
  <c r="J858" i="10"/>
  <c r="K858" i="10"/>
  <c r="L858" i="10"/>
  <c r="M858" i="10"/>
  <c r="C859" i="10" a="1"/>
  <c r="C859" i="10"/>
  <c r="D859" i="10"/>
  <c r="E859" i="10"/>
  <c r="F859" i="10"/>
  <c r="G859" i="10"/>
  <c r="H859" i="10" a="1"/>
  <c r="H859" i="10"/>
  <c r="I859" i="10"/>
  <c r="J859" i="10"/>
  <c r="K859" i="10"/>
  <c r="L859" i="10"/>
  <c r="M859" i="10"/>
  <c r="C860" i="10" a="1"/>
  <c r="C860" i="10"/>
  <c r="D860" i="10"/>
  <c r="E860" i="10"/>
  <c r="F860" i="10"/>
  <c r="G860" i="10"/>
  <c r="H860" i="10" a="1"/>
  <c r="H860" i="10"/>
  <c r="I860" i="10"/>
  <c r="J860" i="10"/>
  <c r="K860" i="10"/>
  <c r="L860" i="10"/>
  <c r="M860" i="10"/>
  <c r="C861" i="10" a="1"/>
  <c r="C861" i="10"/>
  <c r="D861" i="10"/>
  <c r="E861" i="10"/>
  <c r="F861" i="10"/>
  <c r="G861" i="10"/>
  <c r="H861" i="10" a="1"/>
  <c r="H861" i="10"/>
  <c r="I861" i="10"/>
  <c r="J861" i="10"/>
  <c r="K861" i="10"/>
  <c r="L861" i="10"/>
  <c r="M861" i="10"/>
  <c r="C862" i="10" a="1"/>
  <c r="C862" i="10"/>
  <c r="D862" i="10"/>
  <c r="E862" i="10"/>
  <c r="F862" i="10"/>
  <c r="G862" i="10"/>
  <c r="H862" i="10" a="1"/>
  <c r="H862" i="10"/>
  <c r="I862" i="10"/>
  <c r="J862" i="10"/>
  <c r="K862" i="10"/>
  <c r="L862" i="10"/>
  <c r="M862" i="10"/>
  <c r="C863" i="10" a="1"/>
  <c r="C863" i="10"/>
  <c r="D863" i="10"/>
  <c r="E863" i="10"/>
  <c r="F863" i="10"/>
  <c r="G863" i="10"/>
  <c r="H863" i="10" a="1"/>
  <c r="H863" i="10"/>
  <c r="I863" i="10"/>
  <c r="J863" i="10"/>
  <c r="K863" i="10"/>
  <c r="L863" i="10"/>
  <c r="M863" i="10"/>
  <c r="C864" i="10" a="1"/>
  <c r="C864" i="10"/>
  <c r="D864" i="10"/>
  <c r="E864" i="10"/>
  <c r="F864" i="10"/>
  <c r="G864" i="10"/>
  <c r="H864" i="10" a="1"/>
  <c r="H864" i="10"/>
  <c r="I864" i="10"/>
  <c r="J864" i="10"/>
  <c r="K864" i="10"/>
  <c r="L864" i="10"/>
  <c r="M864" i="10"/>
  <c r="C865" i="10" a="1"/>
  <c r="C865" i="10"/>
  <c r="D865" i="10"/>
  <c r="E865" i="10"/>
  <c r="F865" i="10"/>
  <c r="G865" i="10"/>
  <c r="H865" i="10" a="1"/>
  <c r="H865" i="10"/>
  <c r="I865" i="10"/>
  <c r="J865" i="10"/>
  <c r="K865" i="10"/>
  <c r="L865" i="10"/>
  <c r="M865" i="10"/>
  <c r="C866" i="10" a="1"/>
  <c r="C866" i="10"/>
  <c r="D866" i="10"/>
  <c r="E866" i="10"/>
  <c r="F866" i="10"/>
  <c r="G866" i="10"/>
  <c r="H866" i="10" a="1"/>
  <c r="H866" i="10"/>
  <c r="I866" i="10"/>
  <c r="J866" i="10"/>
  <c r="K866" i="10"/>
  <c r="L866" i="10"/>
  <c r="M866" i="10"/>
  <c r="C867" i="10" a="1"/>
  <c r="C867" i="10"/>
  <c r="D867" i="10"/>
  <c r="E867" i="10"/>
  <c r="F867" i="10"/>
  <c r="G867" i="10"/>
  <c r="H867" i="10" a="1"/>
  <c r="H867" i="10"/>
  <c r="I867" i="10"/>
  <c r="J867" i="10"/>
  <c r="K867" i="10"/>
  <c r="L867" i="10"/>
  <c r="M867" i="10"/>
  <c r="C868" i="10" a="1"/>
  <c r="C868" i="10"/>
  <c r="D868" i="10"/>
  <c r="E868" i="10"/>
  <c r="F868" i="10"/>
  <c r="G868" i="10"/>
  <c r="H868" i="10" a="1"/>
  <c r="H868" i="10"/>
  <c r="I868" i="10"/>
  <c r="J868" i="10"/>
  <c r="K868" i="10"/>
  <c r="L868" i="10"/>
  <c r="M868" i="10"/>
  <c r="C869" i="10" a="1"/>
  <c r="C869" i="10"/>
  <c r="D869" i="10"/>
  <c r="E869" i="10"/>
  <c r="F869" i="10"/>
  <c r="G869" i="10"/>
  <c r="H869" i="10" a="1"/>
  <c r="H869" i="10"/>
  <c r="I869" i="10"/>
  <c r="J869" i="10"/>
  <c r="K869" i="10"/>
  <c r="L869" i="10"/>
  <c r="M869" i="10"/>
  <c r="C870" i="10" a="1"/>
  <c r="C870" i="10"/>
  <c r="D870" i="10"/>
  <c r="E870" i="10"/>
  <c r="F870" i="10"/>
  <c r="G870" i="10"/>
  <c r="H870" i="10" a="1"/>
  <c r="H870" i="10"/>
  <c r="I870" i="10"/>
  <c r="J870" i="10"/>
  <c r="K870" i="10"/>
  <c r="L870" i="10"/>
  <c r="M870" i="10"/>
  <c r="C871" i="10" a="1"/>
  <c r="C871" i="10"/>
  <c r="D871" i="10"/>
  <c r="E871" i="10"/>
  <c r="F871" i="10"/>
  <c r="G871" i="10"/>
  <c r="H871" i="10" a="1"/>
  <c r="H871" i="10"/>
  <c r="I871" i="10"/>
  <c r="J871" i="10"/>
  <c r="K871" i="10"/>
  <c r="L871" i="10"/>
  <c r="M871" i="10"/>
  <c r="C872" i="10" a="1"/>
  <c r="C872" i="10"/>
  <c r="D872" i="10"/>
  <c r="E872" i="10"/>
  <c r="F872" i="10"/>
  <c r="G872" i="10"/>
  <c r="H872" i="10" a="1"/>
  <c r="H872" i="10"/>
  <c r="I872" i="10"/>
  <c r="J872" i="10"/>
  <c r="K872" i="10"/>
  <c r="L872" i="10"/>
  <c r="M872" i="10"/>
  <c r="C873" i="10" a="1"/>
  <c r="C873" i="10"/>
  <c r="D873" i="10"/>
  <c r="E873" i="10"/>
  <c r="F873" i="10"/>
  <c r="G873" i="10"/>
  <c r="H873" i="10" a="1"/>
  <c r="H873" i="10"/>
  <c r="I873" i="10"/>
  <c r="J873" i="10"/>
  <c r="K873" i="10"/>
  <c r="L873" i="10"/>
  <c r="M873" i="10"/>
  <c r="C874" i="10" a="1"/>
  <c r="C874" i="10"/>
  <c r="D874" i="10"/>
  <c r="E874" i="10"/>
  <c r="F874" i="10"/>
  <c r="G874" i="10"/>
  <c r="H874" i="10" a="1"/>
  <c r="H874" i="10"/>
  <c r="I874" i="10"/>
  <c r="J874" i="10"/>
  <c r="K874" i="10"/>
  <c r="L874" i="10"/>
  <c r="M874" i="10"/>
  <c r="C875" i="10" a="1"/>
  <c r="C875" i="10"/>
  <c r="D875" i="10"/>
  <c r="E875" i="10"/>
  <c r="F875" i="10"/>
  <c r="G875" i="10"/>
  <c r="H875" i="10" a="1"/>
  <c r="H875" i="10"/>
  <c r="I875" i="10"/>
  <c r="J875" i="10"/>
  <c r="K875" i="10"/>
  <c r="L875" i="10"/>
  <c r="M875" i="10"/>
  <c r="C876" i="10" a="1"/>
  <c r="C876" i="10"/>
  <c r="D876" i="10"/>
  <c r="E876" i="10"/>
  <c r="F876" i="10"/>
  <c r="G876" i="10"/>
  <c r="H876" i="10" a="1"/>
  <c r="H876" i="10"/>
  <c r="I876" i="10"/>
  <c r="J876" i="10"/>
  <c r="K876" i="10"/>
  <c r="L876" i="10"/>
  <c r="M876" i="10"/>
  <c r="C877" i="10" a="1"/>
  <c r="C877" i="10"/>
  <c r="D877" i="10"/>
  <c r="E877" i="10"/>
  <c r="F877" i="10"/>
  <c r="G877" i="10"/>
  <c r="H877" i="10" a="1"/>
  <c r="H877" i="10"/>
  <c r="I877" i="10"/>
  <c r="J877" i="10"/>
  <c r="K877" i="10"/>
  <c r="L877" i="10"/>
  <c r="M877" i="10"/>
  <c r="C878" i="10" a="1"/>
  <c r="C878" i="10"/>
  <c r="D878" i="10"/>
  <c r="E878" i="10"/>
  <c r="F878" i="10"/>
  <c r="G878" i="10"/>
  <c r="H878" i="10" a="1"/>
  <c r="H878" i="10"/>
  <c r="I878" i="10"/>
  <c r="J878" i="10"/>
  <c r="K878" i="10"/>
  <c r="L878" i="10"/>
  <c r="M878" i="10"/>
  <c r="C879" i="10" a="1"/>
  <c r="C879" i="10"/>
  <c r="D879" i="10"/>
  <c r="E879" i="10"/>
  <c r="F879" i="10"/>
  <c r="G879" i="10"/>
  <c r="H879" i="10" a="1"/>
  <c r="H879" i="10"/>
  <c r="I879" i="10"/>
  <c r="J879" i="10"/>
  <c r="K879" i="10"/>
  <c r="L879" i="10"/>
  <c r="M879" i="10"/>
  <c r="C880" i="10" a="1"/>
  <c r="C880" i="10"/>
  <c r="D880" i="10"/>
  <c r="E880" i="10"/>
  <c r="F880" i="10"/>
  <c r="G880" i="10"/>
  <c r="H880" i="10" a="1"/>
  <c r="H880" i="10"/>
  <c r="I880" i="10"/>
  <c r="J880" i="10"/>
  <c r="K880" i="10"/>
  <c r="L880" i="10"/>
  <c r="M880" i="10"/>
  <c r="C881" i="10" a="1"/>
  <c r="C881" i="10"/>
  <c r="D881" i="10"/>
  <c r="E881" i="10"/>
  <c r="F881" i="10"/>
  <c r="G881" i="10"/>
  <c r="H881" i="10" a="1"/>
  <c r="H881" i="10"/>
  <c r="I881" i="10"/>
  <c r="J881" i="10"/>
  <c r="K881" i="10"/>
  <c r="L881" i="10"/>
  <c r="M881" i="10"/>
  <c r="C882" i="10" a="1"/>
  <c r="C882" i="10"/>
  <c r="D882" i="10"/>
  <c r="E882" i="10"/>
  <c r="F882" i="10"/>
  <c r="G882" i="10"/>
  <c r="H882" i="10" a="1"/>
  <c r="H882" i="10"/>
  <c r="I882" i="10"/>
  <c r="J882" i="10"/>
  <c r="K882" i="10"/>
  <c r="L882" i="10"/>
  <c r="M882" i="10"/>
  <c r="C883" i="10" a="1"/>
  <c r="C883" i="10"/>
  <c r="D883" i="10"/>
  <c r="E883" i="10"/>
  <c r="F883" i="10"/>
  <c r="G883" i="10"/>
  <c r="H883" i="10" a="1"/>
  <c r="H883" i="10"/>
  <c r="I883" i="10"/>
  <c r="J883" i="10"/>
  <c r="K883" i="10"/>
  <c r="L883" i="10"/>
  <c r="M883" i="10"/>
  <c r="C884" i="10" a="1"/>
  <c r="C884" i="10"/>
  <c r="D884" i="10"/>
  <c r="E884" i="10"/>
  <c r="F884" i="10"/>
  <c r="G884" i="10"/>
  <c r="H884" i="10" a="1"/>
  <c r="H884" i="10"/>
  <c r="I884" i="10"/>
  <c r="J884" i="10"/>
  <c r="K884" i="10"/>
  <c r="L884" i="10"/>
  <c r="M884" i="10"/>
  <c r="C885" i="10" a="1"/>
  <c r="C885" i="10"/>
  <c r="D885" i="10"/>
  <c r="E885" i="10"/>
  <c r="F885" i="10"/>
  <c r="G885" i="10"/>
  <c r="H885" i="10" a="1"/>
  <c r="H885" i="10"/>
  <c r="I885" i="10"/>
  <c r="J885" i="10"/>
  <c r="K885" i="10"/>
  <c r="L885" i="10"/>
  <c r="M885" i="10"/>
  <c r="C886" i="10" a="1"/>
  <c r="C886" i="10"/>
  <c r="D886" i="10"/>
  <c r="E886" i="10"/>
  <c r="F886" i="10"/>
  <c r="G886" i="10"/>
  <c r="H886" i="10" a="1"/>
  <c r="H886" i="10"/>
  <c r="I886" i="10"/>
  <c r="J886" i="10"/>
  <c r="K886" i="10"/>
  <c r="L886" i="10"/>
  <c r="M886" i="10"/>
  <c r="C887" i="10" a="1"/>
  <c r="C887" i="10"/>
  <c r="D887" i="10"/>
  <c r="E887" i="10"/>
  <c r="F887" i="10"/>
  <c r="G887" i="10"/>
  <c r="H887" i="10" a="1"/>
  <c r="H887" i="10"/>
  <c r="I887" i="10"/>
  <c r="J887" i="10"/>
  <c r="K887" i="10"/>
  <c r="L887" i="10"/>
  <c r="M887" i="10"/>
  <c r="C888" i="10" a="1"/>
  <c r="C888" i="10"/>
  <c r="D888" i="10"/>
  <c r="E888" i="10"/>
  <c r="F888" i="10"/>
  <c r="G888" i="10"/>
  <c r="H888" i="10" a="1"/>
  <c r="H888" i="10"/>
  <c r="I888" i="10"/>
  <c r="J888" i="10"/>
  <c r="K888" i="10"/>
  <c r="L888" i="10"/>
  <c r="M888" i="10"/>
  <c r="C889" i="10" a="1"/>
  <c r="C889" i="10"/>
  <c r="D889" i="10"/>
  <c r="E889" i="10"/>
  <c r="F889" i="10"/>
  <c r="G889" i="10"/>
  <c r="H889" i="10" a="1"/>
  <c r="H889" i="10"/>
  <c r="I889" i="10"/>
  <c r="J889" i="10"/>
  <c r="K889" i="10"/>
  <c r="L889" i="10"/>
  <c r="M889" i="10"/>
  <c r="C890" i="10" a="1"/>
  <c r="C890" i="10"/>
  <c r="D890" i="10"/>
  <c r="E890" i="10"/>
  <c r="F890" i="10"/>
  <c r="G890" i="10"/>
  <c r="H890" i="10" a="1"/>
  <c r="H890" i="10"/>
  <c r="I890" i="10"/>
  <c r="J890" i="10"/>
  <c r="K890" i="10"/>
  <c r="L890" i="10"/>
  <c r="M890" i="10"/>
  <c r="C891" i="10" a="1"/>
  <c r="C891" i="10"/>
  <c r="D891" i="10"/>
  <c r="E891" i="10"/>
  <c r="F891" i="10"/>
  <c r="G891" i="10"/>
  <c r="H891" i="10" a="1"/>
  <c r="H891" i="10"/>
  <c r="I891" i="10"/>
  <c r="J891" i="10"/>
  <c r="K891" i="10"/>
  <c r="L891" i="10"/>
  <c r="M891" i="10"/>
  <c r="C892" i="10" a="1"/>
  <c r="C892" i="10"/>
  <c r="D892" i="10"/>
  <c r="E892" i="10"/>
  <c r="F892" i="10"/>
  <c r="G892" i="10"/>
  <c r="H892" i="10" a="1"/>
  <c r="H892" i="10"/>
  <c r="I892" i="10"/>
  <c r="J892" i="10"/>
  <c r="K892" i="10"/>
  <c r="L892" i="10"/>
  <c r="M892" i="10"/>
  <c r="C893" i="10" a="1"/>
  <c r="C893" i="10"/>
  <c r="D893" i="10"/>
  <c r="E893" i="10"/>
  <c r="F893" i="10"/>
  <c r="G893" i="10"/>
  <c r="H893" i="10" a="1"/>
  <c r="H893" i="10"/>
  <c r="I893" i="10"/>
  <c r="J893" i="10"/>
  <c r="K893" i="10"/>
  <c r="L893" i="10"/>
  <c r="M893" i="10"/>
  <c r="C894" i="10" a="1"/>
  <c r="C894" i="10"/>
  <c r="D894" i="10"/>
  <c r="E894" i="10"/>
  <c r="F894" i="10"/>
  <c r="G894" i="10"/>
  <c r="H894" i="10" a="1"/>
  <c r="H894" i="10"/>
  <c r="I894" i="10"/>
  <c r="J894" i="10"/>
  <c r="K894" i="10"/>
  <c r="L894" i="10"/>
  <c r="M894" i="10"/>
  <c r="C895" i="10" a="1"/>
  <c r="C895" i="10"/>
  <c r="D895" i="10"/>
  <c r="E895" i="10"/>
  <c r="F895" i="10"/>
  <c r="G895" i="10"/>
  <c r="H895" i="10" a="1"/>
  <c r="H895" i="10"/>
  <c r="I895" i="10"/>
  <c r="J895" i="10"/>
  <c r="K895" i="10"/>
  <c r="L895" i="10"/>
  <c r="M895" i="10"/>
  <c r="C896" i="10" a="1"/>
  <c r="C896" i="10"/>
  <c r="D896" i="10"/>
  <c r="E896" i="10"/>
  <c r="F896" i="10"/>
  <c r="G896" i="10"/>
  <c r="H896" i="10" a="1"/>
  <c r="H896" i="10"/>
  <c r="I896" i="10"/>
  <c r="J896" i="10"/>
  <c r="K896" i="10"/>
  <c r="L896" i="10"/>
  <c r="M896" i="10"/>
  <c r="C897" i="10" a="1"/>
  <c r="C897" i="10"/>
  <c r="D897" i="10"/>
  <c r="E897" i="10"/>
  <c r="F897" i="10"/>
  <c r="G897" i="10"/>
  <c r="H897" i="10" a="1"/>
  <c r="H897" i="10"/>
  <c r="I897" i="10"/>
  <c r="J897" i="10"/>
  <c r="K897" i="10"/>
  <c r="L897" i="10"/>
  <c r="M897" i="10"/>
  <c r="C898" i="10" a="1"/>
  <c r="C898" i="10"/>
  <c r="D898" i="10"/>
  <c r="E898" i="10"/>
  <c r="F898" i="10"/>
  <c r="G898" i="10"/>
  <c r="H898" i="10" a="1"/>
  <c r="H898" i="10"/>
  <c r="I898" i="10"/>
  <c r="J898" i="10"/>
  <c r="K898" i="10"/>
  <c r="L898" i="10"/>
  <c r="M898" i="10"/>
  <c r="C899" i="10" a="1"/>
  <c r="C899" i="10"/>
  <c r="D899" i="10"/>
  <c r="E899" i="10"/>
  <c r="F899" i="10"/>
  <c r="G899" i="10"/>
  <c r="H899" i="10" a="1"/>
  <c r="H899" i="10"/>
  <c r="I899" i="10"/>
  <c r="J899" i="10"/>
  <c r="K899" i="10"/>
  <c r="L899" i="10"/>
  <c r="M899" i="10"/>
  <c r="C900" i="10" a="1"/>
  <c r="C900" i="10"/>
  <c r="D900" i="10"/>
  <c r="E900" i="10"/>
  <c r="F900" i="10"/>
  <c r="G900" i="10"/>
  <c r="H900" i="10" a="1"/>
  <c r="H900" i="10"/>
  <c r="I900" i="10"/>
  <c r="J900" i="10"/>
  <c r="K900" i="10"/>
  <c r="L900" i="10"/>
  <c r="M900" i="10"/>
  <c r="C901" i="10" a="1"/>
  <c r="C901" i="10"/>
  <c r="D901" i="10"/>
  <c r="E901" i="10"/>
  <c r="F901" i="10"/>
  <c r="G901" i="10"/>
  <c r="H901" i="10" a="1"/>
  <c r="H901" i="10"/>
  <c r="I901" i="10"/>
  <c r="J901" i="10"/>
  <c r="K901" i="10"/>
  <c r="L901" i="10"/>
  <c r="M901" i="10"/>
  <c r="C902" i="10" a="1"/>
  <c r="C902" i="10"/>
  <c r="D902" i="10"/>
  <c r="E902" i="10"/>
  <c r="F902" i="10"/>
  <c r="G902" i="10"/>
  <c r="H902" i="10" a="1"/>
  <c r="H902" i="10"/>
  <c r="I902" i="10"/>
  <c r="J902" i="10"/>
  <c r="K902" i="10"/>
  <c r="L902" i="10"/>
  <c r="M902" i="10"/>
  <c r="C903" i="10" a="1"/>
  <c r="C903" i="10"/>
  <c r="D903" i="10"/>
  <c r="E903" i="10"/>
  <c r="F903" i="10"/>
  <c r="G903" i="10"/>
  <c r="H903" i="10" a="1"/>
  <c r="H903" i="10"/>
  <c r="I903" i="10"/>
  <c r="J903" i="10"/>
  <c r="K903" i="10"/>
  <c r="L903" i="10"/>
  <c r="M903" i="10"/>
  <c r="C904" i="10" a="1"/>
  <c r="C904" i="10"/>
  <c r="D904" i="10"/>
  <c r="E904" i="10"/>
  <c r="F904" i="10"/>
  <c r="G904" i="10"/>
  <c r="H904" i="10" a="1"/>
  <c r="H904" i="10"/>
  <c r="I904" i="10"/>
  <c r="J904" i="10"/>
  <c r="K904" i="10"/>
  <c r="L904" i="10"/>
  <c r="M904" i="10"/>
  <c r="C905" i="10" a="1"/>
  <c r="C905" i="10"/>
  <c r="D905" i="10"/>
  <c r="E905" i="10"/>
  <c r="F905" i="10"/>
  <c r="G905" i="10"/>
  <c r="H905" i="10" a="1"/>
  <c r="H905" i="10"/>
  <c r="I905" i="10"/>
  <c r="J905" i="10"/>
  <c r="K905" i="10"/>
  <c r="L905" i="10"/>
  <c r="M905" i="10"/>
  <c r="C906" i="10" a="1"/>
  <c r="C906" i="10"/>
  <c r="D906" i="10"/>
  <c r="E906" i="10"/>
  <c r="F906" i="10"/>
  <c r="G906" i="10"/>
  <c r="H906" i="10" a="1"/>
  <c r="H906" i="10"/>
  <c r="I906" i="10"/>
  <c r="J906" i="10"/>
  <c r="K906" i="10"/>
  <c r="L906" i="10"/>
  <c r="M906" i="10"/>
  <c r="C907" i="10" a="1"/>
  <c r="C907" i="10"/>
  <c r="D907" i="10"/>
  <c r="E907" i="10"/>
  <c r="F907" i="10"/>
  <c r="G907" i="10"/>
  <c r="H907" i="10" a="1"/>
  <c r="H907" i="10"/>
  <c r="I907" i="10"/>
  <c r="J907" i="10"/>
  <c r="K907" i="10"/>
  <c r="L907" i="10"/>
  <c r="M907" i="10"/>
  <c r="C908" i="10" a="1"/>
  <c r="C908" i="10"/>
  <c r="D908" i="10"/>
  <c r="E908" i="10"/>
  <c r="F908" i="10"/>
  <c r="G908" i="10"/>
  <c r="H908" i="10" a="1"/>
  <c r="H908" i="10"/>
  <c r="I908" i="10"/>
  <c r="J908" i="10"/>
  <c r="K908" i="10"/>
  <c r="L908" i="10"/>
  <c r="M908" i="10"/>
  <c r="C909" i="10" a="1"/>
  <c r="C909" i="10"/>
  <c r="D909" i="10"/>
  <c r="E909" i="10"/>
  <c r="F909" i="10"/>
  <c r="G909" i="10"/>
  <c r="H909" i="10" a="1"/>
  <c r="H909" i="10"/>
  <c r="I909" i="10"/>
  <c r="J909" i="10"/>
  <c r="K909" i="10"/>
  <c r="L909" i="10"/>
  <c r="M909" i="10"/>
  <c r="C910" i="10" a="1"/>
  <c r="C910" i="10"/>
  <c r="D910" i="10"/>
  <c r="E910" i="10"/>
  <c r="F910" i="10"/>
  <c r="G910" i="10"/>
  <c r="H910" i="10" a="1"/>
  <c r="H910" i="10"/>
  <c r="I910" i="10"/>
  <c r="J910" i="10"/>
  <c r="K910" i="10"/>
  <c r="L910" i="10"/>
  <c r="M910" i="10"/>
  <c r="C911" i="10" a="1"/>
  <c r="C911" i="10"/>
  <c r="D911" i="10"/>
  <c r="E911" i="10"/>
  <c r="F911" i="10"/>
  <c r="G911" i="10"/>
  <c r="H911" i="10" a="1"/>
  <c r="H911" i="10"/>
  <c r="I911" i="10"/>
  <c r="J911" i="10"/>
  <c r="K911" i="10"/>
  <c r="L911" i="10"/>
  <c r="M911" i="10"/>
  <c r="C912" i="10" a="1"/>
  <c r="C912" i="10"/>
  <c r="D912" i="10"/>
  <c r="E912" i="10"/>
  <c r="F912" i="10"/>
  <c r="G912" i="10"/>
  <c r="H912" i="10" a="1"/>
  <c r="H912" i="10"/>
  <c r="I912" i="10"/>
  <c r="J912" i="10"/>
  <c r="K912" i="10"/>
  <c r="L912" i="10"/>
  <c r="M912" i="10"/>
  <c r="C913" i="10" a="1"/>
  <c r="C913" i="10"/>
  <c r="D913" i="10"/>
  <c r="E913" i="10"/>
  <c r="F913" i="10"/>
  <c r="G913" i="10"/>
  <c r="H913" i="10" a="1"/>
  <c r="H913" i="10"/>
  <c r="I913" i="10"/>
  <c r="J913" i="10"/>
  <c r="K913" i="10"/>
  <c r="L913" i="10"/>
  <c r="M913" i="10"/>
  <c r="C914" i="10" a="1"/>
  <c r="C914" i="10"/>
  <c r="D914" i="10"/>
  <c r="E914" i="10"/>
  <c r="F914" i="10"/>
  <c r="G914" i="10"/>
  <c r="H914" i="10" a="1"/>
  <c r="H914" i="10"/>
  <c r="I914" i="10"/>
  <c r="J914" i="10"/>
  <c r="K914" i="10"/>
  <c r="L914" i="10"/>
  <c r="M914" i="10"/>
  <c r="C915" i="10" a="1"/>
  <c r="C915" i="10"/>
  <c r="D915" i="10"/>
  <c r="E915" i="10"/>
  <c r="F915" i="10"/>
  <c r="G915" i="10"/>
  <c r="H915" i="10" a="1"/>
  <c r="H915" i="10"/>
  <c r="I915" i="10"/>
  <c r="J915" i="10"/>
  <c r="K915" i="10"/>
  <c r="L915" i="10"/>
  <c r="M915" i="10"/>
  <c r="C916" i="10" a="1"/>
  <c r="C916" i="10"/>
  <c r="D916" i="10"/>
  <c r="E916" i="10"/>
  <c r="F916" i="10"/>
  <c r="G916" i="10"/>
  <c r="H916" i="10" a="1"/>
  <c r="H916" i="10"/>
  <c r="I916" i="10"/>
  <c r="J916" i="10"/>
  <c r="K916" i="10"/>
  <c r="L916" i="10"/>
  <c r="M916" i="10"/>
  <c r="C917" i="10" a="1"/>
  <c r="C917" i="10"/>
  <c r="D917" i="10"/>
  <c r="E917" i="10"/>
  <c r="F917" i="10"/>
  <c r="G917" i="10"/>
  <c r="H917" i="10" a="1"/>
  <c r="H917" i="10"/>
  <c r="I917" i="10"/>
  <c r="J917" i="10"/>
  <c r="K917" i="10"/>
  <c r="L917" i="10"/>
  <c r="M917" i="10"/>
  <c r="C918" i="10" a="1"/>
  <c r="C918" i="10"/>
  <c r="D918" i="10"/>
  <c r="E918" i="10"/>
  <c r="F918" i="10"/>
  <c r="G918" i="10"/>
  <c r="H918" i="10" a="1"/>
  <c r="H918" i="10"/>
  <c r="I918" i="10"/>
  <c r="J918" i="10"/>
  <c r="K918" i="10"/>
  <c r="L918" i="10"/>
  <c r="M918" i="10"/>
  <c r="C919" i="10" a="1"/>
  <c r="C919" i="10"/>
  <c r="D919" i="10"/>
  <c r="E919" i="10"/>
  <c r="F919" i="10"/>
  <c r="G919" i="10"/>
  <c r="H919" i="10" a="1"/>
  <c r="H919" i="10"/>
  <c r="I919" i="10"/>
  <c r="J919" i="10"/>
  <c r="K919" i="10"/>
  <c r="L919" i="10"/>
  <c r="M919" i="10"/>
  <c r="C920" i="10" a="1"/>
  <c r="C920" i="10"/>
  <c r="D920" i="10"/>
  <c r="E920" i="10"/>
  <c r="F920" i="10"/>
  <c r="G920" i="10"/>
  <c r="H920" i="10" a="1"/>
  <c r="H920" i="10"/>
  <c r="I920" i="10"/>
  <c r="J920" i="10"/>
  <c r="K920" i="10"/>
  <c r="L920" i="10"/>
  <c r="M920" i="10"/>
  <c r="C921" i="10" a="1"/>
  <c r="C921" i="10"/>
  <c r="D921" i="10"/>
  <c r="E921" i="10"/>
  <c r="F921" i="10"/>
  <c r="G921" i="10"/>
  <c r="H921" i="10" a="1"/>
  <c r="H921" i="10"/>
  <c r="I921" i="10"/>
  <c r="J921" i="10"/>
  <c r="K921" i="10"/>
  <c r="L921" i="10"/>
  <c r="M921" i="10"/>
  <c r="C922" i="10" a="1"/>
  <c r="C922" i="10"/>
  <c r="D922" i="10"/>
  <c r="E922" i="10"/>
  <c r="F922" i="10"/>
  <c r="G922" i="10"/>
  <c r="H922" i="10" a="1"/>
  <c r="H922" i="10"/>
  <c r="I922" i="10"/>
  <c r="J922" i="10"/>
  <c r="K922" i="10"/>
  <c r="L922" i="10"/>
  <c r="M922" i="10"/>
  <c r="C923" i="10" a="1"/>
  <c r="C923" i="10"/>
  <c r="D923" i="10"/>
  <c r="E923" i="10"/>
  <c r="F923" i="10"/>
  <c r="G923" i="10"/>
  <c r="H923" i="10" a="1"/>
  <c r="H923" i="10"/>
  <c r="I923" i="10"/>
  <c r="J923" i="10"/>
  <c r="K923" i="10"/>
  <c r="L923" i="10"/>
  <c r="M923" i="10"/>
  <c r="C924" i="10" a="1"/>
  <c r="C924" i="10"/>
  <c r="D924" i="10"/>
  <c r="E924" i="10"/>
  <c r="F924" i="10"/>
  <c r="G924" i="10"/>
  <c r="H924" i="10" a="1"/>
  <c r="H924" i="10"/>
  <c r="I924" i="10"/>
  <c r="J924" i="10"/>
  <c r="K924" i="10"/>
  <c r="L924" i="10"/>
  <c r="M924" i="10"/>
  <c r="C925" i="10" a="1"/>
  <c r="C925" i="10"/>
  <c r="D925" i="10"/>
  <c r="E925" i="10"/>
  <c r="F925" i="10"/>
  <c r="G925" i="10"/>
  <c r="H925" i="10" a="1"/>
  <c r="H925" i="10"/>
  <c r="I925" i="10"/>
  <c r="J925" i="10"/>
  <c r="K925" i="10"/>
  <c r="L925" i="10"/>
  <c r="M925" i="10"/>
  <c r="C926" i="10" a="1"/>
  <c r="C926" i="10"/>
  <c r="D926" i="10"/>
  <c r="E926" i="10"/>
  <c r="F926" i="10"/>
  <c r="G926" i="10"/>
  <c r="H926" i="10" a="1"/>
  <c r="H926" i="10"/>
  <c r="I926" i="10"/>
  <c r="J926" i="10"/>
  <c r="K926" i="10"/>
  <c r="L926" i="10"/>
  <c r="M926" i="10"/>
  <c r="C927" i="10" a="1"/>
  <c r="C927" i="10"/>
  <c r="D927" i="10"/>
  <c r="E927" i="10"/>
  <c r="F927" i="10"/>
  <c r="G927" i="10"/>
  <c r="H927" i="10" a="1"/>
  <c r="H927" i="10"/>
  <c r="I927" i="10"/>
  <c r="J927" i="10"/>
  <c r="K927" i="10"/>
  <c r="L927" i="10"/>
  <c r="M927" i="10"/>
  <c r="C928" i="10" a="1"/>
  <c r="C928" i="10"/>
  <c r="D928" i="10"/>
  <c r="E928" i="10"/>
  <c r="F928" i="10"/>
  <c r="G928" i="10"/>
  <c r="H928" i="10" a="1"/>
  <c r="H928" i="10"/>
  <c r="I928" i="10"/>
  <c r="J928" i="10"/>
  <c r="K928" i="10"/>
  <c r="L928" i="10"/>
  <c r="M928" i="10"/>
  <c r="C929" i="10" a="1"/>
  <c r="C929" i="10"/>
  <c r="D929" i="10"/>
  <c r="E929" i="10"/>
  <c r="F929" i="10"/>
  <c r="G929" i="10"/>
  <c r="H929" i="10" a="1"/>
  <c r="H929" i="10"/>
  <c r="I929" i="10"/>
  <c r="J929" i="10"/>
  <c r="K929" i="10"/>
  <c r="L929" i="10"/>
  <c r="M929" i="10"/>
  <c r="C930" i="10" a="1"/>
  <c r="C930" i="10"/>
  <c r="D930" i="10"/>
  <c r="E930" i="10"/>
  <c r="F930" i="10"/>
  <c r="G930" i="10"/>
  <c r="H930" i="10" a="1"/>
  <c r="H930" i="10"/>
  <c r="I930" i="10"/>
  <c r="J930" i="10"/>
  <c r="K930" i="10"/>
  <c r="L930" i="10"/>
  <c r="M930" i="10"/>
  <c r="C931" i="10" a="1"/>
  <c r="C931" i="10"/>
  <c r="D931" i="10"/>
  <c r="E931" i="10"/>
  <c r="F931" i="10"/>
  <c r="G931" i="10"/>
  <c r="H931" i="10" a="1"/>
  <c r="H931" i="10"/>
  <c r="I931" i="10"/>
  <c r="J931" i="10"/>
  <c r="K931" i="10"/>
  <c r="L931" i="10"/>
  <c r="M931" i="10"/>
  <c r="C932" i="10" a="1"/>
  <c r="C932" i="10"/>
  <c r="D932" i="10"/>
  <c r="E932" i="10"/>
  <c r="F932" i="10"/>
  <c r="G932" i="10"/>
  <c r="H932" i="10" a="1"/>
  <c r="H932" i="10"/>
  <c r="I932" i="10"/>
  <c r="J932" i="10"/>
  <c r="K932" i="10"/>
  <c r="L932" i="10"/>
  <c r="M932" i="10"/>
  <c r="C933" i="10" a="1"/>
  <c r="C933" i="10"/>
  <c r="D933" i="10"/>
  <c r="E933" i="10"/>
  <c r="F933" i="10"/>
  <c r="G933" i="10"/>
  <c r="H933" i="10" a="1"/>
  <c r="H933" i="10"/>
  <c r="I933" i="10"/>
  <c r="J933" i="10"/>
  <c r="K933" i="10"/>
  <c r="L933" i="10"/>
  <c r="M933" i="10"/>
  <c r="C934" i="10" a="1"/>
  <c r="C934" i="10"/>
  <c r="D934" i="10"/>
  <c r="E934" i="10"/>
  <c r="F934" i="10"/>
  <c r="G934" i="10"/>
  <c r="H934" i="10" a="1"/>
  <c r="H934" i="10"/>
  <c r="I934" i="10"/>
  <c r="J934" i="10"/>
  <c r="K934" i="10"/>
  <c r="L934" i="10"/>
  <c r="M934" i="10"/>
  <c r="C935" i="10" a="1"/>
  <c r="C935" i="10"/>
  <c r="D935" i="10"/>
  <c r="E935" i="10"/>
  <c r="F935" i="10"/>
  <c r="G935" i="10"/>
  <c r="H935" i="10" a="1"/>
  <c r="H935" i="10"/>
  <c r="I935" i="10"/>
  <c r="J935" i="10"/>
  <c r="K935" i="10"/>
  <c r="L935" i="10"/>
  <c r="M935" i="10"/>
  <c r="C936" i="10" a="1"/>
  <c r="C936" i="10"/>
  <c r="D936" i="10"/>
  <c r="E936" i="10"/>
  <c r="F936" i="10"/>
  <c r="G936" i="10"/>
  <c r="H936" i="10" a="1"/>
  <c r="H936" i="10"/>
  <c r="I936" i="10"/>
  <c r="J936" i="10"/>
  <c r="K936" i="10"/>
  <c r="L936" i="10"/>
  <c r="M936" i="10"/>
  <c r="C937" i="10" a="1"/>
  <c r="C937" i="10"/>
  <c r="D937" i="10"/>
  <c r="E937" i="10"/>
  <c r="F937" i="10"/>
  <c r="G937" i="10"/>
  <c r="H937" i="10" a="1"/>
  <c r="H937" i="10"/>
  <c r="I937" i="10"/>
  <c r="J937" i="10"/>
  <c r="K937" i="10"/>
  <c r="L937" i="10"/>
  <c r="M937" i="10"/>
  <c r="C938" i="10" a="1"/>
  <c r="C938" i="10"/>
  <c r="D938" i="10"/>
  <c r="E938" i="10"/>
  <c r="F938" i="10"/>
  <c r="G938" i="10"/>
  <c r="H938" i="10" a="1"/>
  <c r="H938" i="10"/>
  <c r="I938" i="10"/>
  <c r="J938" i="10"/>
  <c r="K938" i="10"/>
  <c r="L938" i="10"/>
  <c r="M938" i="10"/>
  <c r="C939" i="10" a="1"/>
  <c r="C939" i="10"/>
  <c r="D939" i="10"/>
  <c r="E939" i="10"/>
  <c r="F939" i="10"/>
  <c r="G939" i="10"/>
  <c r="H939" i="10" a="1"/>
  <c r="H939" i="10"/>
  <c r="I939" i="10"/>
  <c r="J939" i="10"/>
  <c r="K939" i="10"/>
  <c r="L939" i="10"/>
  <c r="M939" i="10"/>
  <c r="C940" i="10" a="1"/>
  <c r="C940" i="10"/>
  <c r="D940" i="10"/>
  <c r="E940" i="10"/>
  <c r="F940" i="10"/>
  <c r="G940" i="10"/>
  <c r="H940" i="10" a="1"/>
  <c r="H940" i="10"/>
  <c r="I940" i="10"/>
  <c r="J940" i="10"/>
  <c r="K940" i="10"/>
  <c r="L940" i="10"/>
  <c r="M940" i="10"/>
  <c r="C941" i="10" a="1"/>
  <c r="C941" i="10"/>
  <c r="D941" i="10"/>
  <c r="E941" i="10"/>
  <c r="F941" i="10"/>
  <c r="G941" i="10"/>
  <c r="H941" i="10" a="1"/>
  <c r="H941" i="10"/>
  <c r="I941" i="10"/>
  <c r="J941" i="10"/>
  <c r="K941" i="10"/>
  <c r="L941" i="10"/>
  <c r="M941" i="10"/>
  <c r="C942" i="10" a="1"/>
  <c r="C942" i="10"/>
  <c r="D942" i="10"/>
  <c r="E942" i="10"/>
  <c r="F942" i="10"/>
  <c r="G942" i="10"/>
  <c r="H942" i="10" a="1"/>
  <c r="H942" i="10"/>
  <c r="I942" i="10"/>
  <c r="J942" i="10"/>
  <c r="K942" i="10"/>
  <c r="L942" i="10"/>
  <c r="M942" i="10"/>
  <c r="C943" i="10" a="1"/>
  <c r="C943" i="10"/>
  <c r="D943" i="10"/>
  <c r="E943" i="10"/>
  <c r="F943" i="10"/>
  <c r="G943" i="10"/>
  <c r="H943" i="10" a="1"/>
  <c r="H943" i="10"/>
  <c r="I943" i="10"/>
  <c r="J943" i="10"/>
  <c r="K943" i="10"/>
  <c r="L943" i="10"/>
  <c r="M943" i="10"/>
  <c r="C944" i="10" a="1"/>
  <c r="C944" i="10"/>
  <c r="D944" i="10"/>
  <c r="E944" i="10"/>
  <c r="F944" i="10"/>
  <c r="G944" i="10"/>
  <c r="H944" i="10" a="1"/>
  <c r="H944" i="10"/>
  <c r="I944" i="10"/>
  <c r="J944" i="10"/>
  <c r="K944" i="10"/>
  <c r="L944" i="10"/>
  <c r="M944" i="10"/>
  <c r="C945" i="10" a="1"/>
  <c r="C945" i="10"/>
  <c r="D945" i="10"/>
  <c r="E945" i="10"/>
  <c r="F945" i="10"/>
  <c r="G945" i="10"/>
  <c r="H945" i="10" a="1"/>
  <c r="H945" i="10"/>
  <c r="I945" i="10"/>
  <c r="J945" i="10"/>
  <c r="K945" i="10"/>
  <c r="L945" i="10"/>
  <c r="M945" i="10"/>
  <c r="C946" i="10" a="1"/>
  <c r="C946" i="10"/>
  <c r="D946" i="10"/>
  <c r="E946" i="10"/>
  <c r="F946" i="10"/>
  <c r="G946" i="10"/>
  <c r="H946" i="10" a="1"/>
  <c r="H946" i="10"/>
  <c r="I946" i="10"/>
  <c r="J946" i="10"/>
  <c r="K946" i="10"/>
  <c r="L946" i="10"/>
  <c r="M946" i="10"/>
  <c r="C947" i="10" a="1"/>
  <c r="C947" i="10"/>
  <c r="D947" i="10"/>
  <c r="E947" i="10"/>
  <c r="F947" i="10"/>
  <c r="G947" i="10"/>
  <c r="H947" i="10" a="1"/>
  <c r="H947" i="10"/>
  <c r="I947" i="10"/>
  <c r="J947" i="10"/>
  <c r="K947" i="10"/>
  <c r="L947" i="10"/>
  <c r="M947" i="10"/>
  <c r="C948" i="10" a="1"/>
  <c r="C948" i="10"/>
  <c r="D948" i="10"/>
  <c r="E948" i="10"/>
  <c r="F948" i="10"/>
  <c r="G948" i="10"/>
  <c r="H948" i="10" a="1"/>
  <c r="H948" i="10"/>
  <c r="I948" i="10"/>
  <c r="J948" i="10"/>
  <c r="K948" i="10"/>
  <c r="L948" i="10"/>
  <c r="M948" i="10"/>
  <c r="C949" i="10" a="1"/>
  <c r="C949" i="10"/>
  <c r="D949" i="10"/>
  <c r="E949" i="10"/>
  <c r="F949" i="10"/>
  <c r="G949" i="10"/>
  <c r="H949" i="10" a="1"/>
  <c r="H949" i="10"/>
  <c r="I949" i="10"/>
  <c r="J949" i="10"/>
  <c r="K949" i="10"/>
  <c r="L949" i="10"/>
  <c r="M949" i="10"/>
  <c r="C950" i="10" a="1"/>
  <c r="C950" i="10"/>
  <c r="D950" i="10"/>
  <c r="E950" i="10"/>
  <c r="F950" i="10"/>
  <c r="G950" i="10"/>
  <c r="H950" i="10" a="1"/>
  <c r="H950" i="10"/>
  <c r="I950" i="10"/>
  <c r="J950" i="10"/>
  <c r="K950" i="10"/>
  <c r="L950" i="10"/>
  <c r="M950" i="10"/>
  <c r="C951" i="10" a="1"/>
  <c r="C951" i="10"/>
  <c r="D951" i="10"/>
  <c r="E951" i="10"/>
  <c r="F951" i="10"/>
  <c r="G951" i="10"/>
  <c r="H951" i="10" a="1"/>
  <c r="H951" i="10"/>
  <c r="I951" i="10"/>
  <c r="J951" i="10"/>
  <c r="K951" i="10"/>
  <c r="L951" i="10"/>
  <c r="M951" i="10"/>
  <c r="C952" i="10" a="1"/>
  <c r="C952" i="10"/>
  <c r="D952" i="10"/>
  <c r="E952" i="10"/>
  <c r="F952" i="10"/>
  <c r="G952" i="10"/>
  <c r="H952" i="10" a="1"/>
  <c r="H952" i="10"/>
  <c r="I952" i="10"/>
  <c r="J952" i="10"/>
  <c r="K952" i="10"/>
  <c r="L952" i="10"/>
  <c r="M952" i="10"/>
  <c r="C953" i="10" a="1"/>
  <c r="C953" i="10"/>
  <c r="D953" i="10"/>
  <c r="E953" i="10"/>
  <c r="F953" i="10"/>
  <c r="G953" i="10"/>
  <c r="H953" i="10" a="1"/>
  <c r="H953" i="10"/>
  <c r="I953" i="10"/>
  <c r="J953" i="10"/>
  <c r="K953" i="10"/>
  <c r="L953" i="10"/>
  <c r="M953" i="10"/>
  <c r="C954" i="10" a="1"/>
  <c r="C954" i="10"/>
  <c r="D954" i="10"/>
  <c r="E954" i="10"/>
  <c r="F954" i="10"/>
  <c r="G954" i="10"/>
  <c r="H954" i="10" a="1"/>
  <c r="H954" i="10"/>
  <c r="I954" i="10"/>
  <c r="J954" i="10"/>
  <c r="K954" i="10"/>
  <c r="L954" i="10"/>
  <c r="M954" i="10"/>
  <c r="C955" i="10" a="1"/>
  <c r="C955" i="10"/>
  <c r="D955" i="10"/>
  <c r="E955" i="10"/>
  <c r="F955" i="10"/>
  <c r="G955" i="10"/>
  <c r="H955" i="10" a="1"/>
  <c r="H955" i="10"/>
  <c r="I955" i="10"/>
  <c r="J955" i="10"/>
  <c r="K955" i="10"/>
  <c r="L955" i="10"/>
  <c r="M955" i="10"/>
  <c r="C956" i="10" a="1"/>
  <c r="C956" i="10"/>
  <c r="D956" i="10"/>
  <c r="E956" i="10"/>
  <c r="F956" i="10"/>
  <c r="G956" i="10"/>
  <c r="H956" i="10" a="1"/>
  <c r="H956" i="10"/>
  <c r="I956" i="10"/>
  <c r="J956" i="10"/>
  <c r="K956" i="10"/>
  <c r="L956" i="10"/>
  <c r="M956" i="10"/>
  <c r="C957" i="10" a="1"/>
  <c r="C957" i="10"/>
  <c r="D957" i="10"/>
  <c r="E957" i="10"/>
  <c r="F957" i="10"/>
  <c r="G957" i="10"/>
  <c r="H957" i="10" a="1"/>
  <c r="H957" i="10"/>
  <c r="I957" i="10"/>
  <c r="J957" i="10"/>
  <c r="K957" i="10"/>
  <c r="L957" i="10"/>
  <c r="M957" i="10"/>
  <c r="C958" i="10" a="1"/>
  <c r="C958" i="10"/>
  <c r="D958" i="10"/>
  <c r="E958" i="10"/>
  <c r="F958" i="10"/>
  <c r="G958" i="10"/>
  <c r="H958" i="10" a="1"/>
  <c r="H958" i="10"/>
  <c r="I958" i="10"/>
  <c r="J958" i="10"/>
  <c r="K958" i="10"/>
  <c r="L958" i="10"/>
  <c r="M958" i="10"/>
  <c r="C959" i="10" a="1"/>
  <c r="C959" i="10"/>
  <c r="D959" i="10"/>
  <c r="E959" i="10"/>
  <c r="F959" i="10"/>
  <c r="G959" i="10"/>
  <c r="H959" i="10" a="1"/>
  <c r="H959" i="10"/>
  <c r="I959" i="10"/>
  <c r="J959" i="10"/>
  <c r="K959" i="10"/>
  <c r="L959" i="10"/>
  <c r="M959" i="10"/>
  <c r="C960" i="10" a="1"/>
  <c r="C960" i="10"/>
  <c r="D960" i="10"/>
  <c r="E960" i="10"/>
  <c r="F960" i="10"/>
  <c r="G960" i="10"/>
  <c r="H960" i="10" a="1"/>
  <c r="H960" i="10"/>
  <c r="I960" i="10"/>
  <c r="J960" i="10"/>
  <c r="K960" i="10"/>
  <c r="L960" i="10"/>
  <c r="M960" i="10"/>
  <c r="C961" i="10" a="1"/>
  <c r="C961" i="10"/>
  <c r="D961" i="10"/>
  <c r="E961" i="10"/>
  <c r="F961" i="10"/>
  <c r="G961" i="10"/>
  <c r="H961" i="10" a="1"/>
  <c r="H961" i="10"/>
  <c r="I961" i="10"/>
  <c r="J961" i="10"/>
  <c r="K961" i="10"/>
  <c r="L961" i="10"/>
  <c r="M961" i="10"/>
  <c r="C962" i="10" a="1"/>
  <c r="C962" i="10"/>
  <c r="D962" i="10"/>
  <c r="E962" i="10"/>
  <c r="F962" i="10"/>
  <c r="G962" i="10"/>
  <c r="H962" i="10" a="1"/>
  <c r="H962" i="10"/>
  <c r="I962" i="10"/>
  <c r="J962" i="10"/>
  <c r="K962" i="10"/>
  <c r="L962" i="10"/>
  <c r="M962" i="10"/>
  <c r="C963" i="10" a="1"/>
  <c r="C963" i="10"/>
  <c r="D963" i="10"/>
  <c r="E963" i="10"/>
  <c r="F963" i="10"/>
  <c r="G963" i="10"/>
  <c r="H963" i="10" a="1"/>
  <c r="H963" i="10"/>
  <c r="I963" i="10"/>
  <c r="J963" i="10"/>
  <c r="K963" i="10"/>
  <c r="L963" i="10"/>
  <c r="M963" i="10"/>
  <c r="C964" i="10" a="1"/>
  <c r="C964" i="10"/>
  <c r="D964" i="10"/>
  <c r="E964" i="10"/>
  <c r="F964" i="10"/>
  <c r="G964" i="10"/>
  <c r="H964" i="10" a="1"/>
  <c r="H964" i="10"/>
  <c r="I964" i="10"/>
  <c r="J964" i="10"/>
  <c r="K964" i="10"/>
  <c r="L964" i="10"/>
  <c r="M964" i="10"/>
  <c r="C965" i="10" a="1"/>
  <c r="C965" i="10"/>
  <c r="D965" i="10"/>
  <c r="E965" i="10"/>
  <c r="F965" i="10"/>
  <c r="G965" i="10"/>
  <c r="H965" i="10" a="1"/>
  <c r="H965" i="10"/>
  <c r="I965" i="10"/>
  <c r="J965" i="10"/>
  <c r="K965" i="10"/>
  <c r="L965" i="10"/>
  <c r="M965" i="10"/>
  <c r="C966" i="10" a="1"/>
  <c r="C966" i="10"/>
  <c r="D966" i="10"/>
  <c r="E966" i="10"/>
  <c r="F966" i="10"/>
  <c r="G966" i="10"/>
  <c r="H966" i="10" a="1"/>
  <c r="H966" i="10"/>
  <c r="I966" i="10"/>
  <c r="J966" i="10"/>
  <c r="K966" i="10"/>
  <c r="L966" i="10"/>
  <c r="M966" i="10"/>
  <c r="C967" i="10" a="1"/>
  <c r="C967" i="10"/>
  <c r="D967" i="10"/>
  <c r="E967" i="10"/>
  <c r="F967" i="10"/>
  <c r="G967" i="10"/>
  <c r="H967" i="10" a="1"/>
  <c r="H967" i="10"/>
  <c r="I967" i="10"/>
  <c r="J967" i="10"/>
  <c r="K967" i="10"/>
  <c r="L967" i="10"/>
  <c r="M967" i="10"/>
  <c r="C968" i="10" a="1"/>
  <c r="C968" i="10"/>
  <c r="D968" i="10"/>
  <c r="E968" i="10"/>
  <c r="F968" i="10"/>
  <c r="G968" i="10"/>
  <c r="H968" i="10" a="1"/>
  <c r="H968" i="10"/>
  <c r="I968" i="10"/>
  <c r="J968" i="10"/>
  <c r="K968" i="10"/>
  <c r="L968" i="10"/>
  <c r="M968" i="10"/>
  <c r="C969" i="10" a="1"/>
  <c r="C969" i="10"/>
  <c r="D969" i="10"/>
  <c r="E969" i="10"/>
  <c r="F969" i="10"/>
  <c r="G969" i="10"/>
  <c r="H969" i="10" a="1"/>
  <c r="H969" i="10"/>
  <c r="I969" i="10"/>
  <c r="J969" i="10"/>
  <c r="K969" i="10"/>
  <c r="L969" i="10"/>
  <c r="M969" i="10"/>
  <c r="C970" i="10" a="1"/>
  <c r="C970" i="10"/>
  <c r="D970" i="10"/>
  <c r="E970" i="10"/>
  <c r="F970" i="10"/>
  <c r="G970" i="10"/>
  <c r="H970" i="10" a="1"/>
  <c r="H970" i="10"/>
  <c r="I970" i="10"/>
  <c r="J970" i="10"/>
  <c r="K970" i="10"/>
  <c r="L970" i="10"/>
  <c r="M970" i="10"/>
  <c r="C971" i="10" a="1"/>
  <c r="C971" i="10"/>
  <c r="D971" i="10"/>
  <c r="E971" i="10"/>
  <c r="F971" i="10"/>
  <c r="G971" i="10"/>
  <c r="H971" i="10" a="1"/>
  <c r="H971" i="10"/>
  <c r="I971" i="10"/>
  <c r="J971" i="10"/>
  <c r="K971" i="10"/>
  <c r="L971" i="10"/>
  <c r="M971" i="10"/>
  <c r="C972" i="10" a="1"/>
  <c r="C972" i="10"/>
  <c r="D972" i="10"/>
  <c r="E972" i="10"/>
  <c r="F972" i="10"/>
  <c r="G972" i="10"/>
  <c r="H972" i="10" a="1"/>
  <c r="H972" i="10"/>
  <c r="I972" i="10"/>
  <c r="J972" i="10"/>
  <c r="K972" i="10"/>
  <c r="L972" i="10"/>
  <c r="M972" i="10"/>
  <c r="C973" i="10" a="1"/>
  <c r="C973" i="10"/>
  <c r="D973" i="10"/>
  <c r="E973" i="10"/>
  <c r="F973" i="10"/>
  <c r="G973" i="10"/>
  <c r="H973" i="10" a="1"/>
  <c r="H973" i="10"/>
  <c r="I973" i="10"/>
  <c r="J973" i="10"/>
  <c r="K973" i="10"/>
  <c r="L973" i="10"/>
  <c r="M973" i="10"/>
  <c r="C974" i="10" a="1"/>
  <c r="C974" i="10"/>
  <c r="D974" i="10"/>
  <c r="E974" i="10"/>
  <c r="F974" i="10"/>
  <c r="G974" i="10"/>
  <c r="H974" i="10" a="1"/>
  <c r="H974" i="10"/>
  <c r="I974" i="10"/>
  <c r="J974" i="10"/>
  <c r="K974" i="10"/>
  <c r="L974" i="10"/>
  <c r="M974" i="10"/>
  <c r="C975" i="10" a="1"/>
  <c r="C975" i="10"/>
  <c r="D975" i="10"/>
  <c r="E975" i="10"/>
  <c r="F975" i="10"/>
  <c r="G975" i="10"/>
  <c r="H975" i="10" a="1"/>
  <c r="H975" i="10"/>
  <c r="I975" i="10"/>
  <c r="J975" i="10"/>
  <c r="K975" i="10"/>
  <c r="L975" i="10"/>
  <c r="M975" i="10"/>
  <c r="C976" i="10" a="1"/>
  <c r="C976" i="10"/>
  <c r="D976" i="10"/>
  <c r="E976" i="10"/>
  <c r="F976" i="10"/>
  <c r="G976" i="10"/>
  <c r="H976" i="10" a="1"/>
  <c r="H976" i="10"/>
  <c r="I976" i="10"/>
  <c r="J976" i="10"/>
  <c r="K976" i="10"/>
  <c r="L976" i="10"/>
  <c r="M976" i="10"/>
  <c r="C977" i="10" a="1"/>
  <c r="C977" i="10"/>
  <c r="D977" i="10"/>
  <c r="E977" i="10"/>
  <c r="F977" i="10"/>
  <c r="G977" i="10"/>
  <c r="H977" i="10" a="1"/>
  <c r="H977" i="10"/>
  <c r="I977" i="10"/>
  <c r="J977" i="10"/>
  <c r="K977" i="10"/>
  <c r="L977" i="10"/>
  <c r="M977" i="10"/>
  <c r="C978" i="10" a="1"/>
  <c r="C978" i="10"/>
  <c r="D978" i="10"/>
  <c r="E978" i="10"/>
  <c r="F978" i="10"/>
  <c r="G978" i="10"/>
  <c r="H978" i="10" a="1"/>
  <c r="H978" i="10"/>
  <c r="I978" i="10"/>
  <c r="J978" i="10"/>
  <c r="K978" i="10"/>
  <c r="L978" i="10"/>
  <c r="M978" i="10"/>
  <c r="C979" i="10" a="1"/>
  <c r="C979" i="10"/>
  <c r="D979" i="10"/>
  <c r="E979" i="10"/>
  <c r="F979" i="10"/>
  <c r="G979" i="10"/>
  <c r="H979" i="10" a="1"/>
  <c r="H979" i="10"/>
  <c r="I979" i="10"/>
  <c r="J979" i="10"/>
  <c r="K979" i="10"/>
  <c r="L979" i="10"/>
  <c r="M979" i="10"/>
  <c r="C980" i="10" a="1"/>
  <c r="C980" i="10"/>
  <c r="D980" i="10"/>
  <c r="E980" i="10"/>
  <c r="F980" i="10"/>
  <c r="G980" i="10"/>
  <c r="H980" i="10" a="1"/>
  <c r="H980" i="10"/>
  <c r="I980" i="10"/>
  <c r="J980" i="10"/>
  <c r="K980" i="10"/>
  <c r="L980" i="10"/>
  <c r="M980" i="10"/>
  <c r="C981" i="10" a="1"/>
  <c r="C981" i="10"/>
  <c r="D981" i="10"/>
  <c r="E981" i="10"/>
  <c r="F981" i="10"/>
  <c r="G981" i="10"/>
  <c r="H981" i="10" a="1"/>
  <c r="H981" i="10"/>
  <c r="I981" i="10"/>
  <c r="J981" i="10"/>
  <c r="K981" i="10"/>
  <c r="L981" i="10"/>
  <c r="M981" i="10"/>
  <c r="C982" i="10" a="1"/>
  <c r="C982" i="10"/>
  <c r="D982" i="10"/>
  <c r="E982" i="10"/>
  <c r="F982" i="10"/>
  <c r="G982" i="10"/>
  <c r="H982" i="10" a="1"/>
  <c r="H982" i="10"/>
  <c r="I982" i="10"/>
  <c r="J982" i="10"/>
  <c r="K982" i="10"/>
  <c r="L982" i="10"/>
  <c r="M982" i="10"/>
  <c r="C983" i="10" a="1"/>
  <c r="C983" i="10"/>
  <c r="D983" i="10"/>
  <c r="E983" i="10"/>
  <c r="F983" i="10"/>
  <c r="G983" i="10"/>
  <c r="H983" i="10" a="1"/>
  <c r="H983" i="10"/>
  <c r="I983" i="10"/>
  <c r="J983" i="10"/>
  <c r="K983" i="10"/>
  <c r="L983" i="10"/>
  <c r="M983" i="10"/>
  <c r="C984" i="10" a="1"/>
  <c r="C984" i="10"/>
  <c r="D984" i="10"/>
  <c r="E984" i="10"/>
  <c r="F984" i="10"/>
  <c r="G984" i="10"/>
  <c r="H984" i="10" a="1"/>
  <c r="H984" i="10"/>
  <c r="I984" i="10"/>
  <c r="J984" i="10"/>
  <c r="K984" i="10"/>
  <c r="L984" i="10"/>
  <c r="M984" i="10"/>
  <c r="C985" i="10" a="1"/>
  <c r="C985" i="10"/>
  <c r="D985" i="10"/>
  <c r="E985" i="10"/>
  <c r="F985" i="10"/>
  <c r="G985" i="10"/>
  <c r="H985" i="10" a="1"/>
  <c r="H985" i="10"/>
  <c r="I985" i="10"/>
  <c r="J985" i="10"/>
  <c r="K985" i="10"/>
  <c r="L985" i="10"/>
  <c r="M985" i="10"/>
  <c r="C986" i="10" a="1"/>
  <c r="C986" i="10"/>
  <c r="D986" i="10"/>
  <c r="E986" i="10"/>
  <c r="F986" i="10"/>
  <c r="G986" i="10"/>
  <c r="H986" i="10" a="1"/>
  <c r="H986" i="10"/>
  <c r="I986" i="10"/>
  <c r="J986" i="10"/>
  <c r="K986" i="10"/>
  <c r="L986" i="10"/>
  <c r="M986" i="10"/>
  <c r="C987" i="10" a="1"/>
  <c r="C987" i="10"/>
  <c r="D987" i="10"/>
  <c r="E987" i="10"/>
  <c r="F987" i="10"/>
  <c r="G987" i="10"/>
  <c r="H987" i="10" a="1"/>
  <c r="H987" i="10"/>
  <c r="I987" i="10"/>
  <c r="J987" i="10"/>
  <c r="K987" i="10"/>
  <c r="L987" i="10"/>
  <c r="M987" i="10"/>
  <c r="C988" i="10" a="1"/>
  <c r="C988" i="10"/>
  <c r="D988" i="10"/>
  <c r="E988" i="10"/>
  <c r="F988" i="10"/>
  <c r="G988" i="10"/>
  <c r="H988" i="10" a="1"/>
  <c r="H988" i="10"/>
  <c r="I988" i="10"/>
  <c r="J988" i="10"/>
  <c r="K988" i="10"/>
  <c r="L988" i="10"/>
  <c r="M988" i="10"/>
  <c r="C989" i="10" a="1"/>
  <c r="C989" i="10"/>
  <c r="D989" i="10"/>
  <c r="E989" i="10"/>
  <c r="F989" i="10"/>
  <c r="G989" i="10"/>
  <c r="H989" i="10" a="1"/>
  <c r="H989" i="10"/>
  <c r="I989" i="10"/>
  <c r="J989" i="10"/>
  <c r="K989" i="10"/>
  <c r="L989" i="10"/>
  <c r="M989" i="10"/>
  <c r="C990" i="10" a="1"/>
  <c r="C990" i="10"/>
  <c r="D990" i="10"/>
  <c r="E990" i="10"/>
  <c r="F990" i="10"/>
  <c r="G990" i="10"/>
  <c r="H990" i="10" a="1"/>
  <c r="H990" i="10"/>
  <c r="I990" i="10"/>
  <c r="J990" i="10"/>
  <c r="K990" i="10"/>
  <c r="L990" i="10"/>
  <c r="M990" i="10"/>
  <c r="C991" i="10" a="1"/>
  <c r="C991" i="10"/>
  <c r="D991" i="10"/>
  <c r="E991" i="10"/>
  <c r="F991" i="10"/>
  <c r="G991" i="10"/>
  <c r="H991" i="10" a="1"/>
  <c r="H991" i="10"/>
  <c r="I991" i="10"/>
  <c r="J991" i="10"/>
  <c r="K991" i="10"/>
  <c r="L991" i="10"/>
  <c r="M991" i="10"/>
  <c r="C992" i="10" a="1"/>
  <c r="C992" i="10"/>
  <c r="D992" i="10"/>
  <c r="E992" i="10"/>
  <c r="F992" i="10"/>
  <c r="G992" i="10"/>
  <c r="H992" i="10" a="1"/>
  <c r="H992" i="10"/>
  <c r="I992" i="10"/>
  <c r="J992" i="10"/>
  <c r="K992" i="10"/>
  <c r="L992" i="10"/>
  <c r="M992" i="10"/>
  <c r="C993" i="10" a="1"/>
  <c r="C993" i="10"/>
  <c r="D993" i="10"/>
  <c r="E993" i="10"/>
  <c r="F993" i="10"/>
  <c r="G993" i="10"/>
  <c r="H993" i="10" a="1"/>
  <c r="H993" i="10"/>
  <c r="I993" i="10"/>
  <c r="J993" i="10"/>
  <c r="K993" i="10"/>
  <c r="L993" i="10"/>
  <c r="M993" i="10"/>
  <c r="C994" i="10" a="1"/>
  <c r="C994" i="10"/>
  <c r="D994" i="10"/>
  <c r="E994" i="10"/>
  <c r="F994" i="10"/>
  <c r="G994" i="10"/>
  <c r="H994" i="10" a="1"/>
  <c r="H994" i="10"/>
  <c r="I994" i="10"/>
  <c r="J994" i="10"/>
  <c r="K994" i="10"/>
  <c r="L994" i="10"/>
  <c r="M994" i="10"/>
  <c r="C995" i="10" a="1"/>
  <c r="C995" i="10"/>
  <c r="D995" i="10"/>
  <c r="E995" i="10"/>
  <c r="F995" i="10"/>
  <c r="G995" i="10"/>
  <c r="H995" i="10" a="1"/>
  <c r="H995" i="10"/>
  <c r="I995" i="10"/>
  <c r="J995" i="10"/>
  <c r="K995" i="10"/>
  <c r="L995" i="10"/>
  <c r="M995" i="10"/>
  <c r="C996" i="10" a="1"/>
  <c r="C996" i="10"/>
  <c r="D996" i="10"/>
  <c r="E996" i="10"/>
  <c r="F996" i="10"/>
  <c r="G996" i="10"/>
  <c r="H996" i="10" a="1"/>
  <c r="H996" i="10"/>
  <c r="I996" i="10"/>
  <c r="J996" i="10"/>
  <c r="K996" i="10"/>
  <c r="L996" i="10"/>
  <c r="M996" i="10"/>
  <c r="C997" i="10" a="1"/>
  <c r="C997" i="10"/>
  <c r="D997" i="10"/>
  <c r="E997" i="10"/>
  <c r="F997" i="10"/>
  <c r="G997" i="10"/>
  <c r="H997" i="10" a="1"/>
  <c r="H997" i="10"/>
  <c r="I997" i="10"/>
  <c r="J997" i="10"/>
  <c r="K997" i="10"/>
  <c r="L997" i="10"/>
  <c r="M997" i="10"/>
  <c r="C998" i="10" a="1"/>
  <c r="C998" i="10"/>
  <c r="D998" i="10"/>
  <c r="E998" i="10"/>
  <c r="F998" i="10"/>
  <c r="G998" i="10"/>
  <c r="H998" i="10" a="1"/>
  <c r="H998" i="10"/>
  <c r="I998" i="10"/>
  <c r="J998" i="10"/>
  <c r="K998" i="10"/>
  <c r="L998" i="10"/>
  <c r="M998" i="10"/>
  <c r="C999" i="10" a="1"/>
  <c r="C999" i="10"/>
  <c r="D999" i="10"/>
  <c r="E999" i="10"/>
  <c r="F999" i="10"/>
  <c r="G999" i="10"/>
  <c r="H999" i="10" a="1"/>
  <c r="H999" i="10"/>
  <c r="I999" i="10"/>
  <c r="J999" i="10"/>
  <c r="K999" i="10"/>
  <c r="L999" i="10"/>
  <c r="M999" i="10"/>
  <c r="C1000" i="10" a="1"/>
  <c r="C1000" i="10"/>
  <c r="D1000" i="10"/>
  <c r="E1000" i="10"/>
  <c r="F1000" i="10"/>
  <c r="G1000" i="10"/>
  <c r="H1000" i="10" a="1"/>
  <c r="H1000" i="10"/>
  <c r="I1000" i="10"/>
  <c r="J1000" i="10"/>
  <c r="K1000" i="10"/>
  <c r="L1000" i="10"/>
  <c r="M1000" i="10"/>
  <c r="C1001" i="10" a="1"/>
  <c r="C1001" i="10"/>
  <c r="D1001" i="10"/>
  <c r="E1001" i="10"/>
  <c r="F1001" i="10"/>
  <c r="G1001" i="10"/>
  <c r="H1001" i="10" a="1"/>
  <c r="H1001" i="10"/>
  <c r="I1001" i="10"/>
  <c r="J1001" i="10"/>
  <c r="K1001" i="10"/>
  <c r="L1001" i="10"/>
  <c r="M1001" i="10"/>
  <c r="C1002" i="10" a="1"/>
  <c r="C1002" i="10"/>
  <c r="D1002" i="10"/>
  <c r="E1002" i="10"/>
  <c r="F1002" i="10"/>
  <c r="G1002" i="10"/>
  <c r="H1002" i="10" a="1"/>
  <c r="H1002" i="10"/>
  <c r="I1002" i="10"/>
  <c r="J1002" i="10"/>
  <c r="K1002" i="10"/>
  <c r="L1002" i="10"/>
  <c r="M1002" i="10"/>
  <c r="C1003" i="10" a="1"/>
  <c r="C1003" i="10"/>
  <c r="D1003" i="10"/>
  <c r="E1003" i="10"/>
  <c r="F1003" i="10"/>
  <c r="G1003" i="10"/>
  <c r="H1003" i="10" a="1"/>
  <c r="H1003" i="10"/>
  <c r="I1003" i="10"/>
  <c r="J1003" i="10"/>
  <c r="K1003" i="10"/>
  <c r="L1003" i="10"/>
  <c r="M1003" i="10"/>
  <c r="C1004" i="10" a="1"/>
  <c r="C1004" i="10"/>
  <c r="D1004" i="10"/>
  <c r="E1004" i="10"/>
  <c r="F1004" i="10"/>
  <c r="G1004" i="10"/>
  <c r="H1004" i="10" a="1"/>
  <c r="H1004" i="10"/>
  <c r="I1004" i="10"/>
  <c r="J1004" i="10"/>
  <c r="K1004" i="10"/>
  <c r="L1004" i="10"/>
  <c r="M1004" i="10"/>
  <c r="C1005" i="10" a="1"/>
  <c r="C1005" i="10"/>
  <c r="D1005" i="10"/>
  <c r="E1005" i="10"/>
  <c r="F1005" i="10"/>
  <c r="G1005" i="10"/>
  <c r="H1005" i="10" a="1"/>
  <c r="H1005" i="10"/>
  <c r="I1005" i="10"/>
  <c r="J1005" i="10"/>
  <c r="K1005" i="10"/>
  <c r="L1005" i="10"/>
  <c r="M1005" i="10"/>
  <c r="C1006" i="10" a="1"/>
  <c r="C1006" i="10"/>
  <c r="D1006" i="10"/>
  <c r="E1006" i="10"/>
  <c r="F1006" i="10"/>
  <c r="G1006" i="10"/>
  <c r="H1006" i="10" a="1"/>
  <c r="H1006" i="10"/>
  <c r="I1006" i="10"/>
  <c r="J1006" i="10"/>
  <c r="K1006" i="10"/>
  <c r="L1006" i="10"/>
  <c r="M1006" i="10"/>
  <c r="C1007" i="10" a="1"/>
  <c r="C1007" i="10"/>
  <c r="D1007" i="10"/>
  <c r="E1007" i="10"/>
  <c r="F1007" i="10"/>
  <c r="G1007" i="10"/>
  <c r="H1007" i="10" a="1"/>
  <c r="H1007" i="10"/>
  <c r="I1007" i="10"/>
  <c r="J1007" i="10"/>
  <c r="K1007" i="10"/>
  <c r="L1007" i="10"/>
  <c r="M1007" i="10"/>
  <c r="C1008" i="10" a="1"/>
  <c r="C1008" i="10"/>
  <c r="D1008" i="10"/>
  <c r="E1008" i="10"/>
  <c r="F1008" i="10"/>
  <c r="G1008" i="10"/>
  <c r="H1008" i="10" a="1"/>
  <c r="H1008" i="10"/>
  <c r="I1008" i="10"/>
  <c r="J1008" i="10"/>
  <c r="K1008" i="10"/>
  <c r="L1008" i="10"/>
  <c r="M1008" i="10"/>
  <c r="C1009" i="10" a="1"/>
  <c r="C1009" i="10"/>
  <c r="D1009" i="10"/>
  <c r="E1009" i="10"/>
  <c r="F1009" i="10"/>
  <c r="G1009" i="10"/>
  <c r="H1009" i="10" a="1"/>
  <c r="H1009" i="10"/>
  <c r="I1009" i="10"/>
  <c r="J1009" i="10"/>
  <c r="K1009" i="10"/>
  <c r="L1009" i="10"/>
  <c r="M1009" i="10"/>
  <c r="C1010" i="10" a="1"/>
  <c r="C1010" i="10"/>
  <c r="D1010" i="10"/>
  <c r="E1010" i="10"/>
  <c r="F1010" i="10"/>
  <c r="G1010" i="10"/>
  <c r="H1010" i="10" a="1"/>
  <c r="H1010" i="10"/>
  <c r="I1010" i="10"/>
  <c r="J1010" i="10"/>
  <c r="K1010" i="10"/>
  <c r="L1010" i="10"/>
  <c r="M1010" i="10"/>
  <c r="C1011" i="10" a="1"/>
  <c r="C1011" i="10"/>
  <c r="D1011" i="10"/>
  <c r="E1011" i="10"/>
  <c r="F1011" i="10"/>
  <c r="G1011" i="10"/>
  <c r="H1011" i="10" a="1"/>
  <c r="H1011" i="10"/>
  <c r="I1011" i="10"/>
  <c r="J1011" i="10"/>
  <c r="K1011" i="10"/>
  <c r="L1011" i="10"/>
  <c r="M1011" i="10"/>
  <c r="C1012" i="10" a="1"/>
  <c r="C1012" i="10"/>
  <c r="D1012" i="10"/>
  <c r="E1012" i="10"/>
  <c r="F1012" i="10"/>
  <c r="G1012" i="10"/>
  <c r="H1012" i="10" a="1"/>
  <c r="H1012" i="10"/>
  <c r="I1012" i="10"/>
  <c r="J1012" i="10"/>
  <c r="K1012" i="10"/>
  <c r="L1012" i="10"/>
  <c r="M1012" i="10"/>
  <c r="C1013" i="10" a="1"/>
  <c r="C1013" i="10"/>
  <c r="D1013" i="10"/>
  <c r="E1013" i="10"/>
  <c r="F1013" i="10"/>
  <c r="G1013" i="10"/>
  <c r="H1013" i="10" a="1"/>
  <c r="H1013" i="10"/>
  <c r="I1013" i="10"/>
  <c r="J1013" i="10"/>
  <c r="K1013" i="10"/>
  <c r="L1013" i="10"/>
  <c r="M1013" i="10"/>
  <c r="C1014" i="10" a="1"/>
  <c r="C1014" i="10"/>
  <c r="D1014" i="10"/>
  <c r="E1014" i="10"/>
  <c r="F1014" i="10"/>
  <c r="G1014" i="10"/>
  <c r="H1014" i="10" a="1"/>
  <c r="H1014" i="10"/>
  <c r="I1014" i="10"/>
  <c r="J1014" i="10"/>
  <c r="K1014" i="10"/>
  <c r="L1014" i="10"/>
  <c r="M1014" i="10"/>
  <c r="C1015" i="10" a="1"/>
  <c r="C1015" i="10"/>
  <c r="D1015" i="10"/>
  <c r="E1015" i="10"/>
  <c r="F1015" i="10"/>
  <c r="G1015" i="10"/>
  <c r="H1015" i="10" a="1"/>
  <c r="H1015" i="10"/>
  <c r="I1015" i="10"/>
  <c r="J1015" i="10"/>
  <c r="K1015" i="10"/>
  <c r="L1015" i="10"/>
  <c r="M1015" i="10"/>
  <c r="C1016" i="10" a="1"/>
  <c r="C1016" i="10"/>
  <c r="D1016" i="10"/>
  <c r="E1016" i="10"/>
  <c r="F1016" i="10"/>
  <c r="G1016" i="10"/>
  <c r="H1016" i="10" a="1"/>
  <c r="H1016" i="10"/>
  <c r="I1016" i="10"/>
  <c r="J1016" i="10"/>
  <c r="K1016" i="10"/>
  <c r="L1016" i="10"/>
  <c r="M1016" i="10"/>
  <c r="C1017" i="10" a="1"/>
  <c r="C1017" i="10"/>
  <c r="D1017" i="10"/>
  <c r="E1017" i="10"/>
  <c r="F1017" i="10"/>
  <c r="G1017" i="10"/>
  <c r="H1017" i="10" a="1"/>
  <c r="H1017" i="10"/>
  <c r="I1017" i="10"/>
  <c r="J1017" i="10"/>
  <c r="K1017" i="10"/>
  <c r="L1017" i="10"/>
  <c r="M1017" i="10"/>
  <c r="C1018" i="10" a="1"/>
  <c r="C1018" i="10"/>
  <c r="D1018" i="10"/>
  <c r="E1018" i="10"/>
  <c r="F1018" i="10"/>
  <c r="G1018" i="10"/>
  <c r="H1018" i="10" a="1"/>
  <c r="H1018" i="10"/>
  <c r="I1018" i="10"/>
  <c r="J1018" i="10"/>
  <c r="K1018" i="10"/>
  <c r="L1018" i="10"/>
  <c r="M1018" i="10"/>
  <c r="C1019" i="10" a="1"/>
  <c r="C1019" i="10"/>
  <c r="D1019" i="10"/>
  <c r="E1019" i="10"/>
  <c r="F1019" i="10"/>
  <c r="G1019" i="10"/>
  <c r="H1019" i="10" a="1"/>
  <c r="H1019" i="10"/>
  <c r="I1019" i="10"/>
  <c r="J1019" i="10"/>
  <c r="K1019" i="10"/>
  <c r="L1019" i="10"/>
  <c r="M1019" i="10"/>
  <c r="C1020" i="10" a="1"/>
  <c r="C1020" i="10"/>
  <c r="D1020" i="10"/>
  <c r="E1020" i="10"/>
  <c r="F1020" i="10"/>
  <c r="G1020" i="10"/>
  <c r="H1020" i="10" a="1"/>
  <c r="H1020" i="10"/>
  <c r="I1020" i="10"/>
  <c r="J1020" i="10"/>
  <c r="K1020" i="10"/>
  <c r="L1020" i="10"/>
  <c r="M1020" i="10"/>
  <c r="C1021" i="10" a="1"/>
  <c r="C1021" i="10"/>
  <c r="D1021" i="10"/>
  <c r="E1021" i="10"/>
  <c r="F1021" i="10"/>
  <c r="G1021" i="10"/>
  <c r="H1021" i="10" a="1"/>
  <c r="H1021" i="10"/>
  <c r="I1021" i="10"/>
  <c r="J1021" i="10"/>
  <c r="K1021" i="10"/>
  <c r="L1021" i="10"/>
  <c r="M102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<sst xmlns="http://schemas.openxmlformats.org/spreadsheetml/2006/main" count="952" uniqueCount="613">
  <si>
    <t>Data</t>
  </si>
  <si>
    <t>Quantidade</t>
  </si>
  <si>
    <t>Pendente</t>
  </si>
  <si>
    <t>Em Rota</t>
  </si>
  <si>
    <t>Atrasado</t>
  </si>
  <si>
    <t>Aguardando</t>
  </si>
  <si>
    <t>Pago</t>
  </si>
  <si>
    <t>Entregue</t>
  </si>
  <si>
    <t>ID_Fornecedor</t>
  </si>
  <si>
    <t>CNPJ</t>
  </si>
  <si>
    <t>Categoria</t>
  </si>
  <si>
    <t>FORN001</t>
  </si>
  <si>
    <t>Hardware</t>
  </si>
  <si>
    <t>FORN002</t>
  </si>
  <si>
    <t>Software</t>
  </si>
  <si>
    <t>FORN003</t>
  </si>
  <si>
    <t>Office Express</t>
  </si>
  <si>
    <t>Suprimentos</t>
  </si>
  <si>
    <t>FORN004</t>
  </si>
  <si>
    <t>LogiBrasil Transportes</t>
  </si>
  <si>
    <t>FORN005</t>
  </si>
  <si>
    <t>CloudNexus Data</t>
  </si>
  <si>
    <t>Infraestrutura</t>
  </si>
  <si>
    <t>FORN006</t>
  </si>
  <si>
    <t>Papelaria Central</t>
  </si>
  <si>
    <t>FORN007</t>
  </si>
  <si>
    <t>Nome_Fantasia</t>
  </si>
  <si>
    <t>Lead_Time</t>
  </si>
  <si>
    <t>TechFlow Solucoes</t>
  </si>
  <si>
    <t>12.345.678/0001-01</t>
  </si>
  <si>
    <t>SoftPrime Licencas</t>
  </si>
  <si>
    <t>23.456.789/0001-02</t>
  </si>
  <si>
    <t>34.567.890/0001-03</t>
  </si>
  <si>
    <t>45.678.901/0001-04</t>
  </si>
  <si>
    <t>Logistica</t>
  </si>
  <si>
    <t>56.789.012/0001-05</t>
  </si>
  <si>
    <t>67.890.123/0001-06</t>
  </si>
  <si>
    <t>CyberSecurity SA</t>
  </si>
  <si>
    <t>78.901.234/0001-07</t>
  </si>
  <si>
    <t>Seguranca</t>
  </si>
  <si>
    <t>FORN008</t>
  </si>
  <si>
    <t>Global Chips</t>
  </si>
  <si>
    <t>89.012.345/0001-08</t>
  </si>
  <si>
    <t>FORN009</t>
  </si>
  <si>
    <t>Movel Tech</t>
  </si>
  <si>
    <t>90.123.456/0001-09</t>
  </si>
  <si>
    <t>FORN010</t>
  </si>
  <si>
    <t>DataCenter Pro</t>
  </si>
  <si>
    <t>01.234.567/0001-10</t>
  </si>
  <si>
    <t>FORN011</t>
  </si>
  <si>
    <t>Energy Solution</t>
  </si>
  <si>
    <t>11.222.333/0001-11</t>
  </si>
  <si>
    <t>FORN012</t>
  </si>
  <si>
    <t>Fast Delivery</t>
  </si>
  <si>
    <t>22.333.444/0001-12</t>
  </si>
  <si>
    <t>FORN013</t>
  </si>
  <si>
    <t>Network Master</t>
  </si>
  <si>
    <t>33.444.555/0001-13</t>
  </si>
  <si>
    <t>FORN014</t>
  </si>
  <si>
    <t>DevTools Inc</t>
  </si>
  <si>
    <t>44.555.666/0001-14</t>
  </si>
  <si>
    <t>FORN015</t>
  </si>
  <si>
    <t>Print Smart</t>
  </si>
  <si>
    <t>55.666.777/0001-15</t>
  </si>
  <si>
    <t>FORN016</t>
  </si>
  <si>
    <t>Steel Case</t>
  </si>
  <si>
    <t>66.777.888/0001-16</t>
  </si>
  <si>
    <t>FORN017</t>
  </si>
  <si>
    <t>BitSafe</t>
  </si>
  <si>
    <t>77.888.999/0001-17</t>
  </si>
  <si>
    <t>FORN018</t>
  </si>
  <si>
    <t>Link Direct</t>
  </si>
  <si>
    <t>88.999.000/0001-18</t>
  </si>
  <si>
    <t>FORN019</t>
  </si>
  <si>
    <t>Mega Storage</t>
  </si>
  <si>
    <t>99.000.111/0001-19</t>
  </si>
  <si>
    <t>FORN020</t>
  </si>
  <si>
    <t>AI Systems</t>
  </si>
  <si>
    <t>00.111.222/0001-20</t>
  </si>
  <si>
    <t>ID_Cliente</t>
  </si>
  <si>
    <t>Nome_Cliente</t>
  </si>
  <si>
    <t>CPF_CNPJ</t>
  </si>
  <si>
    <t>Limite_Credito</t>
  </si>
  <si>
    <t>CLI001</t>
  </si>
  <si>
    <t>Industrias Alpha</t>
  </si>
  <si>
    <t>10.100.100/0001-01</t>
  </si>
  <si>
    <t>CLI002</t>
  </si>
  <si>
    <t>Varejo Total</t>
  </si>
  <si>
    <t>20.200.200/0001-02</t>
  </si>
  <si>
    <t>CLI003</t>
  </si>
  <si>
    <t>Hospital Vida</t>
  </si>
  <si>
    <t>30.300.300/0001-03</t>
  </si>
  <si>
    <t>CLI004</t>
  </si>
  <si>
    <t>Escola Saber</t>
  </si>
  <si>
    <t>40.400.400/0001-04</t>
  </si>
  <si>
    <t>CLI005</t>
  </si>
  <si>
    <t>Banco Futuro</t>
  </si>
  <si>
    <t>50.500.500/0001-05</t>
  </si>
  <si>
    <t>CLI006</t>
  </si>
  <si>
    <t>Construtora Forte</t>
  </si>
  <si>
    <t>60.600.600/0001-06</t>
  </si>
  <si>
    <t>CLI007</t>
  </si>
  <si>
    <t>Tecno Logica</t>
  </si>
  <si>
    <t>70.700.700/0001-07</t>
  </si>
  <si>
    <t>CLI008</t>
  </si>
  <si>
    <t>Supermercado Sol</t>
  </si>
  <si>
    <t>80.800.800/0001-08</t>
  </si>
  <si>
    <t>CLI009</t>
  </si>
  <si>
    <t>Farma Plus</t>
  </si>
  <si>
    <t>90.900.900/0001-09</t>
  </si>
  <si>
    <t>CLI010</t>
  </si>
  <si>
    <t>Hotel Estrela</t>
  </si>
  <si>
    <t>01.010.010/0001-10</t>
  </si>
  <si>
    <t>CLI011</t>
  </si>
  <si>
    <t>Academia Fit</t>
  </si>
  <si>
    <t>11.111.111/0001-11</t>
  </si>
  <si>
    <t>CLI012</t>
  </si>
  <si>
    <t>Padaria Real</t>
  </si>
  <si>
    <t>22.222.222/0001-22</t>
  </si>
  <si>
    <t>CLI013</t>
  </si>
  <si>
    <t>Advocacia Associada</t>
  </si>
  <si>
    <t>33.333.333/0001-33</t>
  </si>
  <si>
    <t>CLI014</t>
  </si>
  <si>
    <t>Moda Fashion</t>
  </si>
  <si>
    <t>44.444.444/0001-44</t>
  </si>
  <si>
    <t>CLI015</t>
  </si>
  <si>
    <t>Pet Shop Amigo</t>
  </si>
  <si>
    <t>55.555.555/0001-55</t>
  </si>
  <si>
    <t>CLI016</t>
  </si>
  <si>
    <t>Auto Pecas Jato</t>
  </si>
  <si>
    <t>66.666.666/0001-66</t>
  </si>
  <si>
    <t>CLI017</t>
  </si>
  <si>
    <t>Restaurante Sabor</t>
  </si>
  <si>
    <t>77.777.777/0001-77</t>
  </si>
  <si>
    <t>CLI018</t>
  </si>
  <si>
    <t>Clinica Sorriso</t>
  </si>
  <si>
    <t>88.888.888/0001-88</t>
  </si>
  <si>
    <t>CLI019</t>
  </si>
  <si>
    <t>Consultoria Meta</t>
  </si>
  <si>
    <t>99.999.999/0001-99</t>
  </si>
  <si>
    <t>CLI020</t>
  </si>
  <si>
    <t>Oficina Mecanica</t>
  </si>
  <si>
    <t>00.000.000/0001-00</t>
  </si>
  <si>
    <t>ID_Produto</t>
  </si>
  <si>
    <t>Descricao_Produto</t>
  </si>
  <si>
    <t>Preco_Unitario_Venda</t>
  </si>
  <si>
    <t>Estoque_Minimo</t>
  </si>
  <si>
    <t>PROD001</t>
  </si>
  <si>
    <t>Monitor 24 pol Full HD</t>
  </si>
  <si>
    <t>PROD002</t>
  </si>
  <si>
    <t>Teclado Mecanico RGB</t>
  </si>
  <si>
    <t>PROD003</t>
  </si>
  <si>
    <t>Mouse Sem Fio Optico</t>
  </si>
  <si>
    <t>PROD004</t>
  </si>
  <si>
    <t>Cadeira Ergonomica Office</t>
  </si>
  <si>
    <t>PROD005</t>
  </si>
  <si>
    <t>Notebook i5 8GB 256GB SSD</t>
  </si>
  <si>
    <t>PROD006</t>
  </si>
  <si>
    <t>Notebook i7 16GB 512GB SSD</t>
  </si>
  <si>
    <t>PROD007</t>
  </si>
  <si>
    <t>Impressora Laser Color</t>
  </si>
  <si>
    <t>PROD008</t>
  </si>
  <si>
    <t>Toner Preto High Yield</t>
  </si>
  <si>
    <t>PROD009</t>
  </si>
  <si>
    <t>Cabo HDMI 2.0 2m</t>
  </si>
  <si>
    <t>PROD010</t>
  </si>
  <si>
    <t>SSD 480GB SATA3</t>
  </si>
  <si>
    <t>PROD011</t>
  </si>
  <si>
    <t>Memoria RAM 8GB DDR4</t>
  </si>
  <si>
    <t>PROD012</t>
  </si>
  <si>
    <t>Webcam 1080p Business</t>
  </si>
  <si>
    <t>PROD013</t>
  </si>
  <si>
    <t>Headset com Microfone</t>
  </si>
  <si>
    <t>PROD014</t>
  </si>
  <si>
    <t>Roteador Wi-Fi 6</t>
  </si>
  <si>
    <t>PROD015</t>
  </si>
  <si>
    <t>Switch 24 Portas Giga</t>
  </si>
  <si>
    <t>PROD016</t>
  </si>
  <si>
    <t>Filtro de Linha 6 Tomadas</t>
  </si>
  <si>
    <t>PROD017</t>
  </si>
  <si>
    <t>Adaptador USB-C para HDMI</t>
  </si>
  <si>
    <t>PROD018</t>
  </si>
  <si>
    <t>HD Externo 1TB</t>
  </si>
  <si>
    <t>PROD019</t>
  </si>
  <si>
    <t>Suporte para Monitor Articulado</t>
  </si>
  <si>
    <t>PROD020</t>
  </si>
  <si>
    <t>Estabilizador 1000VA</t>
  </si>
  <si>
    <t>PROD021</t>
  </si>
  <si>
    <t>Pacote Office Business Anual</t>
  </si>
  <si>
    <t>PROD022</t>
  </si>
  <si>
    <t>Licenca Windows 11 Pro</t>
  </si>
  <si>
    <t>PROD023</t>
  </si>
  <si>
    <t>Antivirus Endpoint 1 Ano</t>
  </si>
  <si>
    <t>PROD024</t>
  </si>
  <si>
    <t>Assinatura Adobe CC Anual</t>
  </si>
  <si>
    <t>PROD025</t>
  </si>
  <si>
    <t>Software de Backup Cloud</t>
  </si>
  <si>
    <t>PROD026</t>
  </si>
  <si>
    <t>Mousepad Gamer Extra Large</t>
  </si>
  <si>
    <t>PROD027</t>
  </si>
  <si>
    <t>Hub USB 3.0 4 Portas</t>
  </si>
  <si>
    <t>PROD028</t>
  </si>
  <si>
    <t>Cabo de Rede Cat6 3m</t>
  </si>
  <si>
    <t>PROD029</t>
  </si>
  <si>
    <t>Caneta Digital para Tablet</t>
  </si>
  <si>
    <t>PROD030</t>
  </si>
  <si>
    <t>Mochila para Notebook 15.6</t>
  </si>
  <si>
    <t>PROD031</t>
  </si>
  <si>
    <t>Nobreak 1500VA Biz</t>
  </si>
  <si>
    <t>PROD032</t>
  </si>
  <si>
    <t>Base Resfriadora Notebook</t>
  </si>
  <si>
    <t>PROD033</t>
  </si>
  <si>
    <t>Pendrive 64GB USB 3.1</t>
  </si>
  <si>
    <t>PROD034</t>
  </si>
  <si>
    <t>Projetor Multimidia 4K</t>
  </si>
  <si>
    <t>PROD035</t>
  </si>
  <si>
    <t>Tela de Projecao 100 pol</t>
  </si>
  <si>
    <t>PROD036</t>
  </si>
  <si>
    <t>Mini PC Industrial i3</t>
  </si>
  <si>
    <t>PROD037</t>
  </si>
  <si>
    <t>Placa de Video 4GB</t>
  </si>
  <si>
    <t>PROD038</t>
  </si>
  <si>
    <t>Cooler Processador Universal</t>
  </si>
  <si>
    <t>PROD039</t>
  </si>
  <si>
    <t>Pasta Termica High Silver</t>
  </si>
  <si>
    <t>PROD040</t>
  </si>
  <si>
    <t>Bateria de CMOS CR2032</t>
  </si>
  <si>
    <t>PROD041</t>
  </si>
  <si>
    <t>Cartao de Memoria 128GB</t>
  </si>
  <si>
    <t>PROD042</t>
  </si>
  <si>
    <t>Docking Station Universal</t>
  </si>
  <si>
    <t>PROD043</t>
  </si>
  <si>
    <t>Kit Limpeza Telas</t>
  </si>
  <si>
    <t>PROD044</t>
  </si>
  <si>
    <t>Caixa de Som 2.0 USB</t>
  </si>
  <si>
    <t>PROD045</t>
  </si>
  <si>
    <t>Microfone de Mesa USB</t>
  </si>
  <si>
    <t>PROD046</t>
  </si>
  <si>
    <t>Organizador de Cabos Spiral</t>
  </si>
  <si>
    <t>PROD047</t>
  </si>
  <si>
    <t>Etiquetadora Termica</t>
  </si>
  <si>
    <t>PROD048</t>
  </si>
  <si>
    <t>Fita para Etiquetadora</t>
  </si>
  <si>
    <t>PROD049</t>
  </si>
  <si>
    <t>Scanner de Documentos</t>
  </si>
  <si>
    <t>PROD050</t>
  </si>
  <si>
    <t>Leitor de Codigo de Barras</t>
  </si>
  <si>
    <t>PROD051</t>
  </si>
  <si>
    <t>Papel A4 Report 500fls</t>
  </si>
  <si>
    <t>PROD052</t>
  </si>
  <si>
    <t>Clips Metalicos 33mm 100un</t>
  </si>
  <si>
    <t>PROD053</t>
  </si>
  <si>
    <t>Grampeador Ate 20 fls</t>
  </si>
  <si>
    <t>PROD054</t>
  </si>
  <si>
    <t>Caixa de Grampos 26/6</t>
  </si>
  <si>
    <t>PROD055</t>
  </si>
  <si>
    <t>Pasta Suspensa Kraft 10un</t>
  </si>
  <si>
    <t>PROD056</t>
  </si>
  <si>
    <t>Envelope Pardo A4 50un</t>
  </si>
  <si>
    <t>PROD057</t>
  </si>
  <si>
    <t>Caneta Esferografica Azul</t>
  </si>
  <si>
    <t>PROD058</t>
  </si>
  <si>
    <t>Caneta Esferografica Preta</t>
  </si>
  <si>
    <t>PROD059</t>
  </si>
  <si>
    <t>Lapiseira 0.7mm</t>
  </si>
  <si>
    <t>PROD060</t>
  </si>
  <si>
    <t>Grafite 0.7mm HB</t>
  </si>
  <si>
    <t>PROD061</t>
  </si>
  <si>
    <t>Borracha Branca Escolar</t>
  </si>
  <si>
    <t>PROD062</t>
  </si>
  <si>
    <t>Regua 30cm Acrilico</t>
  </si>
  <si>
    <t>PROD063</t>
  </si>
  <si>
    <t>Tesoura Multiuso</t>
  </si>
  <si>
    <t>PROD064</t>
  </si>
  <si>
    <t>Cola em Bastao 40g</t>
  </si>
  <si>
    <t>PROD065</t>
  </si>
  <si>
    <t>Fita Adesiva Transp 45x40</t>
  </si>
  <si>
    <t>PROD066</t>
  </si>
  <si>
    <t>Calculadora Cientifica</t>
  </si>
  <si>
    <t>PROD067</t>
  </si>
  <si>
    <t>Marcador de Texto Amarelo</t>
  </si>
  <si>
    <t>PROD068</t>
  </si>
  <si>
    <t>Quadro Branco 90x60</t>
  </si>
  <si>
    <t>PROD069</t>
  </si>
  <si>
    <t>Apagador para Quadro</t>
  </si>
  <si>
    <t>PROD070</t>
  </si>
  <si>
    <t>Marcador para Quadro Azul</t>
  </si>
  <si>
    <t>PROD071</t>
  </si>
  <si>
    <t>Bloco Auto-Adesivo 76x76</t>
  </si>
  <si>
    <t>PROD072</t>
  </si>
  <si>
    <t>Agenda Diaria Executiva</t>
  </si>
  <si>
    <t>PROD073</t>
  </si>
  <si>
    <t>Cracha de Identificacao</t>
  </si>
  <si>
    <t>PROD074</t>
  </si>
  <si>
    <t>Cordao para Cracha</t>
  </si>
  <si>
    <t>PROD075</t>
  </si>
  <si>
    <t>Suporte de Pasta Acrilico</t>
  </si>
  <si>
    <t>PROD076</t>
  </si>
  <si>
    <t>Fragmentadora de Papel</t>
  </si>
  <si>
    <t>PROD077</t>
  </si>
  <si>
    <t>Lixeira de Escritorio 10L</t>
  </si>
  <si>
    <t>PROD078</t>
  </si>
  <si>
    <t>Porta Canetas Telado</t>
  </si>
  <si>
    <t>PROD079</t>
  </si>
  <si>
    <t>Maleta para Documentos</t>
  </si>
  <si>
    <t>PROD080</t>
  </si>
  <si>
    <t>Quadro de Avisos Cortica</t>
  </si>
  <si>
    <t>PROD081</t>
  </si>
  <si>
    <t>Servidor Rack 1U</t>
  </si>
  <si>
    <t>PROD082</t>
  </si>
  <si>
    <t>HD SAS 600GB 15K</t>
  </si>
  <si>
    <t>PROD083</t>
  </si>
  <si>
    <t>Memoria Server 32GB ECC</t>
  </si>
  <si>
    <t>PROD084</t>
  </si>
  <si>
    <t>Placa de Rede Fibra 10G</t>
  </si>
  <si>
    <t>PROD085</t>
  </si>
  <si>
    <t>Cabo Optico Patch Cord 3m</t>
  </si>
  <si>
    <t>PROD086</t>
  </si>
  <si>
    <t>Transceiver SFP+ 10G</t>
  </si>
  <si>
    <t>PROD087</t>
  </si>
  <si>
    <t>Patch Panel 24 Portas</t>
  </si>
  <si>
    <t>PROD088</t>
  </si>
  <si>
    <t>Guia de Cabos Horizontal</t>
  </si>
  <si>
    <t>PROD089</t>
  </si>
  <si>
    <t>Rack de Parede 9U</t>
  </si>
  <si>
    <t>PROD090</t>
  </si>
  <si>
    <t>Bandeja Fixa para Rack</t>
  </si>
  <si>
    <t>PROD091</t>
  </si>
  <si>
    <t>Unidade LTO-8 Backup</t>
  </si>
  <si>
    <t>PROD092</t>
  </si>
  <si>
    <t>Fita LTO-8 Ultrium</t>
  </si>
  <si>
    <t>PROD093</t>
  </si>
  <si>
    <t>KVM Switch 4 Portas</t>
  </si>
  <si>
    <t>PROD094</t>
  </si>
  <si>
    <t>Exaustor para Rack</t>
  </si>
  <si>
    <t>PROD095</t>
  </si>
  <si>
    <t>Controladora RAID PCIe</t>
  </si>
  <si>
    <t>PROD096</t>
  </si>
  <si>
    <t>Sensor de Temperatura IP</t>
  </si>
  <si>
    <t>PROD097</t>
  </si>
  <si>
    <t>Câmera IP PoE Dome</t>
  </si>
  <si>
    <t>PROD098</t>
  </si>
  <si>
    <t>Gravador NVR 8 Canais</t>
  </si>
  <si>
    <t>PROD099</t>
  </si>
  <si>
    <t>HD SkyHawk 4TB (CFTV)</t>
  </si>
  <si>
    <t>PROD100</t>
  </si>
  <si>
    <t>Injetor PoE Gigabit</t>
  </si>
  <si>
    <t>PROD101</t>
  </si>
  <si>
    <t>Monitor 27 pol 4K</t>
  </si>
  <si>
    <t>PROD102</t>
  </si>
  <si>
    <t>Teclado Wireless Logi</t>
  </si>
  <si>
    <t>PROD103</t>
  </si>
  <si>
    <t>Mouse Gamer 12000 DPI</t>
  </si>
  <si>
    <t>PROD104</t>
  </si>
  <si>
    <t>Suporte Notebook Articulado</t>
  </si>
  <si>
    <t>PROD105</t>
  </si>
  <si>
    <t>Notebook i3 8GB SSD</t>
  </si>
  <si>
    <t>PROD106</t>
  </si>
  <si>
    <t>MacBook Air M2 13p</t>
  </si>
  <si>
    <t>PROD107</t>
  </si>
  <si>
    <t>Impressora Termica Cupom</t>
  </si>
  <si>
    <t>PROD108</t>
  </si>
  <si>
    <t>Toner Colorido (Kit 4)</t>
  </si>
  <si>
    <t>PROD109</t>
  </si>
  <si>
    <t>Cabo DisplayPort 1.4</t>
  </si>
  <si>
    <t>PROD110</t>
  </si>
  <si>
    <t>SSD M.2 NVMe 1TB</t>
  </si>
  <si>
    <t>PROD111</t>
  </si>
  <si>
    <t>Memoria Notebook 16GB</t>
  </si>
  <si>
    <t>PROD112</t>
  </si>
  <si>
    <t>Webcam 4K Streaming</t>
  </si>
  <si>
    <t>PROD113</t>
  </si>
  <si>
    <t>Headphone Bluetooth NoiseC</t>
  </si>
  <si>
    <t>PROD114</t>
  </si>
  <si>
    <t>Access Point Corporativo</t>
  </si>
  <si>
    <t>PROD115</t>
  </si>
  <si>
    <t>Switch Poe 8 Portas</t>
  </si>
  <si>
    <t>PROD116</t>
  </si>
  <si>
    <t>Protetor Eletronico 8 Tom</t>
  </si>
  <si>
    <t>PROD117</t>
  </si>
  <si>
    <t>Adaptador Wi-Fi USB 5G</t>
  </si>
  <si>
    <t>PROD118</t>
  </si>
  <si>
    <t>Case para HD Externo 2.5</t>
  </si>
  <si>
    <t>PROD119</t>
  </si>
  <si>
    <t>Suporte CPU com Rodas</t>
  </si>
  <si>
    <t>PROD120</t>
  </si>
  <si>
    <t>Conversor de Midia Fibra</t>
  </si>
  <si>
    <t>PROD121</t>
  </si>
  <si>
    <t>Licenca SQL Server Standard</t>
  </si>
  <si>
    <t>PROD122</t>
  </si>
  <si>
    <t>Windows Server 2022 CAL</t>
  </si>
  <si>
    <t>PROD123</t>
  </si>
  <si>
    <t>Assinatura Zoom Business</t>
  </si>
  <si>
    <t>PROD124</t>
  </si>
  <si>
    <t>Ferramenta BI Assinatura</t>
  </si>
  <si>
    <t>PROD125</t>
  </si>
  <si>
    <t>Licenca Firewall Sophos</t>
  </si>
  <si>
    <t>PROD126</t>
  </si>
  <si>
    <t>Mouse Ergonomico Vertical</t>
  </si>
  <si>
    <t>PROD127</t>
  </si>
  <si>
    <t>Hub USB-C 7 em 1</t>
  </si>
  <si>
    <t>PROD128</t>
  </si>
  <si>
    <t>Cabo de Rede Cat5e 5m</t>
  </si>
  <si>
    <t>PROD129</t>
  </si>
  <si>
    <t>Mesa Digitalizadora Media</t>
  </si>
  <si>
    <t>PROD130</t>
  </si>
  <si>
    <t>Maleta Rigida Notebook</t>
  </si>
  <si>
    <t>PROD131</t>
  </si>
  <si>
    <t>Bateria Nobreak 12V 7Ah</t>
  </si>
  <si>
    <t>PROD132</t>
  </si>
  <si>
    <t>Cooler para Gabinete 120mm</t>
  </si>
  <si>
    <t>PROD133</t>
  </si>
  <si>
    <t>Pendrive 128GB Metal</t>
  </si>
  <si>
    <t>PROD134</t>
  </si>
  <si>
    <t>Suporte Projetor Teto</t>
  </si>
  <si>
    <t>PROD135</t>
  </si>
  <si>
    <t>Ponteira Laser Apresentador</t>
  </si>
  <si>
    <t>PROD136</t>
  </si>
  <si>
    <t>Gabinete ATX Mid Tower</t>
  </si>
  <si>
    <t>PROD137</t>
  </si>
  <si>
    <t>Fonte ATX 600W 80 Plus</t>
  </si>
  <si>
    <t>PROD138</t>
  </si>
  <si>
    <t>Placa Mae B550M</t>
  </si>
  <si>
    <t>PROD139</t>
  </si>
  <si>
    <t>SSD Externo Portatil 500GB</t>
  </si>
  <si>
    <t>PROD140</t>
  </si>
  <si>
    <t>Leitor Cartao de Memoria</t>
  </si>
  <si>
    <t>PROD141</t>
  </si>
  <si>
    <t>Filtro Privacidade 14pol</t>
  </si>
  <si>
    <t>PROD142</t>
  </si>
  <si>
    <t>Trava de Seguranca Note</t>
  </si>
  <si>
    <t>PROD143</t>
  </si>
  <si>
    <t>Spray Limpa Contatos</t>
  </si>
  <si>
    <t>PROD144</t>
  </si>
  <si>
    <t>Ar Comprimido Limpeza</t>
  </si>
  <si>
    <t>PROD145</t>
  </si>
  <si>
    <t>Pulseira Antiestatica</t>
  </si>
  <si>
    <t>PROD146</t>
  </si>
  <si>
    <t>Alicate de Crimpagem RJ45</t>
  </si>
  <si>
    <t>PROD147</t>
  </si>
  <si>
    <t>Testador de Cabo de Rede</t>
  </si>
  <si>
    <t>PROD148</t>
  </si>
  <si>
    <t>Decapador de Cabos</t>
  </si>
  <si>
    <t>PROD149</t>
  </si>
  <si>
    <t>Multimetro Digital</t>
  </si>
  <si>
    <t>PROD150</t>
  </si>
  <si>
    <t>Lanterna de Led Inspeção</t>
  </si>
  <si>
    <t>PROD151</t>
  </si>
  <si>
    <t>Papel Fotografico A4 20fls</t>
  </si>
  <si>
    <t>PROD152</t>
  </si>
  <si>
    <t>Bloco de Notas Espiral</t>
  </si>
  <si>
    <t>PROD153</t>
  </si>
  <si>
    <t>Tesoura de Picotar</t>
  </si>
  <si>
    <t>PROD154</t>
  </si>
  <si>
    <t>Estilete Largo Profissional</t>
  </si>
  <si>
    <t>PROD155</t>
  </si>
  <si>
    <t>Lâmina Estilete 10un</t>
  </si>
  <si>
    <t>PROD156</t>
  </si>
  <si>
    <t>Perfurador 2 Furos 40fls</t>
  </si>
  <si>
    <t>PROD157</t>
  </si>
  <si>
    <t>Fita Dupla Face 3M</t>
  </si>
  <si>
    <t>PROD158</t>
  </si>
  <si>
    <t>Extrator de Grampos</t>
  </si>
  <si>
    <t>PROD159</t>
  </si>
  <si>
    <t>Elastico de Borracha 100g</t>
  </si>
  <si>
    <t>PROD160</t>
  </si>
  <si>
    <t>Alfinete para Quadro 50un</t>
  </si>
  <si>
    <t>PROD161</t>
  </si>
  <si>
    <t>Prancheta Oficio Madeira</t>
  </si>
  <si>
    <t>PROD162</t>
  </si>
  <si>
    <t>Organizador de Mesa Acril</t>
  </si>
  <si>
    <t>PROD163</t>
  </si>
  <si>
    <t>Porta Recados Aramado</t>
  </si>
  <si>
    <t>PROD164</t>
  </si>
  <si>
    <t>Carimbo Datador Autom</t>
  </si>
  <si>
    <t>PROD165</t>
  </si>
  <si>
    <t>Almofada para Carimbo</t>
  </si>
  <si>
    <t>PROD166</t>
  </si>
  <si>
    <t>Tinta para Carimbo 30ml</t>
  </si>
  <si>
    <t>PROD167</t>
  </si>
  <si>
    <t>Pasta L Transparente 10un</t>
  </si>
  <si>
    <t>PROD168</t>
  </si>
  <si>
    <t>Pasta Catalogo 50 Envelopes</t>
  </si>
  <si>
    <t>PROD169</t>
  </si>
  <si>
    <t>Arquivo Morto Papelao</t>
  </si>
  <si>
    <t>PROD170</t>
  </si>
  <si>
    <t>Caixa Organizadora 20L</t>
  </si>
  <si>
    <t>PROD171</t>
  </si>
  <si>
    <t>Calculadora de Mesa 12 Dig</t>
  </si>
  <si>
    <t>PROD172</t>
  </si>
  <si>
    <t>Grampeador de Tapeceiro</t>
  </si>
  <si>
    <t>PROD173</t>
  </si>
  <si>
    <t>Fita para Empacotamento</t>
  </si>
  <si>
    <t>PROD174</t>
  </si>
  <si>
    <t>Filme Stretch Manual 50cm</t>
  </si>
  <si>
    <t>PROD175</t>
  </si>
  <si>
    <t>Plastico Bolha 1.2x50m</t>
  </si>
  <si>
    <t>PROD176</t>
  </si>
  <si>
    <t>Envelope Bolha A4 10un</t>
  </si>
  <si>
    <t>PROD177</t>
  </si>
  <si>
    <t>Estante de Aco 6 Prateiras</t>
  </si>
  <si>
    <t>PROD178</t>
  </si>
  <si>
    <t>Armario de Aco 2 Portas</t>
  </si>
  <si>
    <t>PROD179</t>
  </si>
  <si>
    <t>Mesa de Reuniao 2.0m</t>
  </si>
  <si>
    <t>PROD180</t>
  </si>
  <si>
    <t>Gaveteiro 3 Gavetas</t>
  </si>
  <si>
    <t>PROD181</t>
  </si>
  <si>
    <t>Servidor Tower i3 16GB</t>
  </si>
  <si>
    <t>PROD182</t>
  </si>
  <si>
    <t>Fonte Redundante 750W</t>
  </si>
  <si>
    <t>PROD183</t>
  </si>
  <si>
    <t>Placa de Rede Quad Port</t>
  </si>
  <si>
    <t>PROD184</t>
  </si>
  <si>
    <t>Cabo Serial Console</t>
  </si>
  <si>
    <t>PROD185</t>
  </si>
  <si>
    <t>PDU Básica 12 Tomadas</t>
  </si>
  <si>
    <t>PROD186</t>
  </si>
  <si>
    <t>KVM Console Gaveta 17</t>
  </si>
  <si>
    <t>PROD187</t>
  </si>
  <si>
    <t>Trilho para Servidor Univ</t>
  </si>
  <si>
    <t>PROD188</t>
  </si>
  <si>
    <t>Chassis para Media Conv</t>
  </si>
  <si>
    <t>PROD189</t>
  </si>
  <si>
    <t>Switch Core Layer 3</t>
  </si>
  <si>
    <t>PROD190</t>
  </si>
  <si>
    <t>Firewall Hardware Mid</t>
  </si>
  <si>
    <t>PROD191</t>
  </si>
  <si>
    <t>Antena Wi-Fi High Gain</t>
  </si>
  <si>
    <t>PROD192</t>
  </si>
  <si>
    <t>Protetor Surto Coaxial</t>
  </si>
  <si>
    <t>PROD193</t>
  </si>
  <si>
    <t>Mini Rack 6U Parede</t>
  </si>
  <si>
    <t>PROD194</t>
  </si>
  <si>
    <t>Patch Cord Cat6a 2m</t>
  </si>
  <si>
    <t>PROD195</t>
  </si>
  <si>
    <t>Terminador Optico</t>
  </si>
  <si>
    <t>PROD196</t>
  </si>
  <si>
    <t>Kit Chaves Precisao</t>
  </si>
  <si>
    <t>PROD197</t>
  </si>
  <si>
    <t>Soprador Térmico 1800W</t>
  </si>
  <si>
    <t>PROD198</t>
  </si>
  <si>
    <t>Ferro de Solda 40W</t>
  </si>
  <si>
    <t>PROD199</t>
  </si>
  <si>
    <t>Sugador de Solda</t>
  </si>
  <si>
    <t>PROD200</t>
  </si>
  <si>
    <t>Estacao de Solda Prof</t>
  </si>
  <si>
    <t>ID_Transacao</t>
  </si>
  <si>
    <t>T0001</t>
  </si>
  <si>
    <t>Saida</t>
  </si>
  <si>
    <t>T0002</t>
  </si>
  <si>
    <t>Entrada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</si>
  <si>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</si>
  <si>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</si>
  <si>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</si>
  <si>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</si>
  <si>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</si>
  <si>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</si>
  <si>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</si>
  <si>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</si>
  <si>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</si>
  <si>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</si>
  <si>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</si>
  <si>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</si>
  <si>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</si>
  <si>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</si>
  <si>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</si>
  <si>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</si>
  <si>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</si>
  <si>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</si>
  <si>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Nome da Entidade</t>
  </si>
  <si>
    <t>Valor Unitário</t>
  </si>
  <si>
    <t>Tipo Fluxo</t>
  </si>
  <si>
    <t>ID Entidade</t>
  </si>
  <si>
    <t>ID Produto</t>
  </si>
  <si>
    <t>Valor Total</t>
  </si>
  <si>
    <t>Status Financeiro</t>
  </si>
  <si>
    <t>Status Logistico</t>
  </si>
  <si>
    <t>Entradas</t>
  </si>
  <si>
    <t>Saídas</t>
  </si>
  <si>
    <t>Status de Reposição</t>
  </si>
  <si>
    <t>Previsão de Entrega</t>
  </si>
  <si>
    <t>Inadiplência</t>
  </si>
  <si>
    <t>Bloqueado</t>
  </si>
  <si>
    <t>Atualização randômica para as movimentações com ID entre T0021 a T1020</t>
  </si>
  <si>
    <t>Saldo Atual</t>
  </si>
  <si>
    <t>Rótulos de Linha</t>
  </si>
  <si>
    <t>Total Geral</t>
  </si>
  <si>
    <t>Soma de Valor Total</t>
  </si>
  <si>
    <t>Descrição do Produto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</si>
  <si>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</si>
  <si>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</si>
  <si>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</si>
  <si>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</si>
  <si>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</si>
  <si>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</si>
  <si>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</si>
  <si>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</si>
  <si>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</si>
  <si>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</si>
  <si>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</si>
  <si>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</si>
  <si>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Contas a Receber</t>
  </si>
  <si>
    <t>Total Saida</t>
  </si>
  <si>
    <t>Faturamento</t>
  </si>
  <si>
    <t xml:space="preserve">Faturamento </t>
  </si>
  <si>
    <t>Manter Bloqueado para atualizar  o Dashbard!</t>
  </si>
  <si>
    <r>
      <t>Ctrl + Alt + F5</t>
    </r>
    <r>
      <rPr>
        <sz val="12"/>
        <color rgb="FFC00000"/>
        <rFont val="Aptos Narrow"/>
        <family val="2"/>
        <scheme val="minor"/>
      </rPr>
      <t xml:space="preserve"> (Atualiza todas as conexões e tabelas do arquivo de uma vez só).</t>
    </r>
  </si>
  <si>
    <t>Contagem de ID_Transacao</t>
  </si>
  <si>
    <t>Estoque OK</t>
  </si>
  <si>
    <t>COMPRAR URGENTE</t>
  </si>
  <si>
    <t>Contagem de ID_Produto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</si>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</sst>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C00000"/>
      <name val="Arial Unicode MS"/>
    </font>
    <font>
      <sz val="12"/>
      <color rgb="FFC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1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14" fontId="0" fillId="0" borderId="0" xfId="0" applyNumberFormat="1" applyAlignment="1">
      <alignment horizontal="right"/>
    </xf>
    <xf numFmtId="0" fontId="2" fillId="2" borderId="2" xfId="0" applyFont="1" applyFill="1" applyBorder="1"/>
    <xf numFmtId="0" fontId="0" fillId="0" borderId="3" xfId="0" applyBorder="1"/>
    <xf numFmtId="164" fontId="0" fillId="3" borderId="1" xfId="0" applyNumberFormat="1" applyFill="1" applyBorder="1"/>
    <xf numFmtId="164" fontId="0" fillId="0" borderId="1" xfId="0" applyNumberFormat="1" applyBorder="1"/>
    <xf numFmtId="164" fontId="2" fillId="2" borderId="2" xfId="0" applyNumberFormat="1" applyFont="1" applyFill="1" applyBorder="1"/>
    <xf numFmtId="164" fontId="0" fillId="0" borderId="3" xfId="0" applyNumberFormat="1" applyBorder="1"/>
    <xf numFmtId="0" fontId="0" fillId="3" borderId="3" xfId="0" applyFill="1" applyBorder="1"/>
    <xf numFmtId="0" fontId="2" fillId="2" borderId="0" xfId="0" applyFont="1" applyFill="1"/>
    <xf numFmtId="0" fontId="3" fillId="0" borderId="0" xfId="0" applyFont="1" applyAlignment="1">
      <alignment vertical="center"/>
    </xf>
    <xf numFmtId="0" fontId="3" fillId="5" borderId="4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0" fillId="0" borderId="0" xfId="0" applyNumberFormat="1"/>
  </cellXfs>
  <cellStyles count="2">
    <cellStyle name="Moeda" xfId="1" builtinId="4"/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Fluxo Caixa</c:name>
    <c:fmtId val="1"/>
  </c:pivotSource>
  <c:chart>
    <c:title>
      <c:tx>
        <c:strRef>
          <c:f>CALCULUS!$A$13</c:f>
          <c:strCache>
            <c:ptCount val="1"/>
            <c:pt idx="0">
              <c:v>Fluxo de Caixa (Total)</c:v>
            </c:pt>
          </c:strCache>
        </c:strRef>
      </c:tx>
      <c:layout>
        <c:manualLayout>
          <c:xMode val="edge"/>
          <c:yMode val="edge"/>
          <c:x val="0.3465802689215039"/>
          <c:y val="5.81437736949547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25"/>
              <c:y val="-0.120370370370370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0277777777777779"/>
              <c:y val="-9.2592592592592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23333333333333334"/>
              <c:y val="5.55555555555553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98421232273552"/>
              <c:y val="-0.1018518518518518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5738B95-36B9-4C50-A501-571598860603}" type="VALUE">
                  <a:rPr lang="en-US"/>
                  <a:pPr>
                    <a:defRPr/>
                  </a:pPr>
                  <a:t>[VALOR]</a:t>
                </a:fld>
                <a:endParaRPr lang="en-US"/>
              </a:p>
              <a:p>
                <a:pPr>
                  <a:defRPr/>
                </a:pPr>
                <a:r>
                  <a:rPr lang="en-US"/>
                  <a:t>(</a:t>
                </a:r>
                <a:fld id="{8887FB3F-3333-46D1-87CA-4EE8B75718CD}" type="PERCENTAGE">
                  <a:rPr lang="en-US"/>
                  <a:pPr>
                    <a:defRPr/>
                  </a:pPr>
                  <a:t>[PORCENTAGEM]</a:t>
                </a:fld>
                <a:r>
                  <a:rPr lang="en-US"/>
                  <a:t>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60792893207125"/>
              <c:y val="-9.259259259259258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94865F4-3F8E-4ECB-A230-EBF64B045726}" type="VALUE">
                  <a:rPr lang="en-US"/>
                  <a:pPr>
                    <a:defRPr/>
                  </a:pPr>
                  <a:t>[VALOR]</a:t>
                </a:fld>
                <a:endParaRPr lang="en-US"/>
              </a:p>
              <a:p>
                <a:pPr>
                  <a:defRPr/>
                </a:pPr>
                <a:r>
                  <a:rPr lang="en-US"/>
                  <a:t>(</a:t>
                </a:r>
                <a:fld id="{85B4E13A-5DAD-45D5-853D-038374759E85}" type="PERCENTAGE">
                  <a:rPr lang="en-US"/>
                  <a:pPr>
                    <a:defRPr/>
                  </a:pPr>
                  <a:t>[PORCENTAGEM]</a:t>
                </a:fld>
                <a:r>
                  <a:rPr lang="en-US"/>
                  <a:t>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932890244069"/>
              <c:y val="0.1481481481481481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9144A5E-0973-4823-8B5F-F22C2E976897}" type="VALUE">
                  <a:rPr lang="en-US"/>
                  <a:pPr>
                    <a:defRPr/>
                  </a:pPr>
                  <a:t>[VALOR]</a:t>
                </a:fld>
                <a:endParaRPr lang="en-US"/>
              </a:p>
              <a:p>
                <a:pPr>
                  <a:defRPr/>
                </a:pPr>
                <a:r>
                  <a:rPr lang="en-US"/>
                  <a:t>(</a:t>
                </a:r>
                <a:fld id="{E68D99DA-B78A-4E33-A4A9-627897D164B5}" type="PERCENTAGE">
                  <a:rPr lang="en-US"/>
                  <a:pPr>
                    <a:defRPr/>
                  </a:pPr>
                  <a:t>[PORCENTAGEM]</a:t>
                </a:fld>
                <a:r>
                  <a:rPr lang="en-US"/>
                  <a:t>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CALCULUS!$A$13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B-427B-AD2F-C9B59D420D7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7F-4BEA-A7FA-FB1699C04C9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F7F-4BEA-A7FA-FB1699C04C96}"/>
              </c:ext>
            </c:extLst>
          </c:dPt>
          <c:dLbls>
            <c:dLbl>
              <c:idx val="0"/>
              <c:layout>
                <c:manualLayout>
                  <c:x val="0.1360792893207125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494865F4-3F8E-4ECB-A230-EBF64B045726}" type="VALUE">
                      <a:rPr lang="en-US"/>
                      <a:pPr/>
                      <a:t>[VALOR]</a:t>
                    </a:fld>
                    <a:endParaRPr lang="en-US"/>
                  </a:p>
                  <a:p>
                    <a:r>
                      <a:rPr lang="en-US"/>
                      <a:t>(</a:t>
                    </a:r>
                    <a:fld id="{85B4E13A-5DAD-45D5-853D-038374759E85}" type="PERCENTAGE">
                      <a:rPr lang="en-US"/>
                      <a:pPr/>
                      <a:t>[PORCENTAGEM]</a:t>
                    </a:fld>
                    <a:r>
                      <a:rPr lang="en-US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2DB-427B-AD2F-C9B59D420D73}"/>
                </c:ext>
              </c:extLst>
            </c:dLbl>
            <c:dLbl>
              <c:idx val="1"/>
              <c:layout>
                <c:manualLayout>
                  <c:x val="0.14166932890244069"/>
                  <c:y val="0.14814814814814814"/>
                </c:manualLayout>
              </c:layout>
              <c:tx>
                <c:rich>
                  <a:bodyPr/>
                  <a:lstStyle/>
                  <a:p>
                    <a:fld id="{89144A5E-0973-4823-8B5F-F22C2E976897}" type="VALUE">
                      <a:rPr lang="en-US"/>
                      <a:pPr/>
                      <a:t>[VALOR]</a:t>
                    </a:fld>
                    <a:endParaRPr lang="en-US"/>
                  </a:p>
                  <a:p>
                    <a:r>
                      <a:rPr lang="en-US"/>
                      <a:t>(</a:t>
                    </a:r>
                    <a:fld id="{E68D99DA-B78A-4E33-A4A9-627897D164B5}" type="PERCENTAGE">
                      <a:rPr lang="en-US"/>
                      <a:pPr/>
                      <a:t>[PORCENTAGEM]</a:t>
                    </a:fld>
                    <a:r>
                      <a:rPr lang="en-US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6F7F-4BEA-A7FA-FB1699C04C96}"/>
                </c:ext>
              </c:extLst>
            </c:dLbl>
            <c:dLbl>
              <c:idx val="2"/>
              <c:layout>
                <c:manualLayout>
                  <c:x val="-0.12498421232273552"/>
                  <c:y val="-0.10185185185185185"/>
                </c:manualLayout>
              </c:layout>
              <c:tx>
                <c:rich>
                  <a:bodyPr/>
                  <a:lstStyle/>
                  <a:p>
                    <a:fld id="{C5738B95-36B9-4C50-A501-571598860603}" type="VALUE">
                      <a:rPr lang="en-US"/>
                      <a:pPr/>
                      <a:t>[VALOR]</a:t>
                    </a:fld>
                    <a:endParaRPr lang="en-US"/>
                  </a:p>
                  <a:p>
                    <a:r>
                      <a:rPr lang="en-US"/>
                      <a:t>(</a:t>
                    </a:r>
                    <a:fld id="{8887FB3F-3333-46D1-87CA-4EE8B75718CD}" type="PERCENTAGE">
                      <a:rPr lang="en-US"/>
                      <a:pPr/>
                      <a:t>[PORCENTAGEM]</a:t>
                    </a:fld>
                    <a:r>
                      <a:rPr lang="en-US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6F7F-4BEA-A7FA-FB1699C04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CALCULUS!$A$13</c:f>
              <c:strCache>
                <c:ptCount val="3"/>
                <c:pt idx="0">
                  <c:v>Pendente</c:v>
                </c:pt>
                <c:pt idx="1">
                  <c:v>Pago</c:v>
                </c:pt>
                <c:pt idx="2">
                  <c:v>Atrasado</c:v>
                </c:pt>
              </c:strCache>
            </c:strRef>
          </c:cat>
          <c:val>
            <c:numRef>
              <c:f>CALCULUS!$A$13</c:f>
              <c:numCache>
                <c:formatCode>_-[$R$-416]\ * #,##0.00_-;\-[$R$-416]\ * #,##0.00_-;_-[$R$-416]\ * "-"??_-;_-@_-</c:formatCode>
                <c:ptCount val="3"/>
                <c:pt idx="0">
                  <c:v>9530099</c:v>
                </c:pt>
                <c:pt idx="1">
                  <c:v>12729245</c:v>
                </c:pt>
                <c:pt idx="2">
                  <c:v>9375288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7F-4BEA-A7FA-FB1699C04C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Faturamento Mensal</c:name>
    <c:fmtId val="16"/>
  </c:pivotSource>
  <c:chart>
    <c:title>
      <c:tx>
        <c:strRef>
          <c:f>CALCULUS!$H$18</c:f>
          <c:strCache>
            <c:ptCount val="1"/>
            <c:pt idx="0">
              <c:v>Evolução do Faturamento Mensal (Total)</c:v>
            </c:pt>
          </c:strCache>
        </c:strRef>
      </c:tx>
      <c:layout>
        <c:manualLayout>
          <c:xMode val="edge"/>
          <c:yMode val="edge"/>
          <c:x val="0.28477777777777774"/>
          <c:y val="8.4161318358307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CALCULUS!$H$18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CALCULUS!$H$18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CALCULUS!$H$18</c:f>
              <c:numCache>
                <c:formatCode>_-[$R$-416]\ * #,##0.00_-;\-[$R$-416]\ * #,##0.00_-;_-[$R$-416]\ * "-"??_-;_-@_-</c:formatCode>
                <c:ptCount val="12"/>
                <c:pt idx="0">
                  <c:v>2472515.5</c:v>
                </c:pt>
                <c:pt idx="1">
                  <c:v>3714283.5</c:v>
                </c:pt>
                <c:pt idx="2">
                  <c:v>4557761</c:v>
                </c:pt>
                <c:pt idx="3">
                  <c:v>5348226.5</c:v>
                </c:pt>
                <c:pt idx="4">
                  <c:v>2254123.5</c:v>
                </c:pt>
                <c:pt idx="5">
                  <c:v>1429261.5</c:v>
                </c:pt>
                <c:pt idx="6">
                  <c:v>2326359.5</c:v>
                </c:pt>
                <c:pt idx="7">
                  <c:v>1505276.5</c:v>
                </c:pt>
                <c:pt idx="8">
                  <c:v>604122</c:v>
                </c:pt>
                <c:pt idx="9">
                  <c:v>3713712.5</c:v>
                </c:pt>
                <c:pt idx="10">
                  <c:v>1276103.5</c:v>
                </c:pt>
                <c:pt idx="11">
                  <c:v>2432886.5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82-43FE-8425-19E41B942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906927"/>
        <c:axId val="1292911247"/>
      </c:lineChart>
      <c:catAx>
        <c:axId val="129290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911247"/>
        <c:crosses val="autoZero"/>
        <c:auto val="1"/>
        <c:lblAlgn val="ctr"/>
        <c:lblOffset val="100"/>
        <c:noMultiLvlLbl val="0"/>
      </c:catAx>
      <c:valAx>
        <c:axId val="12929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90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Produtos Rentaveis</c:name>
    <c:fmtId val="10"/>
  </c:pivotSource>
  <c:chart>
    <c:title>
      <c:tx>
        <c:strRef>
          <c:f>CALCULUS!$S$14</c:f>
          <c:strCache>
            <c:ptCount val="1"/>
            <c:pt idx="0">
              <c:v>Ranking de Receita por Produto (Total)</c:v>
            </c:pt>
          </c:strCache>
        </c:strRef>
      </c:tx>
      <c:layout>
        <c:manualLayout>
          <c:xMode val="edge"/>
          <c:yMode val="edge"/>
          <c:x val="0.31292069361776209"/>
          <c:y val="0.1085857898509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CALCULUS!$S$14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CALCULUS!$S$14</c:f>
              <c:strCache>
                <c:ptCount val="5"/>
                <c:pt idx="0">
                  <c:v>Unidade LTO-8 Backup</c:v>
                </c:pt>
                <c:pt idx="1">
                  <c:v>Firewall Hardware Mid</c:v>
                </c:pt>
                <c:pt idx="2">
                  <c:v>Servidor Rack 1U</c:v>
                </c:pt>
                <c:pt idx="3">
                  <c:v>KVM Console Gaveta 17</c:v>
                </c:pt>
                <c:pt idx="4">
                  <c:v>Assinatura Adobe CC Anual</c:v>
                </c:pt>
              </c:strCache>
            </c:strRef>
          </c:cat>
          <c:val>
            <c:numRef>
              <c:f>CALCULUS!$S$14</c:f>
              <c:numCache>
                <c:formatCode>_-[$R$-416]\ * #,##0.00_-;\-[$R$-416]\ * #,##0.00_-;_-[$R$-416]\ * "-"??_-;_-@_-</c:formatCode>
                <c:ptCount val="5"/>
                <c:pt idx="0">
                  <c:v>4424000</c:v>
                </c:pt>
                <c:pt idx="1">
                  <c:v>2023000</c:v>
                </c:pt>
                <c:pt idx="2">
                  <c:v>2012500</c:v>
                </c:pt>
                <c:pt idx="3">
                  <c:v>1978800</c:v>
                </c:pt>
                <c:pt idx="4">
                  <c:v>1317600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7-426D-894F-88E08654B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4055999"/>
        <c:axId val="1324056959"/>
      </c:barChart>
      <c:catAx>
        <c:axId val="132405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056959"/>
        <c:crosses val="autoZero"/>
        <c:auto val="1"/>
        <c:lblAlgn val="ctr"/>
        <c:lblOffset val="100"/>
        <c:noMultiLvlLbl val="0"/>
      </c:catAx>
      <c:valAx>
        <c:axId val="1324056959"/>
        <c:scaling>
          <c:orientation val="minMax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05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</c:name>
    <c:fmtId val="16"/>
  </c:pivotSource>
  <c:chart>
    <c:title>
      <c:tx>
        <c:strRef>
          <c:f>CALCULUS!$A$35</c:f>
          <c:strCache>
            <c:ptCount val="1"/>
            <c:pt idx="0">
              <c:v>Monitoramento de Pedidos e Entregas (Total)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CALCULUS!$A$35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CALCULUS!$A$35</c:f>
              <c:strCache>
                <c:ptCount val="3"/>
                <c:pt idx="0">
                  <c:v>Aguardando</c:v>
                </c:pt>
                <c:pt idx="1">
                  <c:v>Em Rota</c:v>
                </c:pt>
                <c:pt idx="2">
                  <c:v>Entregue</c:v>
                </c:pt>
              </c:strCache>
            </c:strRef>
          </c:cat>
          <c:val>
            <c:numRef>
              <c:f>CALCULUS!$A$35</c:f>
              <c:numCache>
                <c:formatCode>General</c:formatCode>
                <c:ptCount val="3"/>
                <c:pt idx="0">
                  <c:v>346</c:v>
                </c:pt>
                <c:pt idx="1">
                  <c:v>317</c:v>
                </c:pt>
                <c:pt idx="2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F-495A-8A7E-43E472093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565664"/>
        <c:axId val="1450566144"/>
      </c:barChart>
      <c:catAx>
        <c:axId val="14505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566144"/>
        <c:crosses val="autoZero"/>
        <c:auto val="1"/>
        <c:lblAlgn val="ctr"/>
        <c:lblOffset val="100"/>
        <c:noMultiLvlLbl val="0"/>
      </c:catAx>
      <c:valAx>
        <c:axId val="14505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5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Status Reposicao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de Reposição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147991480303705E-2"/>
              <c:y val="4.352892788593350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479B99-5463-4DD8-ADE5-3C779C038059}" type="VALUE">
                  <a:rPr lang="en-US" baseline="0"/>
                  <a:pPr>
                    <a:defRPr/>
                  </a:pPr>
                  <a:t>[VALOR]</a:t>
                </a:fld>
                <a:r>
                  <a:rPr lang="en-US" baseline="0"/>
                  <a:t> (</a:t>
                </a:r>
                <a:fld id="{224C839D-DEFB-4A6E-BE62-6D2ADAF8BAF5}" type="PERCENTAGE">
                  <a:rPr lang="en-US" baseline="0"/>
                  <a:pPr>
                    <a:defRPr/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473313712796687E-2"/>
              <c:y val="-1.447163693273581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978AF38-ABD5-4012-9F59-D7F5AD274B8E}" type="VALUE">
                  <a:rPr lang="en-US" baseline="0"/>
                  <a:pPr>
                    <a:defRPr/>
                  </a:pPr>
                  <a:t>[VALOR]</a:t>
                </a:fld>
                <a:r>
                  <a:rPr lang="en-US" baseline="0"/>
                  <a:t> (</a:t>
                </a:r>
                <a:fld id="{FEEA18B5-FCC9-4FA6-A643-83E07E620B52}" type="PERCENTAGE">
                  <a:rPr lang="en-US" baseline="0"/>
                  <a:pPr>
                    <a:defRPr/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CALCULUS!$K$22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9F-4483-BA99-383D1DAC17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99F-4483-BA99-383D1DAC17D5}"/>
              </c:ext>
            </c:extLst>
          </c:dPt>
          <c:dLbls>
            <c:dLbl>
              <c:idx val="0"/>
              <c:layout>
                <c:manualLayout>
                  <c:x val="9.5473313712796687E-2"/>
                  <c:y val="-1.4471636932735813E-2"/>
                </c:manualLayout>
              </c:layout>
              <c:tx>
                <c:rich>
                  <a:bodyPr/>
                  <a:lstStyle/>
                  <a:p>
                    <a:fld id="{0978AF38-ABD5-4012-9F59-D7F5AD274B8E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 (</a:t>
                    </a:r>
                    <a:fld id="{FEEA18B5-FCC9-4FA6-A643-83E07E620B52}" type="PERCENTAGE">
                      <a:rPr lang="en-US" baseline="0"/>
                      <a:pPr/>
                      <a:t>[PORCENTAGEM]</a:t>
                    </a:fld>
                    <a:r>
                      <a:rPr lang="en-US" baseline="0"/>
                      <a:t>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99F-4483-BA99-383D1DAC17D5}"/>
                </c:ext>
              </c:extLst>
            </c:dLbl>
            <c:dLbl>
              <c:idx val="1"/>
              <c:layout>
                <c:manualLayout>
                  <c:x val="-6.9147991480303705E-2"/>
                  <c:y val="4.3528927885933509E-2"/>
                </c:manualLayout>
              </c:layout>
              <c:tx>
                <c:rich>
                  <a:bodyPr/>
                  <a:lstStyle/>
                  <a:p>
                    <a:fld id="{46479B99-5463-4DD8-ADE5-3C779C038059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 (</a:t>
                    </a:r>
                    <a:fld id="{224C839D-DEFB-4A6E-BE62-6D2ADAF8BAF5}" type="PERCENTAGE">
                      <a:rPr lang="en-US" baseline="0"/>
                      <a:pPr/>
                      <a:t>[PORCENTAGEM]</a:t>
                    </a:fld>
                    <a:r>
                      <a:rPr lang="en-US" baseline="0"/>
                      <a:t>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99F-4483-BA99-383D1DAC17D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CALCULUS!$J$23:$J$25</c:f>
              <c:strCache>
                <c:ptCount val="2"/>
                <c:pt idx="0">
                  <c:v>COMPRAR URGENTE</c:v>
                </c:pt>
                <c:pt idx="1">
                  <c:v>Estoque OK</c:v>
                </c:pt>
              </c:strCache>
            </c:strRef>
          </c:cat>
          <c:val>
            <c:numRef>
              <c:f>CALCULUS!$K$23:$K$25</c:f>
              <c:numCache>
                <c:formatCode>General</c:formatCode>
                <c:ptCount val="2"/>
                <c:pt idx="0">
                  <c:v>57</c:v>
                </c:pt>
                <c:pt idx="1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F-4483-BA99-383D1DAC1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Fluxo Caixa</c:name>
    <c:fmtId val="5"/>
  </c:pivotSource>
  <c:chart>
    <c:title>
      <c:tx>
        <c:strRef>
          <c:f>CALCULUS!$A$13</c:f>
          <c:strCache>
            <c:ptCount val="1"/>
            <c:pt idx="0">
              <c:v>Fluxo de Caixa (Total)</c:v>
            </c:pt>
          </c:strCache>
        </c:strRef>
      </c:tx>
      <c:layout>
        <c:manualLayout>
          <c:xMode val="edge"/>
          <c:yMode val="edge"/>
          <c:x val="0.3465802689215039"/>
          <c:y val="5.81437736949547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25"/>
              <c:y val="-0.120370370370370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0277777777777779"/>
              <c:y val="-9.2592592592592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23333333333333334"/>
              <c:y val="5.55555555555553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9842123227355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60792893207125"/>
              <c:y val="-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932890244069"/>
              <c:y val="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60792893207125"/>
              <c:y val="-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932890244069"/>
              <c:y val="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9842123227355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60792893207125"/>
              <c:y val="-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932890244069"/>
              <c:y val="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9842123227355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47372579637844"/>
          <c:y val="0.28512321376494604"/>
          <c:w val="0.31494726651698257"/>
          <c:h val="0.61289734616506275"/>
        </c:manualLayout>
      </c:layout>
      <c:doughnutChart>
        <c:varyColors val="1"/>
        <c:ser>
          <c:idx val="0"/>
          <c:order val="0"/>
          <c:tx>
            <c:strRef>
              <c:f>CALCULUS!$A$13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34-4577-BDB5-E3A67E19DCCA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34-4577-BDB5-E3A67E19DCC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34-4577-BDB5-E3A67E19DCCA}"/>
              </c:ext>
            </c:extLst>
          </c:dPt>
          <c:dLbls>
            <c:dLbl>
              <c:idx val="0"/>
              <c:layout>
                <c:manualLayout>
                  <c:x val="0.1360792893207125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34-4577-BDB5-E3A67E19DCCA}"/>
                </c:ext>
              </c:extLst>
            </c:dLbl>
            <c:dLbl>
              <c:idx val="1"/>
              <c:layout>
                <c:manualLayout>
                  <c:x val="0.14166932890244069"/>
                  <c:y val="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34-4577-BDB5-E3A67E19DCCA}"/>
                </c:ext>
              </c:extLst>
            </c:dLbl>
            <c:dLbl>
              <c:idx val="2"/>
              <c:layout>
                <c:manualLayout>
                  <c:x val="-0.12498421232273552"/>
                  <c:y val="-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34-4577-BDB5-E3A67E19D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CALCULUS!$A$13</c:f>
              <c:strCache>
                <c:ptCount val="3"/>
                <c:pt idx="0">
                  <c:v>Pendente</c:v>
                </c:pt>
                <c:pt idx="1">
                  <c:v>Pago</c:v>
                </c:pt>
                <c:pt idx="2">
                  <c:v>Atrasado</c:v>
                </c:pt>
              </c:strCache>
            </c:strRef>
          </c:cat>
          <c:val>
            <c:numRef>
              <c:f>CALCULUS!$A$13</c:f>
              <c:numCache>
                <c:formatCode>_-[$R$-416]\ * #,##0.00_-;\-[$R$-416]\ * #,##0.00_-;_-[$R$-416]\ * "-"??_-;_-@_-</c:formatCode>
                <c:ptCount val="3"/>
                <c:pt idx="0">
                  <c:v>9530099</c:v>
                </c:pt>
                <c:pt idx="1">
                  <c:v>12729245</c:v>
                </c:pt>
                <c:pt idx="2">
                  <c:v>9375288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34-4577-BDB5-E3A67E19DC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Status Reposicao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de Reposição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147991480303705E-2"/>
              <c:y val="4.352892788593350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479B99-5463-4DD8-ADE5-3C779C038059}" type="VALU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r>
                  <a:rPr lang="en-US" baseline="0"/>
                  <a:t> (</a:t>
                </a:r>
                <a:fld id="{224C839D-DEFB-4A6E-BE62-6D2ADAF8BAF5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473313712796687E-2"/>
              <c:y val="-1.447163693273581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978AF38-ABD5-4012-9F59-D7F5AD274B8E}" type="VALU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r>
                  <a:rPr lang="en-US" baseline="0"/>
                  <a:t> (</a:t>
                </a:r>
                <a:fld id="{FEEA18B5-FCC9-4FA6-A643-83E07E620B52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473313712796687E-2"/>
              <c:y val="-1.447163693273581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978AF38-ABD5-4012-9F59-D7F5AD274B8E}" type="VALU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r>
                  <a:rPr lang="en-US" baseline="0"/>
                  <a:t> (</a:t>
                </a:r>
                <a:fld id="{FEEA18B5-FCC9-4FA6-A643-83E07E620B52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147991480303705E-2"/>
              <c:y val="4.352892788593350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479B99-5463-4DD8-ADE5-3C779C038059}" type="VALU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r>
                  <a:rPr lang="en-US" baseline="0"/>
                  <a:t> (</a:t>
                </a:r>
                <a:fld id="{224C839D-DEFB-4A6E-BE62-6D2ADAF8BAF5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473313712796687E-2"/>
              <c:y val="-1.447163693273581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978AF38-ABD5-4012-9F59-D7F5AD274B8E}" type="VALUE">
                  <a:rPr lang="en-US" baseline="0"/>
                  <a:pPr>
                    <a:defRPr/>
                  </a:pPr>
                  <a:t>[VALOR]</a:t>
                </a:fld>
                <a:r>
                  <a:rPr lang="en-US" baseline="0"/>
                  <a:t> (</a:t>
                </a:r>
                <a:fld id="{FEEA18B5-FCC9-4FA6-A643-83E07E620B52}" type="PERCENTAGE">
                  <a:rPr lang="en-US" baseline="0"/>
                  <a:pPr>
                    <a:defRPr/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147991480303705E-2"/>
              <c:y val="4.352892788593350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479B99-5463-4DD8-ADE5-3C779C038059}" type="VALUE">
                  <a:rPr lang="en-US" baseline="0"/>
                  <a:pPr>
                    <a:defRPr/>
                  </a:pPr>
                  <a:t>[VALOR]</a:t>
                </a:fld>
                <a:r>
                  <a:rPr lang="en-US" baseline="0"/>
                  <a:t> (</a:t>
                </a:r>
                <a:fld id="{224C839D-DEFB-4A6E-BE62-6D2ADAF8BAF5}" type="PERCENTAGE">
                  <a:rPr lang="en-US" baseline="0"/>
                  <a:pPr>
                    <a:defRPr/>
                  </a:pPr>
                  <a:t>[PORCENTAGEM]</a:t>
                </a:fld>
                <a:r>
                  <a:rPr lang="en-US" baseline="0"/>
                  <a:t>)</a:t>
                </a: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CALCULUS!$K$22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B-4B18-8060-1B5610B48E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B-4B18-8060-1B5610B48E86}"/>
              </c:ext>
            </c:extLst>
          </c:dPt>
          <c:dLbls>
            <c:dLbl>
              <c:idx val="0"/>
              <c:layout>
                <c:manualLayout>
                  <c:x val="9.5473313712796687E-2"/>
                  <c:y val="-1.4471636932735813E-2"/>
                </c:manualLayout>
              </c:layout>
              <c:tx>
                <c:rich>
                  <a:bodyPr/>
                  <a:lstStyle/>
                  <a:p>
                    <a:fld id="{0978AF38-ABD5-4012-9F59-D7F5AD274B8E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 (</a:t>
                    </a:r>
                    <a:fld id="{FEEA18B5-FCC9-4FA6-A643-83E07E620B52}" type="PERCENTAGE">
                      <a:rPr lang="en-US" baseline="0"/>
                      <a:pPr/>
                      <a:t>[PORCENTAGEM]</a:t>
                    </a:fld>
                    <a:r>
                      <a:rPr lang="en-US" baseline="0"/>
                      <a:t>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AB-4B18-8060-1B5610B48E86}"/>
                </c:ext>
              </c:extLst>
            </c:dLbl>
            <c:dLbl>
              <c:idx val="1"/>
              <c:layout>
                <c:manualLayout>
                  <c:x val="-6.9147991480303705E-2"/>
                  <c:y val="4.3528927885933509E-2"/>
                </c:manualLayout>
              </c:layout>
              <c:tx>
                <c:rich>
                  <a:bodyPr/>
                  <a:lstStyle/>
                  <a:p>
                    <a:fld id="{46479B99-5463-4DD8-ADE5-3C779C038059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 (</a:t>
                    </a:r>
                    <a:fld id="{224C839D-DEFB-4A6E-BE62-6D2ADAF8BAF5}" type="PERCENTAGE">
                      <a:rPr lang="en-US" baseline="0"/>
                      <a:pPr/>
                      <a:t>[PORCENTAGEM]</a:t>
                    </a:fld>
                    <a:r>
                      <a:rPr lang="en-US" baseline="0"/>
                      <a:t>)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AB-4B18-8060-1B5610B48E8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CALCULUS!$J$23:$J$25</c:f>
              <c:strCache>
                <c:ptCount val="2"/>
                <c:pt idx="0">
                  <c:v>COMPRAR URGENTE</c:v>
                </c:pt>
                <c:pt idx="1">
                  <c:v>Estoque OK</c:v>
                </c:pt>
              </c:strCache>
            </c:strRef>
          </c:cat>
          <c:val>
            <c:numRef>
              <c:f>CALCULUS!$K$23:$K$25</c:f>
              <c:numCache>
                <c:formatCode>General</c:formatCode>
                <c:ptCount val="2"/>
                <c:pt idx="0">
                  <c:v>57</c:v>
                </c:pt>
                <c:pt idx="1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AB-4B18-8060-1B5610B4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</c:name>
    <c:fmtId val="23"/>
  </c:pivotSource>
  <c:chart>
    <c:title>
      <c:tx>
        <c:strRef>
          <c:f>CALCULUS!$A$35</c:f>
          <c:strCache>
            <c:ptCount val="1"/>
            <c:pt idx="0">
              <c:v>Monitoramento de Pedidos e Entregas (Total)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CALCULUS!$A$35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CALCULUS!$A$35</c:f>
              <c:strCache>
                <c:ptCount val="3"/>
                <c:pt idx="0">
                  <c:v>Aguardando</c:v>
                </c:pt>
                <c:pt idx="1">
                  <c:v>Em Rota</c:v>
                </c:pt>
                <c:pt idx="2">
                  <c:v>Entregue</c:v>
                </c:pt>
              </c:strCache>
            </c:strRef>
          </c:cat>
          <c:val>
            <c:numRef>
              <c:f>CALCULUS!$A$35</c:f>
              <c:numCache>
                <c:formatCode>General</c:formatCode>
                <c:ptCount val="3"/>
                <c:pt idx="0">
                  <c:v>346</c:v>
                </c:pt>
                <c:pt idx="1">
                  <c:v>317</c:v>
                </c:pt>
                <c:pt idx="2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C-44CF-943C-431B9D87A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565664"/>
        <c:axId val="1450566144"/>
      </c:barChart>
      <c:catAx>
        <c:axId val="14505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566144"/>
        <c:crosses val="autoZero"/>
        <c:auto val="1"/>
        <c:lblAlgn val="ctr"/>
        <c:lblOffset val="100"/>
        <c:noMultiLvlLbl val="0"/>
      </c:catAx>
      <c:valAx>
        <c:axId val="14505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5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Produtos Rentaveis</c:name>
    <c:fmtId val="14"/>
  </c:pivotSource>
  <c:chart>
    <c:title>
      <c:tx>
        <c:strRef>
          <c:f>CALCULUS!$S$14</c:f>
          <c:strCache>
            <c:ptCount val="1"/>
            <c:pt idx="0">
              <c:v>Ranking de Receita por Produto (Total)</c:v>
            </c:pt>
          </c:strCache>
        </c:strRef>
      </c:tx>
      <c:layout>
        <c:manualLayout>
          <c:xMode val="edge"/>
          <c:yMode val="edge"/>
          <c:x val="0.3378428631000564"/>
          <c:y val="5.3276717747715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CALCULUS!$S$14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CALCULUS!$S$14</c:f>
              <c:strCache>
                <c:ptCount val="5"/>
                <c:pt idx="0">
                  <c:v>Unidade LTO-8 Backup</c:v>
                </c:pt>
                <c:pt idx="1">
                  <c:v>Firewall Hardware Mid</c:v>
                </c:pt>
                <c:pt idx="2">
                  <c:v>Servidor Rack 1U</c:v>
                </c:pt>
                <c:pt idx="3">
                  <c:v>KVM Console Gaveta 17</c:v>
                </c:pt>
                <c:pt idx="4">
                  <c:v>Assinatura Adobe CC Anual</c:v>
                </c:pt>
              </c:strCache>
            </c:strRef>
          </c:cat>
          <c:val>
            <c:numRef>
              <c:f>CALCULUS!$S$14</c:f>
              <c:numCache>
                <c:formatCode>_-[$R$-416]\ * #,##0.00_-;\-[$R$-416]\ * #,##0.00_-;_-[$R$-416]\ * "-"??_-;_-@_-</c:formatCode>
                <c:ptCount val="5"/>
                <c:pt idx="0">
                  <c:v>4424000</c:v>
                </c:pt>
                <c:pt idx="1">
                  <c:v>2023000</c:v>
                </c:pt>
                <c:pt idx="2">
                  <c:v>2012500</c:v>
                </c:pt>
                <c:pt idx="3">
                  <c:v>1978800</c:v>
                </c:pt>
                <c:pt idx="4">
                  <c:v>1317600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4-42BD-BB26-07712FB03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4055999"/>
        <c:axId val="1324056959"/>
      </c:barChart>
      <c:catAx>
        <c:axId val="132405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056959"/>
        <c:crosses val="autoZero"/>
        <c:auto val="1"/>
        <c:lblAlgn val="ctr"/>
        <c:lblOffset val="100"/>
        <c:noMultiLvlLbl val="0"/>
      </c:catAx>
      <c:valAx>
        <c:axId val="1324056959"/>
        <c:scaling>
          <c:orientation val="minMax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05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[02_Sistema_Gestao_Integrada.xlsx]CALCULUS!Tabela Faturamento Mensal</c:name>
    <c:fmtId val="20"/>
  </c:pivotSource>
  <c:chart>
    <c:title>
      <c:tx>
        <c:strRef>
          <c:f>CALCULUS!$H$18</c:f>
          <c:strCache>
            <c:ptCount val="1"/>
            <c:pt idx="0">
              <c:v>Evolução do Faturamento Mensal (Total)</c:v>
            </c:pt>
          </c:strCache>
        </c:strRef>
      </c:tx>
      <c:layout>
        <c:manualLayout>
          <c:xMode val="edge"/>
          <c:yMode val="edge"/>
          <c:x val="0.20511546273517769"/>
          <c:y val="3.9969323157362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CALCULUS!$H$18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CALCULUS!$H$18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CALCULUS!$H$18</c:f>
              <c:numCache>
                <c:formatCode>_-[$R$-416]\ * #,##0.00_-;\-[$R$-416]\ * #,##0.00_-;_-[$R$-416]\ * "-"??_-;_-@_-</c:formatCode>
                <c:ptCount val="12"/>
                <c:pt idx="0">
                  <c:v>2472515.5</c:v>
                </c:pt>
                <c:pt idx="1">
                  <c:v>3714283.5</c:v>
                </c:pt>
                <c:pt idx="2">
                  <c:v>4557761</c:v>
                </c:pt>
                <c:pt idx="3">
                  <c:v>5348226.5</c:v>
                </c:pt>
                <c:pt idx="4">
                  <c:v>2254123.5</c:v>
                </c:pt>
                <c:pt idx="5">
                  <c:v>1429261.5</c:v>
                </c:pt>
                <c:pt idx="6">
                  <c:v>2326359.5</c:v>
                </c:pt>
                <c:pt idx="7">
                  <c:v>1505276.5</c:v>
                </c:pt>
                <c:pt idx="8">
                  <c:v>604122</c:v>
                </c:pt>
                <c:pt idx="9">
                  <c:v>3713712.5</c:v>
                </c:pt>
                <c:pt idx="10">
                  <c:v>1276103.5</c:v>
                </c:pt>
                <c:pt idx="11">
                  <c:v>2432886.5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0-408D-A078-AA51DFE93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906927"/>
        <c:axId val="1292911247"/>
      </c:lineChart>
      <c:catAx>
        <c:axId val="129290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911247"/>
        <c:crosses val="autoZero"/>
        <c:auto val="1"/>
        <c:lblAlgn val="ctr"/>
        <c:lblOffset val="100"/>
        <c:noMultiLvlLbl val="0"/>
      </c:catAx>
      <c:valAx>
        <c:axId val="12929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90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130635</xdr:colOff>
      <xdr:row>1</xdr:row>
      <xdr:rowOff>161653</xdr:rowOff>
    </xdr:from>
    <xdr:to>
      <xdr:col>6</xdr:col>
      <xdr:colOff>43549</xdr:colOff>
      <xdr:row>16</xdr:row>
      <xdr:rowOff>161653</xdr:rowOff>
    </xdr:to>
    <xdr:graphicFrame macro="">
      <xdr:nvGraphicFramePr>
        <xdr:cNvPr id="2" name="Fluxo_Caixa">
          <a:extLst>
            <a:ext uri="{FF2B5EF4-FFF2-40B4-BE49-F238E27FC236}">
              <a16:creationId xmlns:a16="http://schemas.microsoft.com/office/drawing/2014/main" id="{A0BF7AA1-776F-ECD6-3BB3-6DCE4D7F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161371</xdr:colOff>
      <xdr:row>1</xdr:row>
      <xdr:rowOff>125506</xdr:rowOff>
    </xdr:from>
    <xdr:to>
      <xdr:col>16</xdr:col>
      <xdr:colOff>466171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053593-FCAF-5FB2-0C7F-021221370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259079</xdr:colOff>
      <xdr:row>2</xdr:row>
      <xdr:rowOff>57049</xdr:rowOff>
    </xdr:from>
    <xdr:to>
      <xdr:col>30</xdr:col>
      <xdr:colOff>579120</xdr:colOff>
      <xdr:row>17</xdr:row>
      <xdr:rowOff>110837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014145-75B9-0A7E-2C49-D894037B0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121228</xdr:colOff>
      <xdr:row>16</xdr:row>
      <xdr:rowOff>119149</xdr:rowOff>
    </xdr:from>
    <xdr:to>
      <xdr:col>1</xdr:col>
      <xdr:colOff>250441</xdr:colOff>
      <xdr:row>21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 Fluxo">
              <a:extLst>
                <a:ext uri="{FF2B5EF4-FFF2-40B4-BE49-F238E27FC236}">
                  <a16:creationId xmlns:a16="http://schemas.microsoft.com/office/drawing/2014/main" id="{E1C9F033-33C5-D42D-3EAF-EDEF7FFF7E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Flu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228" y="3080063"/>
              <a:ext cx="1818479" cy="9813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141315</xdr:colOff>
      <xdr:row>19</xdr:row>
      <xdr:rowOff>151707</xdr:rowOff>
    </xdr:from>
    <xdr:to>
      <xdr:col>8</xdr:col>
      <xdr:colOff>283526</xdr:colOff>
      <xdr:row>42</xdr:row>
      <xdr:rowOff>162791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eses (Data)">
              <a:extLst>
                <a:ext uri="{FF2B5EF4-FFF2-40B4-BE49-F238E27FC236}">
                  <a16:creationId xmlns:a16="http://schemas.microsoft.com/office/drawing/2014/main" id="{6CF93A05-9518-2310-E527-C26F39F151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79824" y="3573780"/>
              <a:ext cx="1832466" cy="4195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1173480</xdr:colOff>
      <xdr:row>10</xdr:row>
      <xdr:rowOff>7620</xdr:rowOff>
    </xdr:from>
    <xdr:to>
      <xdr:col>4</xdr:col>
      <xdr:colOff>662940</xdr:colOff>
      <xdr:row>11</xdr:row>
      <xdr:rowOff>83820</xdr:rowOff>
    </xdr:to>
    <xdr:sp macro="" textlink="$B$11">
      <xdr:nvSpPr>
        <xdr:cNvPr id="7" name="CaixaDeTexto 6">
          <a:extLst>
            <a:ext uri="{FF2B5EF4-FFF2-40B4-BE49-F238E27FC236}">
              <a16:creationId xmlns:a16="http://schemas.microsoft.com/office/drawing/2014/main" id="{AD32219A-9A13-14BA-97E3-089276780F97}"/>
            </a:ext>
          </a:extLst>
        </xdr:cNvPr>
        <xdr:cNvSpPr txBox="1"/>
      </xdr:nvSpPr>
      <xdr:spPr>
        <a:xfrm>
          <a:off x="3528060" y="1836420"/>
          <a:ext cx="21717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0705ED5-A9D1-4ECB-8F84-41D03603CA0B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R$ 31,634,632.00 </a:t>
          </a:fld>
          <a:endParaRPr lang="pt-BR" sz="1100"/>
        </a:p>
      </xdr:txBody>
    </xdr:sp>
    <xdr:clientData/>
  </xdr:twoCellAnchor>
  <xdr:twoCellAnchor>
    <xdr:from>
      <xdr:col>2</xdr:col>
      <xdr:colOff>402772</xdr:colOff>
      <xdr:row>25</xdr:row>
      <xdr:rowOff>76199</xdr:rowOff>
    </xdr:from>
    <xdr:to>
      <xdr:col>5</xdr:col>
      <xdr:colOff>903515</xdr:colOff>
      <xdr:row>40</xdr:row>
      <xdr:rowOff>43542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4BE8423-34D6-8FFF-F2B3-D25E7B39E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206829</xdr:colOff>
      <xdr:row>20</xdr:row>
      <xdr:rowOff>90854</xdr:rowOff>
    </xdr:from>
    <xdr:to>
      <xdr:col>17</xdr:col>
      <xdr:colOff>315686</xdr:colOff>
      <xdr:row>29</xdr:row>
      <xdr:rowOff>180034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DF7274E-770A-B31E-0469-708BA852E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0.14631</cdr:x>
      <cdr:y>0.61526</cdr:y>
    </cdr:from>
    <cdr:to>
      <cdr:x>0.5126</cdr:x>
      <cdr:y>0.72038</cdr:y>
    </cdr:to>
    <cdr:sp macro="" textlink="CALCULUS!$K$27">
      <cdr:nvSpPr>
        <cdr:cNvPr id="2" name="CaixaDeTexto 6">
          <a:extLst xmlns:a="http://schemas.openxmlformats.org/drawingml/2006/main">
            <a:ext uri="{FF2B5EF4-FFF2-40B4-BE49-F238E27FC236}">
              <a16:creationId xmlns:a16="http://schemas.microsoft.com/office/drawing/2014/main" id="{AD32219A-9A13-14BA-97E3-089276780F97}"/>
            </a:ext>
          </a:extLst>
        </cdr:cNvPr>
        <cdr:cNvSpPr txBox="1"/>
      </cdr:nvSpPr>
      <cdr:spPr>
        <a:xfrm xmlns:a="http://schemas.openxmlformats.org/drawingml/2006/main">
          <a:off x="565267" y="1077763"/>
          <a:ext cx="1415139" cy="1841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57859BD-97A2-4AD2-98D4-77CA0FFB6EEB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200</a:t>
          </a:fld>
          <a:endParaRPr lang="pt-BR" sz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26893</xdr:colOff>
      <xdr:row>1</xdr:row>
      <xdr:rowOff>41877</xdr:rowOff>
    </xdr:from>
    <xdr:to>
      <xdr:col>11</xdr:col>
      <xdr:colOff>32658</xdr:colOff>
      <xdr:row>16</xdr:row>
      <xdr:rowOff>161364</xdr:rowOff>
    </xdr:to>
    <xdr:graphicFrame macro="">
      <xdr:nvGraphicFramePr>
        <xdr:cNvPr id="2" name="Fluxo_Caixa">
          <a:extLst>
            <a:ext uri="{FF2B5EF4-FFF2-40B4-BE49-F238E27FC236}">
              <a16:creationId xmlns:a16="http://schemas.microsoft.com/office/drawing/2014/main" id="{9B13E37B-64D0-4470-9B61-4A5F9EA99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238397</xdr:colOff>
      <xdr:row>11</xdr:row>
      <xdr:rowOff>120831</xdr:rowOff>
    </xdr:from>
    <xdr:to>
      <xdr:col>17</xdr:col>
      <xdr:colOff>238397</xdr:colOff>
      <xdr:row>32</xdr:row>
      <xdr:rowOff>59871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eses (Data) 1">
              <a:extLst>
                <a:ext uri="{FF2B5EF4-FFF2-40B4-BE49-F238E27FC236}">
                  <a16:creationId xmlns:a16="http://schemas.microsoft.com/office/drawing/2014/main" id="{C9987BD1-4BDF-7918-B2B5-4C1400759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56968" y="2156460"/>
              <a:ext cx="1828800" cy="3825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130628</xdr:colOff>
      <xdr:row>1</xdr:row>
      <xdr:rowOff>54429</xdr:rowOff>
    </xdr:from>
    <xdr:to>
      <xdr:col>16</xdr:col>
      <xdr:colOff>228600</xdr:colOff>
      <xdr:row>10</xdr:row>
      <xdr:rowOff>140640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77CB93-E621-4E3F-AD9B-1055EFB6B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283029</xdr:colOff>
      <xdr:row>17</xdr:row>
      <xdr:rowOff>174172</xdr:rowOff>
    </xdr:from>
    <xdr:to>
      <xdr:col>14</xdr:col>
      <xdr:colOff>65315</xdr:colOff>
      <xdr:row>32</xdr:row>
      <xdr:rowOff>67293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6530883-85C3-4508-8138-B730917AF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185057</xdr:colOff>
      <xdr:row>17</xdr:row>
      <xdr:rowOff>130629</xdr:rowOff>
    </xdr:from>
    <xdr:to>
      <xdr:col>7</xdr:col>
      <xdr:colOff>87086</xdr:colOff>
      <xdr:row>32</xdr:row>
      <xdr:rowOff>110196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D550F87-887A-40E4-8FA3-52398E9C1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185058</xdr:colOff>
      <xdr:row>1</xdr:row>
      <xdr:rowOff>43542</xdr:rowOff>
    </xdr:from>
    <xdr:to>
      <xdr:col>3</xdr:col>
      <xdr:colOff>1153886</xdr:colOff>
      <xdr:row>16</xdr:row>
      <xdr:rowOff>141514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123A5E7-A670-492C-950B-E8AF209CD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87086</xdr:colOff>
      <xdr:row>11</xdr:row>
      <xdr:rowOff>127364</xdr:rowOff>
    </xdr:from>
    <xdr:to>
      <xdr:col>14</xdr:col>
      <xdr:colOff>87086</xdr:colOff>
      <xdr:row>17</xdr:row>
      <xdr:rowOff>10888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Tipo Fluxo 1">
              <a:extLst>
                <a:ext uri="{FF2B5EF4-FFF2-40B4-BE49-F238E27FC236}">
                  <a16:creationId xmlns:a16="http://schemas.microsoft.com/office/drawing/2014/main" id="{5259E79A-C735-2562-F572-F399F8D4DD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Flux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6857" y="2162993"/>
              <a:ext cx="1828800" cy="9938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0.19651</cdr:x>
      <cdr:y>0.54907</cdr:y>
    </cdr:from>
    <cdr:to>
      <cdr:x>0.60332</cdr:x>
      <cdr:y>0.64352</cdr:y>
    </cdr:to>
    <cdr:sp macro="" textlink="">
      <cdr:nvSpPr>
        <cdr:cNvPr id="2" name="CaixaDeTexto 6">
          <a:extLst xmlns:a="http://schemas.openxmlformats.org/drawingml/2006/main">
            <a:ext uri="{FF2B5EF4-FFF2-40B4-BE49-F238E27FC236}">
              <a16:creationId xmlns:a16="http://schemas.microsoft.com/office/drawing/2014/main" id="{AD32219A-9A13-14BA-97E3-089276780F97}"/>
            </a:ext>
          </a:extLst>
        </cdr:cNvPr>
        <cdr:cNvSpPr txBox="1"/>
      </cdr:nvSpPr>
      <cdr:spPr>
        <a:xfrm xmlns:a="http://schemas.openxmlformats.org/drawingml/2006/main">
          <a:off x="1049020" y="1506220"/>
          <a:ext cx="2171700" cy="2590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0705ED5-A9D1-4ECB-8F84-41D03603CA0B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R$ 9,940,409.50 </a:t>
          </a:fld>
          <a:endParaRPr lang="pt-BR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0.18808</cdr:x>
      <cdr:y>0.53278</cdr:y>
    </cdr:from>
    <cdr:to>
      <cdr:x>0.55437</cdr:x>
      <cdr:y>0.6379</cdr:y>
    </cdr:to>
    <cdr:sp macro="" textlink="CALCULUS!$K$27">
      <cdr:nvSpPr>
        <cdr:cNvPr id="2" name="CaixaDeTexto 6">
          <a:extLst xmlns:a="http://schemas.openxmlformats.org/drawingml/2006/main">
            <a:ext uri="{FF2B5EF4-FFF2-40B4-BE49-F238E27FC236}">
              <a16:creationId xmlns:a16="http://schemas.microsoft.com/office/drawing/2014/main" id="{AD32219A-9A13-14BA-97E3-089276780F97}"/>
            </a:ext>
          </a:extLst>
        </cdr:cNvPr>
        <cdr:cNvSpPr txBox="1"/>
      </cdr:nvSpPr>
      <cdr:spPr>
        <a:xfrm xmlns:a="http://schemas.openxmlformats.org/drawingml/2006/main">
          <a:off x="591701" y="933281"/>
          <a:ext cx="1152338" cy="1841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57859BD-97A2-4AD2-98D4-77CA0FFB6EEB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200</a:t>
          </a:fld>
          <a:endParaRPr lang="pt-BR" sz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o T B De salvi" refreshedDate="46146.441207060183" createdVersion="8" refreshedVersion="8" minRefreshableVersion="3" recordCount="200" xr:uid="{D328C09B-FF01-4CA8-8C01-60109B4FCB2F}">
  <cacheSource type="worksheet">
    <worksheetSource name="Tabela_Controle_Estoque"/>
  </cacheSource>
  <cacheFields count="7">
    <cacheField name="ID_Produto" numFmtId="0">
      <sharedItems count="200">
        <s v="PROD001"/>
        <s v="PROD002"/>
        <s v="PROD003"/>
        <s v="PROD004"/>
        <s v="PROD005"/>
        <s v="PROD006"/>
        <s v="PROD007"/>
        <s v="PROD008"/>
        <s v="PROD009"/>
        <s v="PROD010"/>
        <s v="PROD011"/>
        <s v="PROD012"/>
        <s v="PROD013"/>
        <s v="PROD014"/>
        <s v="PROD015"/>
        <s v="PROD016"/>
        <s v="PROD017"/>
        <s v="PROD018"/>
        <s v="PROD019"/>
        <s v="PROD020"/>
        <s v="PROD021"/>
        <s v="PROD022"/>
        <s v="PROD023"/>
        <s v="PROD024"/>
        <s v="PROD025"/>
        <s v="PROD026"/>
        <s v="PROD027"/>
        <s v="PROD028"/>
        <s v="PROD029"/>
        <s v="PROD030"/>
        <s v="PROD031"/>
        <s v="PROD032"/>
        <s v="PROD033"/>
        <s v="PROD034"/>
        <s v="PROD035"/>
        <s v="PROD036"/>
        <s v="PROD037"/>
        <s v="PROD038"/>
        <s v="PROD039"/>
        <s v="PROD040"/>
        <s v="PROD041"/>
        <s v="PROD042"/>
        <s v="PROD043"/>
        <s v="PROD044"/>
        <s v="PROD045"/>
        <s v="PROD046"/>
        <s v="PROD047"/>
        <s v="PROD048"/>
        <s v="PROD049"/>
        <s v="PROD050"/>
        <s v="PROD051"/>
        <s v="PROD052"/>
        <s v="PROD053"/>
        <s v="PROD054"/>
        <s v="PROD055"/>
        <s v="PROD056"/>
        <s v="PROD057"/>
        <s v="PROD058"/>
        <s v="PROD059"/>
        <s v="PROD060"/>
        <s v="PROD061"/>
        <s v="PROD062"/>
        <s v="PROD063"/>
        <s v="PROD064"/>
        <s v="PROD065"/>
        <s v="PROD066"/>
        <s v="PROD067"/>
        <s v="PROD068"/>
        <s v="PROD069"/>
        <s v="PROD070"/>
        <s v="PROD071"/>
        <s v="PROD072"/>
        <s v="PROD073"/>
        <s v="PROD074"/>
        <s v="PROD075"/>
        <s v="PROD076"/>
        <s v="PROD077"/>
        <s v="PROD078"/>
        <s v="PROD079"/>
        <s v="PROD080"/>
        <s v="PROD081"/>
        <s v="PROD082"/>
        <s v="PROD083"/>
        <s v="PROD084"/>
        <s v="PROD085"/>
        <s v="PROD086"/>
        <s v="PROD087"/>
        <s v="PROD088"/>
        <s v="PROD089"/>
        <s v="PROD090"/>
        <s v="PROD091"/>
        <s v="PROD092"/>
        <s v="PROD093"/>
        <s v="PROD094"/>
        <s v="PROD095"/>
        <s v="PROD096"/>
        <s v="PROD097"/>
        <s v="PROD098"/>
        <s v="PROD099"/>
        <s v="PROD100"/>
        <s v="PROD101"/>
        <s v="PROD102"/>
        <s v="PROD103"/>
        <s v="PROD104"/>
        <s v="PROD105"/>
        <s v="PROD106"/>
        <s v="PROD107"/>
        <s v="PROD108"/>
        <s v="PROD109"/>
        <s v="PROD110"/>
        <s v="PROD111"/>
        <s v="PROD112"/>
        <s v="PROD113"/>
        <s v="PROD114"/>
        <s v="PROD115"/>
        <s v="PROD116"/>
        <s v="PROD117"/>
        <s v="PROD118"/>
        <s v="PROD119"/>
        <s v="PROD120"/>
        <s v="PROD121"/>
        <s v="PROD122"/>
        <s v="PROD123"/>
        <s v="PROD124"/>
        <s v="PROD125"/>
        <s v="PROD126"/>
        <s v="PROD127"/>
        <s v="PROD128"/>
        <s v="PROD129"/>
        <s v="PROD130"/>
        <s v="PROD131"/>
        <s v="PROD132"/>
        <s v="PROD133"/>
        <s v="PROD134"/>
        <s v="PROD135"/>
        <s v="PROD136"/>
        <s v="PROD137"/>
        <s v="PROD138"/>
        <s v="PROD139"/>
        <s v="PROD140"/>
        <s v="PROD141"/>
        <s v="PROD142"/>
        <s v="PROD143"/>
        <s v="PROD144"/>
        <s v="PROD145"/>
        <s v="PROD146"/>
        <s v="PROD147"/>
        <s v="PROD148"/>
        <s v="PROD149"/>
        <s v="PROD150"/>
        <s v="PROD151"/>
        <s v="PROD152"/>
        <s v="PROD153"/>
        <s v="PROD154"/>
        <s v="PROD155"/>
        <s v="PROD156"/>
        <s v="PROD157"/>
        <s v="PROD158"/>
        <s v="PROD159"/>
        <s v="PROD160"/>
        <s v="PROD161"/>
        <s v="PROD162"/>
        <s v="PROD163"/>
        <s v="PROD164"/>
        <s v="PROD165"/>
        <s v="PROD166"/>
        <s v="PROD167"/>
        <s v="PROD168"/>
        <s v="PROD169"/>
        <s v="PROD170"/>
        <s v="PROD171"/>
        <s v="PROD172"/>
        <s v="PROD173"/>
        <s v="PROD174"/>
        <s v="PROD175"/>
        <s v="PROD176"/>
        <s v="PROD177"/>
        <s v="PROD178"/>
        <s v="PROD179"/>
        <s v="PROD180"/>
        <s v="PROD181"/>
        <s v="PROD182"/>
        <s v="PROD183"/>
        <s v="PROD184"/>
        <s v="PROD185"/>
        <s v="PROD186"/>
        <s v="PROD187"/>
        <s v="PROD188"/>
        <s v="PROD189"/>
        <s v="PROD190"/>
        <s v="PROD191"/>
        <s v="PROD192"/>
        <s v="PROD193"/>
        <s v="PROD194"/>
        <s v="PROD195"/>
        <s v="PROD196"/>
        <s v="PROD197"/>
        <s v="PROD198"/>
        <s v="PROD199"/>
        <s v="PROD200"/>
      </sharedItems>
    </cacheField>
    <cacheField name="Descricao_Produto" numFmtId="0">
      <sharedItems/>
    </cacheField>
    <cacheField name="Estoque_Minimo" numFmtId="0">
      <sharedItems containsSemiMixedTypes="0" containsString="0" containsNumber="1" containsInteger="1" minValue="1" maxValue="500"/>
    </cacheField>
    <cacheField name="Entradas" numFmtId="0">
      <sharedItems containsSemiMixedTypes="0" containsString="0" containsNumber="1" containsInteger="1" minValue="10" maxValue="1157"/>
    </cacheField>
    <cacheField name="Saídas" numFmtId="0">
      <sharedItems containsSemiMixedTypes="0" containsString="0" containsNumber="1" containsInteger="1" minValue="0" maxValue="771"/>
    </cacheField>
    <cacheField name="Saldo Atual" numFmtId="0">
      <sharedItems containsSemiMixedTypes="0" containsString="0" containsNumber="1" containsInteger="1" minValue="0" maxValue="620"/>
    </cacheField>
    <cacheField name="Status de Reposição" numFmtId="0">
      <sharedItems count="2">
        <s v="Estoque OK"/>
        <s v="COMPRAR 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bio T B De salvi" refreshedDate="46146.471169097225" createdVersion="8" refreshedVersion="8" minRefreshableVersion="3" recordCount="1020" xr:uid="{2630917A-9AF1-438F-88BE-EB37D3EB7E8D}">
  <cacheSource type="worksheet">
    <worksheetSource name="Tabela_Movimentacao_Geral"/>
  </cacheSource>
  <cacheFields count="16">
    <cacheField name="ID_Transacao" numFmtId="0">
      <sharedItems/>
    </cacheField>
    <cacheField name="Data" numFmtId="14">
      <sharedItems containsSemiMixedTypes="0" containsNonDate="0" containsDate="1" containsString="0" minDate="2025-01-01T00:00:00" maxDate="2026-05-03T00:00:00" count="42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8T00:00:00"/>
        <d v="2025-01-29T00:00:00"/>
        <d v="2025-01-30T00:00:00"/>
        <d v="2025-01-31T00:00:00"/>
        <d v="2025-02-01T00:00:00"/>
        <d v="2025-02-02T00:00:00"/>
        <d v="2025-02-04T00:00:00"/>
        <d v="2025-02-05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19T00:00:00"/>
        <d v="2025-02-20T00:00:00"/>
        <d v="2025-02-21T00:00:00"/>
        <d v="2025-02-23T00:00:00"/>
        <d v="2025-02-24T00:00:00"/>
        <d v="2025-02-25T00:00:00"/>
        <d v="2025-02-26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9T00:00:00"/>
        <d v="2025-03-30T00:00:00"/>
        <d v="2025-03-31T00:00:00"/>
        <d v="2025-04-01T00:00:00"/>
        <d v="2025-04-02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7T00:00:00"/>
        <d v="2025-05-28T00:00:00"/>
        <d v="2025-05-29T00:00:00"/>
        <d v="2025-05-30T00:00:00"/>
        <d v="2025-05-31T00:00:00"/>
        <d v="2025-06-01T00:00:00"/>
        <d v="2025-06-03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9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3T00:00:00"/>
        <d v="2025-07-14T00:00:00"/>
        <d v="2025-07-15T00:00:00"/>
        <d v="2025-07-16T00:00:00"/>
        <d v="2025-07-17T00:00:00"/>
        <d v="2025-07-18T00:00:00"/>
        <d v="2025-07-20T00:00:00"/>
        <d v="2025-07-21T00:00:00"/>
        <d v="2025-07-22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2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8T00:00:00"/>
        <d v="2025-09-09T00:00:00"/>
        <d v="2025-09-10T00:00:00"/>
        <d v="2025-09-11T00:00:00"/>
        <d v="2025-09-12T00:00:00"/>
        <d v="2025-09-15T00:00:00"/>
        <d v="2025-09-17T00:00:00"/>
        <d v="2025-09-18T00:00:00"/>
        <d v="2025-09-19T00:00:00"/>
        <d v="2025-09-21T00:00:00"/>
        <d v="2025-09-22T00:00:00"/>
        <d v="2025-09-23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2T00:00:00"/>
        <d v="2025-10-23T00:00:00"/>
        <d v="2025-10-24T00:00:00"/>
        <d v="2025-10-25T00:00:00"/>
        <d v="2025-10-26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5T00:00:00"/>
        <d v="2026-01-16T00:00:00"/>
        <d v="2026-01-17T00:00:00"/>
        <d v="2026-01-18T00:00:00"/>
        <d v="2026-01-19T00:00:00"/>
        <d v="2026-01-21T00:00:00"/>
        <d v="2026-01-22T00:00:00"/>
        <d v="2026-01-23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7T00:00:00"/>
        <d v="2026-04-18T00:00:00"/>
        <d v="2026-04-19T00:00:00"/>
        <d v="2026-04-20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</sharedItems>
      <fieldGroup par="15"/>
    </cacheField>
    <cacheField name="Tipo Fluxo" numFmtId="0">
      <sharedItems count="2">
        <s v="Saida"/>
        <s v="Entrada"/>
      </sharedItems>
    </cacheField>
    <cacheField name="ID Entidade" numFmtId="0">
      <sharedItems/>
    </cacheField>
    <cacheField name="Nome da Entidade" numFmtId="0">
      <sharedItems/>
    </cacheField>
    <cacheField name="ID Produto" numFmtId="0">
      <sharedItems/>
    </cacheField>
    <cacheField name="Descrição do Produto" numFmtId="0">
      <sharedItems count="200">
        <s v="Notebook i7 16GB 512GB SSD"/>
        <s v="Monitor 24 pol Full HD"/>
        <s v="Notebook i5 8GB 256GB SSD"/>
        <s v="Mouse Sem Fio Optico"/>
        <s v="SSD 480GB SATA3"/>
        <s v="Docking Station Universal"/>
        <s v="Papel A4 Report 500fls"/>
        <s v="MacBook Air M2 13p"/>
        <s v="Webcam 1080p Business"/>
        <s v="Licenca SQL Server Standard"/>
        <s v="Teclado Mecanico RGB"/>
        <s v="Cabo Optico Patch Cord 3m"/>
        <s v="Licenca Windows 11 Pro"/>
        <s v="Headphone Bluetooth NoiseC"/>
        <s v="Pendrive 64GB USB 3.1"/>
        <s v="Bateria Nobreak 12V 7Ah"/>
        <s v="Cabo HDMI 2.0 2m"/>
        <s v="Switch Core Layer 3"/>
        <s v="Impressora Laser Color"/>
        <s v="HD Externo 1TB"/>
        <s v="Terminador Optico"/>
        <s v="Fita Dupla Face 3M"/>
        <s v="Cordao para Cracha"/>
        <s v="Plastico Bolha 1.2x50m"/>
        <s v="Cabo de Rede Cat5e 5m"/>
        <s v="Ponteira Laser Apresentador"/>
        <s v="Lanterna de Led Inspeção"/>
        <s v="Caneta Esferografica Azul"/>
        <s v="Porta Canetas Telado"/>
        <s v="Toner Colorido (Kit 4)"/>
        <s v="Etiquetadora Termica"/>
        <s v="Bandeja Fixa para Rack"/>
        <s v="Marcador para Quadro Azul"/>
        <s v="Caneta Esferografica Preta"/>
        <s v="PDU Básica 12 Tomadas"/>
        <s v="Clips Metalicos 33mm 100un"/>
        <s v="Sugador de Solda"/>
        <s v="Lixeira de Escritorio 10L"/>
        <s v="Toner Preto High Yield"/>
        <s v="Pasta Suspensa Kraft 10un"/>
        <s v="Roteador Wi-Fi 6"/>
        <s v="Testador de Cabo de Rede"/>
        <s v="Gabinete ATX Mid Tower"/>
        <s v="Fita LTO-8 Ultrium"/>
        <s v="Fragmentadora de Papel"/>
        <s v="Filme Stretch Manual 50cm"/>
        <s v="Base Resfriadora Notebook"/>
        <s v="Protetor Surto Coaxial"/>
        <s v="Cola em Bastao 40g"/>
        <s v="Suporte Notebook Articulado"/>
        <s v="SSD M.2 NVMe 1TB"/>
        <s v="Mouse Gamer 12000 DPI"/>
        <s v="Caixa de Grampos 26/6"/>
        <s v="Unidade LTO-8 Backup"/>
        <s v="Cooler Processador Universal"/>
        <s v="Alicate de Crimpagem RJ45"/>
        <s v="Cabo DisplayPort 1.4"/>
        <s v="Firewall Hardware Mid"/>
        <s v="Lapiseira 0.7mm"/>
        <s v="Sensor de Temperatura IP"/>
        <s v="Regua 30cm Acrilico"/>
        <s v="SSD Externo Portatil 500GB"/>
        <s v="Envelope Pardo A4 50un"/>
        <s v="Gravador NVR 8 Canais"/>
        <s v="Cadeira Ergonomica Office"/>
        <s v="Grampeador Ate 20 fls"/>
        <s v="Caixa Organizadora 20L"/>
        <s v="Estante de Aco 6 Prateiras"/>
        <s v="Fonte ATX 600W 80 Plus"/>
        <s v="Bateria de CMOS CR2032"/>
        <s v="Maleta para Documentos"/>
        <s v="Mousepad Gamer Extra Large"/>
        <s v="Leitor Cartao de Memoria"/>
        <s v="Memoria Server 32GB ECC"/>
        <s v="Fita para Etiquetadora"/>
        <s v="Trava de Seguranca Note"/>
        <s v="Envelope Bolha A4 10un"/>
        <s v="Alfinete para Quadro 50un"/>
        <s v="Teclado Wireless Logi"/>
        <s v="Impressora Termica Cupom"/>
        <s v="Software de Backup Cloud"/>
        <s v="Estilete Largo Profissional"/>
        <s v="Tinta para Carimbo 30ml"/>
        <s v="Pasta Catalogo 50 Envelopes"/>
        <s v="Patch Panel 24 Portas"/>
        <s v="Tela de Projecao 100 pol"/>
        <s v="Chassis para Media Conv"/>
        <s v="Bloco de Notas Espiral"/>
        <s v="Headset com Microfone"/>
        <s v="Licenca Firewall Sophos"/>
        <s v="Filtro Privacidade 14pol"/>
        <s v="Hub USB 3.0 4 Portas"/>
        <s v="Nobreak 1500VA Biz"/>
        <s v="Switch Poe 8 Portas"/>
        <s v="Fita para Empacotamento"/>
        <s v="Lâmina Estilete 10un"/>
        <s v="Transceiver SFP+ 10G"/>
        <s v="Switch 24 Portas Giga"/>
        <s v="Ar Comprimido Limpeza"/>
        <s v="Servidor Tower i3 16GB"/>
        <s v="Injetor PoE Gigabit"/>
        <s v="Fita Adesiva Transp 45x40"/>
        <s v="Fonte Redundante 750W"/>
        <s v="KVM Switch 4 Portas"/>
        <s v="Assinatura Adobe CC Anual"/>
        <s v="Patch Cord Cat6a 2m"/>
        <s v="Organizador de Cabos Spiral"/>
        <s v="Multimetro Digital"/>
        <s v="Servidor Rack 1U"/>
        <s v="Windows Server 2022 CAL"/>
        <s v="Rack de Parede 9U"/>
        <s v="Antivirus Endpoint 1 Ano"/>
        <s v="Tesoura de Picotar"/>
        <s v="Estabilizador 1000VA"/>
        <s v="Soprador Térmico 1800W"/>
        <s v="Memoria RAM 8GB DDR4"/>
        <s v="Tesoura Multiuso"/>
        <s v="Adaptador Wi-Fi USB 5G"/>
        <s v="Cracha de Identificacao"/>
        <s v="Cabo Serial Console"/>
        <s v="Bloco Auto-Adesivo 76x76"/>
        <s v="Extrator de Grampos"/>
        <s v="Suporte Projetor Teto"/>
        <s v="Kit Chaves Precisao"/>
        <s v="Apagador para Quadro"/>
        <s v="Pendrive 128GB Metal"/>
        <s v="KVM Console Gaveta 17"/>
        <s v="Webcam 4K Streaming"/>
        <s v="Conversor de Midia Fibra"/>
        <s v="HD SAS 600GB 15K"/>
        <s v="Estacao de Solda Prof"/>
        <s v="Spray Limpa Contatos"/>
        <s v="Grafite 0.7mm HB"/>
        <s v="Caneta Digital para Tablet"/>
        <s v="Pasta L Transparente 10un"/>
        <s v="Papel Fotografico A4 20fls"/>
        <s v="Calculadora de Mesa 12 Dig"/>
        <s v="Mini Rack 6U Parede"/>
        <s v="Mochila para Notebook 15.6"/>
        <s v="HD SkyHawk 4TB (CFTV)"/>
        <s v="Pacote Office Business Anual"/>
        <s v="Borracha Branca Escolar"/>
        <s v="Quadro de Avisos Cortica"/>
        <s v="Projetor Multimidia 4K"/>
        <s v="Mesa Digitalizadora Media"/>
        <s v="Placa de Rede Quad Port"/>
        <s v="Mouse Ergonomico Vertical"/>
        <s v="Protetor Eletronico 8 Tom"/>
        <s v="Gaveteiro 3 Gavetas"/>
        <s v="Maleta Rigida Notebook"/>
        <s v="Ferramenta BI Assinatura"/>
        <s v="Filtro de Linha 6 Tomadas"/>
        <s v="Case para HD Externo 2.5"/>
        <s v="Decapador de Cabos"/>
        <s v="Microfone de Mesa USB"/>
        <s v="Grampeador de Tapeceiro"/>
        <s v="Adaptador USB-C para HDMI"/>
        <s v="Quadro Branco 90x60"/>
        <s v="Suporte de Pasta Acrilico"/>
        <s v="Exaustor para Rack"/>
        <s v="Ferro de Solda 40W"/>
        <s v="Mini PC Industrial i3"/>
        <s v="Almofada para Carimbo"/>
        <s v="Monitor 27 pol 4K"/>
        <s v="Placa de Rede Fibra 10G"/>
        <s v="Assinatura Zoom Business"/>
        <s v="Pasta Termica High Silver"/>
        <s v="Leitor de Codigo de Barras"/>
        <s v="Cartao de Memoria 128GB"/>
        <s v="Caixa de Som 2.0 USB"/>
        <s v="Calculadora Cientifica"/>
        <s v="Perfurador 2 Furos 40fls"/>
        <s v="Armario de Aco 2 Portas"/>
        <s v="Organizador de Mesa Acril"/>
        <s v="Cooler para Gabinete 120mm"/>
        <s v="Cabo de Rede Cat6 3m"/>
        <s v="Scanner de Documentos"/>
        <s v="Notebook i3 8GB SSD"/>
        <s v="Carimbo Datador Autom"/>
        <s v="Elastico de Borracha 100g"/>
        <s v="Guia de Cabos Horizontal"/>
        <s v="Suporte CPU com Rodas"/>
        <s v="Marcador de Texto Amarelo"/>
        <s v="Placa de Video 4GB"/>
        <s v="Suporte para Monitor Articulado"/>
        <s v="Controladora RAID PCIe"/>
        <s v="Porta Recados Aramado"/>
        <s v="Prancheta Oficio Madeira"/>
        <s v="Access Point Corporativo"/>
        <s v="Kit Limpeza Telas"/>
        <s v="Antena Wi-Fi High Gain"/>
        <s v="Câmera IP PoE Dome"/>
        <s v="Placa Mae B550M"/>
        <s v="Hub USB-C 7 em 1"/>
        <s v="Mesa de Reuniao 2.0m"/>
        <s v="Arquivo Morto Papelao"/>
        <s v="Agenda Diaria Executiva"/>
        <s v="Pulseira Antiestatica"/>
        <s v="Trilho para Servidor Univ"/>
        <s v="Memoria Notebook 16GB"/>
      </sharedItems>
    </cacheField>
    <cacheField name="Quantidade" numFmtId="0">
      <sharedItems containsSemiMixedTypes="0" containsString="0" containsNumber="1" containsInteger="1" minValue="1" maxValue="574"/>
    </cacheField>
    <cacheField name="Valor Unitário" numFmtId="164">
      <sharedItems containsSemiMixedTypes="0" containsString="0" containsNumber="1" minValue="1.5" maxValue="28000"/>
    </cacheField>
    <cacheField name="Valor Total" numFmtId="164">
      <sharedItems containsSemiMixedTypes="0" containsString="0" containsNumber="1" minValue="2.5" maxValue="2072000"/>
    </cacheField>
    <cacheField name="Status Financeiro" numFmtId="0">
      <sharedItems count="3">
        <s v="Pago"/>
        <s v="Pendente"/>
        <s v="Atrasado"/>
      </sharedItems>
    </cacheField>
    <cacheField name="Status Logistico" numFmtId="0">
      <sharedItems count="3">
        <s v="Entregue"/>
        <s v="Aguardando"/>
        <s v="Em Rota"/>
      </sharedItems>
    </cacheField>
    <cacheField name="Previsão de Entrega" numFmtId="14">
      <sharedItems containsDate="1" containsMixedTypes="1" minDate="1899-12-30T00:00:00" maxDate="2026-05-08T00:00:00"/>
    </cacheField>
    <cacheField name="Meses (Data)" numFmtId="0" databaseField="0">
      <fieldGroup base="1">
        <rangePr groupBy="months" startDate="2025-01-01T00:00:00" endDate="2026-05-03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/2026"/>
        </groupItems>
      </fieldGroup>
    </cacheField>
    <cacheField name="Trimestres (Data)" numFmtId="0" databaseField="0">
      <fieldGroup base="1">
        <rangePr groupBy="quarters" startDate="2025-01-01T00:00:00" endDate="2026-05-03T00:00:00"/>
        <groupItems count="6">
          <s v="&lt;1/1/2025"/>
          <s v="Trim1"/>
          <s v="Trim2"/>
          <s v="Trim3"/>
          <s v="Trim4"/>
          <s v="&gt;5/3/2026"/>
        </groupItems>
      </fieldGroup>
    </cacheField>
    <cacheField name="Anos (Data)" numFmtId="0" databaseField="0">
      <fieldGroup base="1">
        <rangePr groupBy="years" startDate="2025-01-01T00:00:00" endDate="2026-05-03T00:00:00"/>
        <groupItems count="4">
          <s v="&lt;1/1/2025"/>
          <s v="2025"/>
          <s v="2026"/>
          <s v="&gt;5/3/2026"/>
        </groupItems>
      </fieldGroup>
    </cacheField>
  </cacheFields>
  <extLst>
    <ext xmlns:x14="http://schemas.microsoft.com/office/spreadsheetml/2009/9/main" uri="{725AE2AE-9491-48be-B2B4-4EB974FC3084}">
      <x14:pivotCacheDefinition pivotCacheId="6676181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Monitor 24 pol Full HD"/>
    <n v="10"/>
    <n v="179"/>
    <n v="18"/>
    <n v="161"/>
    <x v="0"/>
  </r>
  <r>
    <x v="1"/>
    <s v="Teclado Mecanico RGB"/>
    <n v="15"/>
    <n v="107"/>
    <n v="89"/>
    <n v="18"/>
    <x v="0"/>
  </r>
  <r>
    <x v="2"/>
    <s v="Mouse Sem Fio Optico"/>
    <n v="30"/>
    <n v="227"/>
    <n v="156"/>
    <n v="71"/>
    <x v="0"/>
  </r>
  <r>
    <x v="3"/>
    <s v="Cadeira Ergonomica Office"/>
    <n v="5"/>
    <n v="157"/>
    <n v="130"/>
    <n v="27"/>
    <x v="0"/>
  </r>
  <r>
    <x v="4"/>
    <s v="Notebook i5 8GB 256GB SSD"/>
    <n v="8"/>
    <n v="25"/>
    <n v="13"/>
    <n v="12"/>
    <x v="0"/>
  </r>
  <r>
    <x v="5"/>
    <s v="Notebook i7 16GB 512GB SSD"/>
    <n v="4"/>
    <n v="96"/>
    <n v="75"/>
    <n v="21"/>
    <x v="0"/>
  </r>
  <r>
    <x v="6"/>
    <s v="Impressora Laser Color"/>
    <n v="3"/>
    <n v="57"/>
    <n v="56"/>
    <n v="1"/>
    <x v="1"/>
  </r>
  <r>
    <x v="7"/>
    <s v="Toner Preto High Yield"/>
    <n v="20"/>
    <n v="53"/>
    <n v="46"/>
    <n v="7"/>
    <x v="1"/>
  </r>
  <r>
    <x v="8"/>
    <s v="Cabo HDMI 2.0 2m"/>
    <n v="50"/>
    <n v="226"/>
    <n v="180"/>
    <n v="46"/>
    <x v="1"/>
  </r>
  <r>
    <x v="9"/>
    <s v="SSD 480GB SATA3"/>
    <n v="25"/>
    <n v="83"/>
    <n v="50"/>
    <n v="33"/>
    <x v="0"/>
  </r>
  <r>
    <x v="10"/>
    <s v="Memoria RAM 8GB DDR4"/>
    <n v="15"/>
    <n v="179"/>
    <n v="89"/>
    <n v="90"/>
    <x v="0"/>
  </r>
  <r>
    <x v="11"/>
    <s v="Webcam 1080p Business"/>
    <n v="12"/>
    <n v="42"/>
    <n v="33"/>
    <n v="9"/>
    <x v="1"/>
  </r>
  <r>
    <x v="12"/>
    <s v="Headset com Microfone"/>
    <n v="20"/>
    <n v="246"/>
    <n v="236"/>
    <n v="10"/>
    <x v="1"/>
  </r>
  <r>
    <x v="13"/>
    <s v="Roteador Wi-Fi 6"/>
    <n v="10"/>
    <n v="117"/>
    <n v="92"/>
    <n v="25"/>
    <x v="0"/>
  </r>
  <r>
    <x v="14"/>
    <s v="Switch 24 Portas Giga"/>
    <n v="5"/>
    <n v="246"/>
    <n v="237"/>
    <n v="9"/>
    <x v="0"/>
  </r>
  <r>
    <x v="15"/>
    <s v="Filtro de Linha 6 Tomadas"/>
    <n v="40"/>
    <n v="117"/>
    <n v="35"/>
    <n v="82"/>
    <x v="0"/>
  </r>
  <r>
    <x v="16"/>
    <s v="Adaptador USB-C para HDMI"/>
    <n v="15"/>
    <n v="152"/>
    <n v="113"/>
    <n v="39"/>
    <x v="0"/>
  </r>
  <r>
    <x v="17"/>
    <s v="HD Externo 1TB"/>
    <n v="10"/>
    <n v="114"/>
    <n v="113"/>
    <n v="1"/>
    <x v="1"/>
  </r>
  <r>
    <x v="18"/>
    <s v="Suporte para Monitor Articulado"/>
    <n v="8"/>
    <n v="61"/>
    <n v="50"/>
    <n v="11"/>
    <x v="0"/>
  </r>
  <r>
    <x v="19"/>
    <s v="Estabilizador 1000VA"/>
    <n v="6"/>
    <n v="37"/>
    <n v="26"/>
    <n v="11"/>
    <x v="0"/>
  </r>
  <r>
    <x v="20"/>
    <s v="Pacote Office Business Anual"/>
    <n v="100"/>
    <n v="152"/>
    <n v="0"/>
    <n v="152"/>
    <x v="0"/>
  </r>
  <r>
    <x v="21"/>
    <s v="Licenca Windows 11 Pro"/>
    <n v="100"/>
    <n v="215"/>
    <n v="10"/>
    <n v="205"/>
    <x v="0"/>
  </r>
  <r>
    <x v="22"/>
    <s v="Antivirus Endpoint 1 Ano"/>
    <n v="200"/>
    <n v="400"/>
    <n v="328"/>
    <n v="72"/>
    <x v="1"/>
  </r>
  <r>
    <x v="23"/>
    <s v="Assinatura Adobe CC Anual"/>
    <n v="50"/>
    <n v="323"/>
    <n v="226"/>
    <n v="97"/>
    <x v="0"/>
  </r>
  <r>
    <x v="24"/>
    <s v="Software de Backup Cloud"/>
    <n v="100"/>
    <n v="111"/>
    <n v="99"/>
    <n v="12"/>
    <x v="1"/>
  </r>
  <r>
    <x v="25"/>
    <s v="Mousepad Gamer Extra Large"/>
    <n v="25"/>
    <n v="264"/>
    <n v="222"/>
    <n v="42"/>
    <x v="0"/>
  </r>
  <r>
    <x v="26"/>
    <s v="Hub USB 3.0 4 Portas"/>
    <n v="30"/>
    <n v="144"/>
    <n v="112"/>
    <n v="32"/>
    <x v="0"/>
  </r>
  <r>
    <x v="27"/>
    <s v="Cabo de Rede Cat6 3m"/>
    <n v="60"/>
    <n v="83"/>
    <n v="82"/>
    <n v="1"/>
    <x v="1"/>
  </r>
  <r>
    <x v="28"/>
    <s v="Caneta Digital para Tablet"/>
    <n v="10"/>
    <n v="206"/>
    <n v="203"/>
    <n v="3"/>
    <x v="1"/>
  </r>
  <r>
    <x v="29"/>
    <s v="Mochila para Notebook 15.6"/>
    <n v="15"/>
    <n v="123"/>
    <n v="117"/>
    <n v="6"/>
    <x v="1"/>
  </r>
  <r>
    <x v="30"/>
    <s v="Nobreak 1500VA Biz"/>
    <n v="4"/>
    <n v="92"/>
    <n v="12"/>
    <n v="80"/>
    <x v="0"/>
  </r>
  <r>
    <x v="31"/>
    <s v="Base Resfriadora Notebook"/>
    <n v="20"/>
    <n v="92"/>
    <n v="42"/>
    <n v="50"/>
    <x v="0"/>
  </r>
  <r>
    <x v="32"/>
    <s v="Pendrive 64GB USB 3.1"/>
    <n v="50"/>
    <n v="311"/>
    <n v="170"/>
    <n v="141"/>
    <x v="0"/>
  </r>
  <r>
    <x v="33"/>
    <s v="Projetor Multimidia 4K"/>
    <n v="2"/>
    <n v="109"/>
    <n v="101"/>
    <n v="8"/>
    <x v="0"/>
  </r>
  <r>
    <x v="34"/>
    <s v="Tela de Projecao 100 pol"/>
    <n v="3"/>
    <n v="129"/>
    <n v="129"/>
    <n v="0"/>
    <x v="1"/>
  </r>
  <r>
    <x v="35"/>
    <s v="Mini PC Industrial i3"/>
    <n v="5"/>
    <n v="72"/>
    <n v="61"/>
    <n v="11"/>
    <x v="0"/>
  </r>
  <r>
    <x v="36"/>
    <s v="Placa de Video 4GB"/>
    <n v="6"/>
    <n v="152"/>
    <n v="96"/>
    <n v="56"/>
    <x v="0"/>
  </r>
  <r>
    <x v="37"/>
    <s v="Cooler Processador Universal"/>
    <n v="15"/>
    <n v="152"/>
    <n v="0"/>
    <n v="152"/>
    <x v="0"/>
  </r>
  <r>
    <x v="38"/>
    <s v="Pasta Termica High Silver"/>
    <n v="25"/>
    <n v="123"/>
    <n v="70"/>
    <n v="53"/>
    <x v="0"/>
  </r>
  <r>
    <x v="39"/>
    <s v="Bateria de CMOS CR2032"/>
    <n v="100"/>
    <n v="151"/>
    <n v="70"/>
    <n v="81"/>
    <x v="1"/>
  </r>
  <r>
    <x v="40"/>
    <s v="Cartao de Memoria 128GB"/>
    <n v="30"/>
    <n v="184"/>
    <n v="98"/>
    <n v="86"/>
    <x v="0"/>
  </r>
  <r>
    <x v="41"/>
    <s v="Docking Station Universal"/>
    <n v="7"/>
    <n v="141"/>
    <n v="85"/>
    <n v="56"/>
    <x v="0"/>
  </r>
  <r>
    <x v="42"/>
    <s v="Kit Limpeza Telas"/>
    <n v="50"/>
    <n v="118"/>
    <n v="109"/>
    <n v="9"/>
    <x v="1"/>
  </r>
  <r>
    <x v="43"/>
    <s v="Caixa de Som 2.0 USB"/>
    <n v="20"/>
    <n v="84"/>
    <n v="0"/>
    <n v="84"/>
    <x v="0"/>
  </r>
  <r>
    <x v="44"/>
    <s v="Microfone de Mesa USB"/>
    <n v="10"/>
    <n v="84"/>
    <n v="78"/>
    <n v="6"/>
    <x v="1"/>
  </r>
  <r>
    <x v="45"/>
    <s v="Organizador de Cabos Spiral"/>
    <n v="100"/>
    <n v="477"/>
    <n v="335"/>
    <n v="142"/>
    <x v="0"/>
  </r>
  <r>
    <x v="46"/>
    <s v="Etiquetadora Termica"/>
    <n v="8"/>
    <n v="74"/>
    <n v="29"/>
    <n v="45"/>
    <x v="0"/>
  </r>
  <r>
    <x v="47"/>
    <s v="Fita para Etiquetadora"/>
    <n v="40"/>
    <n v="204"/>
    <n v="148"/>
    <n v="56"/>
    <x v="0"/>
  </r>
  <r>
    <x v="48"/>
    <s v="Scanner de Documentos"/>
    <n v="4"/>
    <n v="266"/>
    <n v="0"/>
    <n v="266"/>
    <x v="0"/>
  </r>
  <r>
    <x v="49"/>
    <s v="Leitor de Codigo de Barras"/>
    <n v="15"/>
    <n v="137"/>
    <n v="86"/>
    <n v="51"/>
    <x v="0"/>
  </r>
  <r>
    <x v="50"/>
    <s v="Papel A4 Report 500fls"/>
    <n v="100"/>
    <n v="509"/>
    <n v="330"/>
    <n v="179"/>
    <x v="0"/>
  </r>
  <r>
    <x v="51"/>
    <s v="Clips Metalicos 33mm 100un"/>
    <n v="200"/>
    <n v="342"/>
    <n v="340"/>
    <n v="2"/>
    <x v="1"/>
  </r>
  <r>
    <x v="52"/>
    <s v="Grampeador Ate 20 fls"/>
    <n v="30"/>
    <n v="207"/>
    <n v="175"/>
    <n v="32"/>
    <x v="0"/>
  </r>
  <r>
    <x v="53"/>
    <s v="Caixa de Grampos 26/6"/>
    <n v="150"/>
    <n v="382"/>
    <n v="305"/>
    <n v="77"/>
    <x v="1"/>
  </r>
  <r>
    <x v="54"/>
    <s v="Pasta Suspensa Kraft 10un"/>
    <n v="80"/>
    <n v="115"/>
    <n v="27"/>
    <n v="88"/>
    <x v="0"/>
  </r>
  <r>
    <x v="55"/>
    <s v="Envelope Pardo A4 50un"/>
    <n v="120"/>
    <n v="314"/>
    <n v="98"/>
    <n v="216"/>
    <x v="0"/>
  </r>
  <r>
    <x v="56"/>
    <s v="Caneta Esferografica Azul"/>
    <n v="500"/>
    <n v="819"/>
    <n v="771"/>
    <n v="48"/>
    <x v="1"/>
  </r>
  <r>
    <x v="57"/>
    <s v="Caneta Esferografica Preta"/>
    <n v="500"/>
    <n v="1157"/>
    <n v="537"/>
    <n v="620"/>
    <x v="0"/>
  </r>
  <r>
    <x v="58"/>
    <s v="Lapiseira 0.7mm"/>
    <n v="100"/>
    <n v="276"/>
    <n v="272"/>
    <n v="4"/>
    <x v="1"/>
  </r>
  <r>
    <x v="59"/>
    <s v="Grafite 0.7mm HB"/>
    <n v="150"/>
    <n v="292"/>
    <n v="0"/>
    <n v="292"/>
    <x v="0"/>
  </r>
  <r>
    <x v="60"/>
    <s v="Borracha Branca Escolar"/>
    <n v="150"/>
    <n v="220"/>
    <n v="218"/>
    <n v="2"/>
    <x v="1"/>
  </r>
  <r>
    <x v="61"/>
    <s v="Regua 30cm Acrilico"/>
    <n v="100"/>
    <n v="303"/>
    <n v="291"/>
    <n v="12"/>
    <x v="1"/>
  </r>
  <r>
    <x v="62"/>
    <s v="Tesoura Multiuso"/>
    <n v="50"/>
    <n v="126"/>
    <n v="61"/>
    <n v="65"/>
    <x v="0"/>
  </r>
  <r>
    <x v="63"/>
    <s v="Cola em Bastao 40g"/>
    <n v="60"/>
    <n v="263"/>
    <n v="253"/>
    <n v="10"/>
    <x v="1"/>
  </r>
  <r>
    <x v="64"/>
    <s v="Fita Adesiva Transp 45x40"/>
    <n v="90"/>
    <n v="223"/>
    <n v="0"/>
    <n v="223"/>
    <x v="0"/>
  </r>
  <r>
    <x v="65"/>
    <s v="Calculadora Cientifica"/>
    <n v="20"/>
    <n v="230"/>
    <n v="34"/>
    <n v="196"/>
    <x v="0"/>
  </r>
  <r>
    <x v="66"/>
    <s v="Marcador de Texto Amarelo"/>
    <n v="200"/>
    <n v="348"/>
    <n v="83"/>
    <n v="265"/>
    <x v="0"/>
  </r>
  <r>
    <x v="67"/>
    <s v="Quadro Branco 90x60"/>
    <n v="5"/>
    <n v="224"/>
    <n v="89"/>
    <n v="135"/>
    <x v="0"/>
  </r>
  <r>
    <x v="68"/>
    <s v="Apagador para Quadro"/>
    <n v="30"/>
    <n v="239"/>
    <n v="229"/>
    <n v="10"/>
    <x v="1"/>
  </r>
  <r>
    <x v="69"/>
    <s v="Marcador para Quadro Azul"/>
    <n v="100"/>
    <n v="498"/>
    <n v="291"/>
    <n v="207"/>
    <x v="0"/>
  </r>
  <r>
    <x v="70"/>
    <s v="Bloco Auto-Adesivo 76x76"/>
    <n v="250"/>
    <n v="413"/>
    <n v="324"/>
    <n v="89"/>
    <x v="1"/>
  </r>
  <r>
    <x v="71"/>
    <s v="Agenda Diaria Executiva"/>
    <n v="40"/>
    <n v="61"/>
    <n v="53"/>
    <n v="8"/>
    <x v="1"/>
  </r>
  <r>
    <x v="72"/>
    <s v="Cracha de Identificacao"/>
    <n v="300"/>
    <n v="443"/>
    <n v="65"/>
    <n v="378"/>
    <x v="0"/>
  </r>
  <r>
    <x v="73"/>
    <s v="Cordao para Cracha"/>
    <n v="300"/>
    <n v="372"/>
    <n v="371"/>
    <n v="1"/>
    <x v="1"/>
  </r>
  <r>
    <x v="74"/>
    <s v="Suporte de Pasta Acrilico"/>
    <n v="15"/>
    <n v="243"/>
    <n v="243"/>
    <n v="0"/>
    <x v="1"/>
  </r>
  <r>
    <x v="75"/>
    <s v="Fragmentadora de Papel"/>
    <n v="4"/>
    <n v="10"/>
    <n v="8"/>
    <n v="2"/>
    <x v="1"/>
  </r>
  <r>
    <x v="76"/>
    <s v="Lixeira de Escritorio 10L"/>
    <n v="20"/>
    <n v="265"/>
    <n v="203"/>
    <n v="62"/>
    <x v="0"/>
  </r>
  <r>
    <x v="77"/>
    <s v="Porta Canetas Telado"/>
    <n v="35"/>
    <n v="174"/>
    <n v="174"/>
    <n v="0"/>
    <x v="1"/>
  </r>
  <r>
    <x v="78"/>
    <s v="Maleta para Documentos"/>
    <n v="12"/>
    <n v="253"/>
    <n v="0"/>
    <n v="253"/>
    <x v="0"/>
  </r>
  <r>
    <x v="79"/>
    <s v="Quadro de Avisos Cortica"/>
    <n v="6"/>
    <n v="240"/>
    <n v="171"/>
    <n v="69"/>
    <x v="0"/>
  </r>
  <r>
    <x v="80"/>
    <s v="Servidor Rack 1U"/>
    <n v="2"/>
    <n v="119"/>
    <n v="42"/>
    <n v="77"/>
    <x v="0"/>
  </r>
  <r>
    <x v="81"/>
    <s v="HD SAS 600GB 15K"/>
    <n v="10"/>
    <n v="144"/>
    <n v="123"/>
    <n v="21"/>
    <x v="0"/>
  </r>
  <r>
    <x v="82"/>
    <s v="Memoria Server 32GB ECC"/>
    <n v="8"/>
    <n v="197"/>
    <n v="85"/>
    <n v="112"/>
    <x v="0"/>
  </r>
  <r>
    <x v="83"/>
    <s v="Placa de Rede Fibra 10G"/>
    <n v="5"/>
    <n v="69"/>
    <n v="66"/>
    <n v="3"/>
    <x v="1"/>
  </r>
  <r>
    <x v="84"/>
    <s v="Cabo Optico Patch Cord 3m"/>
    <n v="30"/>
    <n v="187"/>
    <n v="144"/>
    <n v="43"/>
    <x v="0"/>
  </r>
  <r>
    <x v="85"/>
    <s v="Transceiver SFP+ 10G"/>
    <n v="20"/>
    <n v="184"/>
    <n v="23"/>
    <n v="161"/>
    <x v="0"/>
  </r>
  <r>
    <x v="86"/>
    <s v="Patch Panel 24 Portas"/>
    <n v="10"/>
    <n v="13"/>
    <n v="12"/>
    <n v="1"/>
    <x v="1"/>
  </r>
  <r>
    <x v="87"/>
    <s v="Guia de Cabos Horizontal"/>
    <n v="15"/>
    <n v="90"/>
    <n v="64"/>
    <n v="26"/>
    <x v="0"/>
  </r>
  <r>
    <x v="88"/>
    <s v="Rack de Parede 9U"/>
    <n v="4"/>
    <n v="119"/>
    <n v="72"/>
    <n v="47"/>
    <x v="0"/>
  </r>
  <r>
    <x v="89"/>
    <s v="Bandeja Fixa para Rack"/>
    <n v="10"/>
    <n v="240"/>
    <n v="79"/>
    <n v="161"/>
    <x v="0"/>
  </r>
  <r>
    <x v="90"/>
    <s v="Unidade LTO-8 Backup"/>
    <n v="1"/>
    <n v="146"/>
    <n v="12"/>
    <n v="134"/>
    <x v="0"/>
  </r>
  <r>
    <x v="91"/>
    <s v="Fita LTO-8 Ultrium"/>
    <n v="20"/>
    <n v="223"/>
    <n v="197"/>
    <n v="26"/>
    <x v="0"/>
  </r>
  <r>
    <x v="92"/>
    <s v="KVM Switch 4 Portas"/>
    <n v="3"/>
    <n v="82"/>
    <n v="48"/>
    <n v="34"/>
    <x v="0"/>
  </r>
  <r>
    <x v="93"/>
    <s v="Exaustor para Rack"/>
    <n v="8"/>
    <n v="224"/>
    <n v="2"/>
    <n v="222"/>
    <x v="0"/>
  </r>
  <r>
    <x v="94"/>
    <s v="Controladora RAID PCIe"/>
    <n v="4"/>
    <n v="197"/>
    <n v="186"/>
    <n v="11"/>
    <x v="0"/>
  </r>
  <r>
    <x v="95"/>
    <s v="Sensor de Temperatura IP"/>
    <n v="6"/>
    <n v="76"/>
    <n v="60"/>
    <n v="16"/>
    <x v="0"/>
  </r>
  <r>
    <x v="96"/>
    <s v="Câmera IP PoE Dome"/>
    <n v="15"/>
    <n v="29"/>
    <n v="0"/>
    <n v="29"/>
    <x v="0"/>
  </r>
  <r>
    <x v="97"/>
    <s v="Gravador NVR 8 Canais"/>
    <n v="4"/>
    <n v="135"/>
    <n v="125"/>
    <n v="10"/>
    <x v="0"/>
  </r>
  <r>
    <x v="98"/>
    <s v="HD SkyHawk 4TB (CFTV)"/>
    <n v="10"/>
    <n v="209"/>
    <n v="126"/>
    <n v="83"/>
    <x v="0"/>
  </r>
  <r>
    <x v="99"/>
    <s v="Injetor PoE Gigabit"/>
    <n v="15"/>
    <n v="187"/>
    <n v="0"/>
    <n v="187"/>
    <x v="0"/>
  </r>
  <r>
    <x v="100"/>
    <s v="Monitor 27 pol 4K"/>
    <n v="6"/>
    <n v="73"/>
    <n v="23"/>
    <n v="50"/>
    <x v="0"/>
  </r>
  <r>
    <x v="101"/>
    <s v="Teclado Wireless Logi"/>
    <n v="20"/>
    <n v="23"/>
    <n v="17"/>
    <n v="6"/>
    <x v="1"/>
  </r>
  <r>
    <x v="102"/>
    <s v="Mouse Gamer 12000 DPI"/>
    <n v="25"/>
    <n v="111"/>
    <n v="111"/>
    <n v="0"/>
    <x v="1"/>
  </r>
  <r>
    <x v="103"/>
    <s v="Suporte Notebook Articulado"/>
    <n v="15"/>
    <n v="187"/>
    <n v="19"/>
    <n v="168"/>
    <x v="0"/>
  </r>
  <r>
    <x v="104"/>
    <s v="Notebook i3 8GB SSD"/>
    <n v="10"/>
    <n v="67"/>
    <n v="56"/>
    <n v="11"/>
    <x v="0"/>
  </r>
  <r>
    <x v="105"/>
    <s v="MacBook Air M2 13p"/>
    <n v="3"/>
    <n v="37"/>
    <n v="33"/>
    <n v="4"/>
    <x v="0"/>
  </r>
  <r>
    <x v="106"/>
    <s v="Impressora Termica Cupom"/>
    <n v="10"/>
    <n v="217"/>
    <n v="155"/>
    <n v="62"/>
    <x v="0"/>
  </r>
  <r>
    <x v="107"/>
    <s v="Toner Colorido (Kit 4)"/>
    <n v="5"/>
    <n v="35"/>
    <n v="28"/>
    <n v="7"/>
    <x v="0"/>
  </r>
  <r>
    <x v="108"/>
    <s v="Cabo DisplayPort 1.4"/>
    <n v="30"/>
    <n v="195"/>
    <n v="157"/>
    <n v="38"/>
    <x v="0"/>
  </r>
  <r>
    <x v="109"/>
    <s v="SSD M.2 NVMe 1TB"/>
    <n v="20"/>
    <n v="187"/>
    <n v="76"/>
    <n v="111"/>
    <x v="0"/>
  </r>
  <r>
    <x v="110"/>
    <s v="Memoria Notebook 16GB"/>
    <n v="15"/>
    <n v="71"/>
    <n v="0"/>
    <n v="71"/>
    <x v="0"/>
  </r>
  <r>
    <x v="111"/>
    <s v="Webcam 4K Streaming"/>
    <n v="5"/>
    <n v="89"/>
    <n v="87"/>
    <n v="2"/>
    <x v="1"/>
  </r>
  <r>
    <x v="112"/>
    <s v="Headphone Bluetooth NoiseC"/>
    <n v="8"/>
    <n v="136"/>
    <n v="36"/>
    <n v="100"/>
    <x v="0"/>
  </r>
  <r>
    <x v="113"/>
    <s v="Access Point Corporativo"/>
    <n v="7"/>
    <n v="19"/>
    <n v="7"/>
    <n v="12"/>
    <x v="0"/>
  </r>
  <r>
    <x v="114"/>
    <s v="Switch Poe 8 Portas"/>
    <n v="6"/>
    <n v="106"/>
    <n v="98"/>
    <n v="8"/>
    <x v="0"/>
  </r>
  <r>
    <x v="115"/>
    <s v="Protetor Eletronico 8 Tom"/>
    <n v="30"/>
    <n v="125"/>
    <n v="116"/>
    <n v="9"/>
    <x v="1"/>
  </r>
  <r>
    <x v="116"/>
    <s v="Adaptador Wi-Fi USB 5G"/>
    <n v="40"/>
    <n v="199"/>
    <n v="93"/>
    <n v="106"/>
    <x v="0"/>
  </r>
  <r>
    <x v="117"/>
    <s v="Case para HD Externo 2.5"/>
    <n v="25"/>
    <n v="77"/>
    <n v="66"/>
    <n v="11"/>
    <x v="1"/>
  </r>
  <r>
    <x v="118"/>
    <s v="Suporte CPU com Rodas"/>
    <n v="20"/>
    <n v="66"/>
    <n v="66"/>
    <n v="0"/>
    <x v="1"/>
  </r>
  <r>
    <x v="119"/>
    <s v="Conversor de Midia Fibra"/>
    <n v="10"/>
    <n v="198"/>
    <n v="64"/>
    <n v="134"/>
    <x v="0"/>
  </r>
  <r>
    <x v="120"/>
    <s v="Licenca SQL Server Standard"/>
    <n v="2"/>
    <n v="54"/>
    <n v="1"/>
    <n v="53"/>
    <x v="0"/>
  </r>
  <r>
    <x v="121"/>
    <s v="Windows Server 2022 CAL"/>
    <n v="50"/>
    <n v="353"/>
    <n v="104"/>
    <n v="249"/>
    <x v="0"/>
  </r>
  <r>
    <x v="122"/>
    <s v="Assinatura Zoom Business"/>
    <n v="20"/>
    <n v="156"/>
    <n v="93"/>
    <n v="63"/>
    <x v="0"/>
  </r>
  <r>
    <x v="123"/>
    <s v="Ferramenta BI Assinatura"/>
    <n v="40"/>
    <n v="249"/>
    <n v="128"/>
    <n v="121"/>
    <x v="0"/>
  </r>
  <r>
    <x v="124"/>
    <s v="Licenca Firewall Sophos"/>
    <n v="5"/>
    <n v="45"/>
    <n v="0"/>
    <n v="45"/>
    <x v="0"/>
  </r>
  <r>
    <x v="125"/>
    <s v="Mouse Ergonomico Vertical"/>
    <n v="12"/>
    <n v="40"/>
    <n v="39"/>
    <n v="1"/>
    <x v="1"/>
  </r>
  <r>
    <x v="126"/>
    <s v="Hub USB-C 7 em 1"/>
    <n v="15"/>
    <n v="71"/>
    <n v="45"/>
    <n v="26"/>
    <x v="0"/>
  </r>
  <r>
    <x v="127"/>
    <s v="Cabo de Rede Cat5e 5m"/>
    <n v="80"/>
    <n v="400"/>
    <n v="376"/>
    <n v="24"/>
    <x v="1"/>
  </r>
  <r>
    <x v="128"/>
    <s v="Mesa Digitalizadora Media"/>
    <n v="6"/>
    <n v="81"/>
    <n v="11"/>
    <n v="70"/>
    <x v="0"/>
  </r>
  <r>
    <x v="129"/>
    <s v="Maleta Rigida Notebook"/>
    <n v="10"/>
    <n v="160"/>
    <n v="31"/>
    <n v="129"/>
    <x v="0"/>
  </r>
  <r>
    <x v="130"/>
    <s v="Bateria Nobreak 12V 7Ah"/>
    <n v="20"/>
    <n v="238"/>
    <n v="93"/>
    <n v="145"/>
    <x v="0"/>
  </r>
  <r>
    <x v="131"/>
    <s v="Cooler para Gabinete 120mm"/>
    <n v="40"/>
    <n v="138"/>
    <n v="127"/>
    <n v="11"/>
    <x v="1"/>
  </r>
  <r>
    <x v="132"/>
    <s v="Pendrive 128GB Metal"/>
    <n v="30"/>
    <n v="119"/>
    <n v="77"/>
    <n v="42"/>
    <x v="0"/>
  </r>
  <r>
    <x v="133"/>
    <s v="Suporte Projetor Teto"/>
    <n v="8"/>
    <n v="165"/>
    <n v="96"/>
    <n v="69"/>
    <x v="0"/>
  </r>
  <r>
    <x v="134"/>
    <s v="Ponteira Laser Apresentador"/>
    <n v="20"/>
    <n v="251"/>
    <n v="0"/>
    <n v="251"/>
    <x v="0"/>
  </r>
  <r>
    <x v="135"/>
    <s v="Gabinete ATX Mid Tower"/>
    <n v="10"/>
    <n v="204"/>
    <n v="88"/>
    <n v="116"/>
    <x v="0"/>
  </r>
  <r>
    <x v="136"/>
    <s v="Fonte ATX 600W 80 Plus"/>
    <n v="12"/>
    <n v="193"/>
    <n v="64"/>
    <n v="129"/>
    <x v="0"/>
  </r>
  <r>
    <x v="137"/>
    <s v="Placa Mae B550M"/>
    <n v="8"/>
    <n v="185"/>
    <n v="0"/>
    <n v="185"/>
    <x v="0"/>
  </r>
  <r>
    <x v="138"/>
    <s v="SSD Externo Portatil 500GB"/>
    <n v="10"/>
    <n v="138"/>
    <n v="12"/>
    <n v="126"/>
    <x v="0"/>
  </r>
  <r>
    <x v="139"/>
    <s v="Leitor Cartao de Memoria"/>
    <n v="20"/>
    <n v="195"/>
    <n v="93"/>
    <n v="102"/>
    <x v="0"/>
  </r>
  <r>
    <x v="140"/>
    <s v="Filtro Privacidade 14pol"/>
    <n v="15"/>
    <n v="120"/>
    <n v="16"/>
    <n v="104"/>
    <x v="0"/>
  </r>
  <r>
    <x v="141"/>
    <s v="Trava de Seguranca Note"/>
    <n v="30"/>
    <n v="159"/>
    <n v="143"/>
    <n v="16"/>
    <x v="1"/>
  </r>
  <r>
    <x v="142"/>
    <s v="Spray Limpa Contatos"/>
    <n v="40"/>
    <n v="284"/>
    <n v="152"/>
    <n v="132"/>
    <x v="0"/>
  </r>
  <r>
    <x v="143"/>
    <s v="Ar Comprimido Limpeza"/>
    <n v="30"/>
    <n v="114"/>
    <n v="45"/>
    <n v="69"/>
    <x v="0"/>
  </r>
  <r>
    <x v="144"/>
    <s v="Pulseira Antiestatica"/>
    <n v="20"/>
    <n v="57"/>
    <n v="0"/>
    <n v="57"/>
    <x v="0"/>
  </r>
  <r>
    <x v="145"/>
    <s v="Alicate de Crimpagem RJ45"/>
    <n v="10"/>
    <n v="32"/>
    <n v="28"/>
    <n v="4"/>
    <x v="1"/>
  </r>
  <r>
    <x v="146"/>
    <s v="Testador de Cabo de Rede"/>
    <n v="10"/>
    <n v="137"/>
    <n v="57"/>
    <n v="80"/>
    <x v="0"/>
  </r>
  <r>
    <x v="147"/>
    <s v="Decapador de Cabos"/>
    <n v="15"/>
    <n v="212"/>
    <n v="173"/>
    <n v="39"/>
    <x v="0"/>
  </r>
  <r>
    <x v="148"/>
    <s v="Multimetro Digital"/>
    <n v="8"/>
    <n v="174"/>
    <n v="126"/>
    <n v="48"/>
    <x v="0"/>
  </r>
  <r>
    <x v="149"/>
    <s v="Lanterna de Led Inspeção"/>
    <n v="12"/>
    <n v="439"/>
    <n v="29"/>
    <n v="410"/>
    <x v="0"/>
  </r>
  <r>
    <x v="150"/>
    <s v="Papel Fotografico A4 20fls"/>
    <n v="50"/>
    <n v="366"/>
    <n v="276"/>
    <n v="90"/>
    <x v="0"/>
  </r>
  <r>
    <x v="151"/>
    <s v="Bloco de Notas Espiral"/>
    <n v="100"/>
    <n v="219"/>
    <n v="175"/>
    <n v="44"/>
    <x v="1"/>
  </r>
  <r>
    <x v="152"/>
    <s v="Tesoura de Picotar"/>
    <n v="15"/>
    <n v="97"/>
    <n v="0"/>
    <n v="97"/>
    <x v="0"/>
  </r>
  <r>
    <x v="153"/>
    <s v="Estilete Largo Profissional"/>
    <n v="40"/>
    <n v="418"/>
    <n v="268"/>
    <n v="150"/>
    <x v="0"/>
  </r>
  <r>
    <x v="154"/>
    <s v="Lâmina Estilete 10un"/>
    <n v="50"/>
    <n v="177"/>
    <n v="169"/>
    <n v="8"/>
    <x v="1"/>
  </r>
  <r>
    <x v="155"/>
    <s v="Perfurador 2 Furos 40fls"/>
    <n v="12"/>
    <n v="92"/>
    <n v="88"/>
    <n v="4"/>
    <x v="1"/>
  </r>
  <r>
    <x v="156"/>
    <s v="Fita Dupla Face 3M"/>
    <n v="60"/>
    <n v="179"/>
    <n v="178"/>
    <n v="1"/>
    <x v="1"/>
  </r>
  <r>
    <x v="157"/>
    <s v="Extrator de Grampos"/>
    <n v="100"/>
    <n v="286"/>
    <n v="173"/>
    <n v="113"/>
    <x v="0"/>
  </r>
  <r>
    <x v="158"/>
    <s v="Elastico de Borracha 100g"/>
    <n v="80"/>
    <n v="167"/>
    <n v="157"/>
    <n v="10"/>
    <x v="1"/>
  </r>
  <r>
    <x v="159"/>
    <s v="Alfinete para Quadro 50un"/>
    <n v="120"/>
    <n v="372"/>
    <n v="224"/>
    <n v="148"/>
    <x v="0"/>
  </r>
  <r>
    <x v="160"/>
    <s v="Prancheta Oficio Madeira"/>
    <n v="40"/>
    <n v="239"/>
    <n v="0"/>
    <n v="239"/>
    <x v="0"/>
  </r>
  <r>
    <x v="161"/>
    <s v="Organizador de Mesa Acril"/>
    <n v="20"/>
    <n v="199"/>
    <n v="188"/>
    <n v="11"/>
    <x v="1"/>
  </r>
  <r>
    <x v="162"/>
    <s v="Porta Recados Aramado"/>
    <n v="30"/>
    <n v="115"/>
    <n v="112"/>
    <n v="3"/>
    <x v="1"/>
  </r>
  <r>
    <x v="163"/>
    <s v="Carimbo Datador Autom"/>
    <n v="10"/>
    <n v="59"/>
    <n v="27"/>
    <n v="32"/>
    <x v="0"/>
  </r>
  <r>
    <x v="164"/>
    <s v="Almofada para Carimbo"/>
    <n v="25"/>
    <n v="208"/>
    <n v="108"/>
    <n v="100"/>
    <x v="0"/>
  </r>
  <r>
    <x v="165"/>
    <s v="Tinta para Carimbo 30ml"/>
    <n v="40"/>
    <n v="314"/>
    <n v="142"/>
    <n v="172"/>
    <x v="0"/>
  </r>
  <r>
    <x v="166"/>
    <s v="Pasta L Transparente 10un"/>
    <n v="100"/>
    <n v="197"/>
    <n v="123"/>
    <n v="74"/>
    <x v="1"/>
  </r>
  <r>
    <x v="167"/>
    <s v="Pasta Catalogo 50 Envelopes"/>
    <n v="40"/>
    <n v="236"/>
    <n v="215"/>
    <n v="21"/>
    <x v="1"/>
  </r>
  <r>
    <x v="168"/>
    <s v="Arquivo Morto Papelao"/>
    <n v="150"/>
    <n v="181"/>
    <n v="0"/>
    <n v="181"/>
    <x v="0"/>
  </r>
  <r>
    <x v="169"/>
    <s v="Caixa Organizadora 20L"/>
    <n v="30"/>
    <n v="138"/>
    <n v="128"/>
    <n v="10"/>
    <x v="1"/>
  </r>
  <r>
    <x v="170"/>
    <s v="Calculadora de Mesa 12 Dig"/>
    <n v="25"/>
    <n v="180"/>
    <n v="0"/>
    <n v="180"/>
    <x v="0"/>
  </r>
  <r>
    <x v="171"/>
    <s v="Grampeador de Tapeceiro"/>
    <n v="5"/>
    <n v="119"/>
    <n v="80"/>
    <n v="39"/>
    <x v="0"/>
  </r>
  <r>
    <x v="172"/>
    <s v="Fita para Empacotamento"/>
    <n v="100"/>
    <n v="128"/>
    <n v="127"/>
    <n v="1"/>
    <x v="1"/>
  </r>
  <r>
    <x v="173"/>
    <s v="Filme Stretch Manual 50cm"/>
    <n v="40"/>
    <n v="200"/>
    <n v="200"/>
    <n v="0"/>
    <x v="1"/>
  </r>
  <r>
    <x v="174"/>
    <s v="Plastico Bolha 1.2x50m"/>
    <n v="10"/>
    <n v="141"/>
    <n v="95"/>
    <n v="46"/>
    <x v="0"/>
  </r>
  <r>
    <x v="175"/>
    <s v="Envelope Bolha A4 10un"/>
    <n v="50"/>
    <n v="212"/>
    <n v="147"/>
    <n v="65"/>
    <x v="0"/>
  </r>
  <r>
    <x v="176"/>
    <s v="Estante de Aco 6 Prateiras"/>
    <n v="5"/>
    <n v="32"/>
    <n v="20"/>
    <n v="12"/>
    <x v="0"/>
  </r>
  <r>
    <x v="177"/>
    <s v="Armario de Aco 2 Portas"/>
    <n v="3"/>
    <n v="112"/>
    <n v="84"/>
    <n v="28"/>
    <x v="0"/>
  </r>
  <r>
    <x v="178"/>
    <s v="Mesa de Reuniao 2.0m"/>
    <n v="2"/>
    <n v="94"/>
    <n v="4"/>
    <n v="90"/>
    <x v="0"/>
  </r>
  <r>
    <x v="179"/>
    <s v="Gaveteiro 3 Gavetas"/>
    <n v="6"/>
    <n v="121"/>
    <n v="56"/>
    <n v="65"/>
    <x v="0"/>
  </r>
  <r>
    <x v="180"/>
    <s v="Servidor Tower i3 16GB"/>
    <n v="3"/>
    <n v="79"/>
    <n v="79"/>
    <n v="0"/>
    <x v="1"/>
  </r>
  <r>
    <x v="181"/>
    <s v="Fonte Redundante 750W"/>
    <n v="5"/>
    <n v="276"/>
    <n v="224"/>
    <n v="52"/>
    <x v="0"/>
  </r>
  <r>
    <x v="182"/>
    <s v="Placa de Rede Quad Port"/>
    <n v="4"/>
    <n v="170"/>
    <n v="164"/>
    <n v="6"/>
    <x v="0"/>
  </r>
  <r>
    <x v="183"/>
    <s v="Cabo Serial Console"/>
    <n v="20"/>
    <n v="273"/>
    <n v="181"/>
    <n v="92"/>
    <x v="0"/>
  </r>
  <r>
    <x v="184"/>
    <s v="PDU Básica 12 Tomadas"/>
    <n v="10"/>
    <n v="191"/>
    <n v="59"/>
    <n v="132"/>
    <x v="0"/>
  </r>
  <r>
    <x v="185"/>
    <s v="KVM Console Gaveta 17"/>
    <n v="2"/>
    <n v="244"/>
    <n v="47"/>
    <n v="197"/>
    <x v="0"/>
  </r>
  <r>
    <x v="186"/>
    <s v="Trilho para Servidor Univ"/>
    <n v="8"/>
    <n v="26"/>
    <n v="26"/>
    <n v="0"/>
    <x v="1"/>
  </r>
  <r>
    <x v="187"/>
    <s v="Chassis para Media Conv"/>
    <n v="3"/>
    <n v="150"/>
    <n v="114"/>
    <n v="36"/>
    <x v="0"/>
  </r>
  <r>
    <x v="188"/>
    <s v="Switch Core Layer 3"/>
    <n v="1"/>
    <n v="19"/>
    <n v="3"/>
    <n v="16"/>
    <x v="0"/>
  </r>
  <r>
    <x v="189"/>
    <s v="Firewall Hardware Mid"/>
    <n v="2"/>
    <n v="119"/>
    <n v="119"/>
    <n v="0"/>
    <x v="1"/>
  </r>
  <r>
    <x v="190"/>
    <s v="Antena Wi-Fi High Gain"/>
    <n v="15"/>
    <n v="47"/>
    <n v="26"/>
    <n v="21"/>
    <x v="0"/>
  </r>
  <r>
    <x v="191"/>
    <s v="Protetor Surto Coaxial"/>
    <n v="20"/>
    <n v="135"/>
    <n v="67"/>
    <n v="68"/>
    <x v="0"/>
  </r>
  <r>
    <x v="192"/>
    <s v="Mini Rack 6U Parede"/>
    <n v="6"/>
    <n v="33"/>
    <n v="19"/>
    <n v="14"/>
    <x v="0"/>
  </r>
  <r>
    <x v="193"/>
    <s v="Patch Cord Cat6a 2m"/>
    <n v="50"/>
    <n v="156"/>
    <n v="82"/>
    <n v="74"/>
    <x v="0"/>
  </r>
  <r>
    <x v="194"/>
    <s v="Terminador Optico"/>
    <n v="20"/>
    <n v="188"/>
    <n v="162"/>
    <n v="26"/>
    <x v="0"/>
  </r>
  <r>
    <x v="195"/>
    <s v="Kit Chaves Precisao"/>
    <n v="15"/>
    <n v="201"/>
    <n v="69"/>
    <n v="132"/>
    <x v="0"/>
  </r>
  <r>
    <x v="196"/>
    <s v="Soprador Térmico 1800W"/>
    <n v="5"/>
    <n v="170"/>
    <n v="107"/>
    <n v="63"/>
    <x v="0"/>
  </r>
  <r>
    <x v="197"/>
    <s v="Ferro de Solda 40W"/>
    <n v="12"/>
    <n v="159"/>
    <n v="0"/>
    <n v="159"/>
    <x v="0"/>
  </r>
  <r>
    <x v="198"/>
    <s v="Sugador de Solda"/>
    <n v="20"/>
    <n v="244"/>
    <n v="103"/>
    <n v="141"/>
    <x v="0"/>
  </r>
  <r>
    <x v="199"/>
    <s v="Estacao de Solda Prof"/>
    <n v="3"/>
    <n v="165"/>
    <n v="38"/>
    <n v="12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T0001"/>
    <x v="0"/>
    <x v="0"/>
    <s v="CLI005"/>
    <s v="Banco Futuro"/>
    <s v="PROD006"/>
    <x v="0"/>
    <n v="2"/>
    <n v="5500"/>
    <n v="11000"/>
    <x v="0"/>
    <x v="0"/>
    <s v="N/A"/>
  </r>
  <r>
    <s v="T0002"/>
    <x v="1"/>
    <x v="1"/>
    <s v="FORN001"/>
    <s v="TechFlow Solucoes"/>
    <s v="PROD001"/>
    <x v="1"/>
    <n v="10"/>
    <n v="850"/>
    <n v="8500"/>
    <x v="1"/>
    <x v="1"/>
    <d v="2025-01-07T00:00:00"/>
  </r>
  <r>
    <s v="T0003"/>
    <x v="2"/>
    <x v="0"/>
    <s v="CLI001"/>
    <s v="Industrias Alpha"/>
    <s v="PROD005"/>
    <x v="2"/>
    <n v="1"/>
    <n v="3500"/>
    <n v="3500"/>
    <x v="2"/>
    <x v="0"/>
    <s v="N/A"/>
  </r>
  <r>
    <s v="T0004"/>
    <x v="3"/>
    <x v="0"/>
    <s v="CLI020"/>
    <s v="Oficina Mecanica"/>
    <s v="PROD003"/>
    <x v="3"/>
    <n v="5"/>
    <n v="120"/>
    <n v="600"/>
    <x v="0"/>
    <x v="2"/>
    <s v="N/A"/>
  </r>
  <r>
    <s v="T0005"/>
    <x v="4"/>
    <x v="1"/>
    <s v="FORN008"/>
    <s v="Global Chips"/>
    <s v="PROD010"/>
    <x v="4"/>
    <n v="50"/>
    <n v="320"/>
    <n v="16000"/>
    <x v="0"/>
    <x v="0"/>
    <d v="2025-01-20T00:00:00"/>
  </r>
  <r>
    <s v="T0006"/>
    <x v="5"/>
    <x v="0"/>
    <s v="CLI010"/>
    <s v="Hotel Estrela"/>
    <s v="PROD042"/>
    <x v="5"/>
    <n v="1"/>
    <n v="890"/>
    <n v="890"/>
    <x v="0"/>
    <x v="0"/>
    <s v="N/A"/>
  </r>
  <r>
    <s v="T0007"/>
    <x v="6"/>
    <x v="1"/>
    <s v="FORN015"/>
    <s v="Print Smart"/>
    <s v="PROD051"/>
    <x v="6"/>
    <n v="100"/>
    <n v="28"/>
    <n v="2800"/>
    <x v="1"/>
    <x v="1"/>
    <d v="2025-01-10T00:00:00"/>
  </r>
  <r>
    <s v="T0008"/>
    <x v="7"/>
    <x v="0"/>
    <s v="CLI003"/>
    <s v="Hospital Vida"/>
    <s v="PROD106"/>
    <x v="7"/>
    <n v="1"/>
    <n v="9500"/>
    <n v="9500"/>
    <x v="0"/>
    <x v="2"/>
    <s v="N/A"/>
  </r>
  <r>
    <s v="T0009"/>
    <x v="8"/>
    <x v="0"/>
    <s v="CLI015"/>
    <s v="Pet Shop Amigo"/>
    <s v="PROD012"/>
    <x v="8"/>
    <n v="3"/>
    <n v="450"/>
    <n v="1350"/>
    <x v="2"/>
    <x v="1"/>
    <s v="N/A"/>
  </r>
  <r>
    <s v="T0010"/>
    <x v="9"/>
    <x v="1"/>
    <s v="FORN020"/>
    <s v="AI Systems"/>
    <s v="PROD121"/>
    <x v="9"/>
    <n v="1"/>
    <n v="15000"/>
    <n v="15000"/>
    <x v="0"/>
    <x v="0"/>
    <d v="2025-01-11T00:00:00"/>
  </r>
  <r>
    <s v="T0011"/>
    <x v="10"/>
    <x v="0"/>
    <s v="CLI007"/>
    <s v="Tecno Logica"/>
    <s v="PROD002"/>
    <x v="10"/>
    <n v="4"/>
    <n v="350"/>
    <n v="1400"/>
    <x v="1"/>
    <x v="2"/>
    <s v="N/A"/>
  </r>
  <r>
    <s v="T0012"/>
    <x v="11"/>
    <x v="0"/>
    <s v="CLI009"/>
    <s v="Farma Plus"/>
    <s v="PROD085"/>
    <x v="11"/>
    <n v="20"/>
    <n v="85"/>
    <n v="1700"/>
    <x v="0"/>
    <x v="0"/>
    <s v="N/A"/>
  </r>
  <r>
    <s v="T0013"/>
    <x v="12"/>
    <x v="1"/>
    <s v="FORN002"/>
    <s v="SoftPrime Licencas"/>
    <s v="PROD022"/>
    <x v="12"/>
    <n v="10"/>
    <n v="980"/>
    <n v="9800"/>
    <x v="0"/>
    <x v="0"/>
    <d v="2025-01-14T00:00:00"/>
  </r>
  <r>
    <s v="T0014"/>
    <x v="13"/>
    <x v="0"/>
    <s v="CLI018"/>
    <s v="Clinica Sorriso"/>
    <s v="PROD113"/>
    <x v="13"/>
    <n v="2"/>
    <n v="950"/>
    <n v="1900"/>
    <x v="1"/>
    <x v="2"/>
    <s v="N/A"/>
  </r>
  <r>
    <s v="T0015"/>
    <x v="14"/>
    <x v="0"/>
    <s v="CLI002"/>
    <s v="Varejo Total"/>
    <s v="PROD033"/>
    <x v="14"/>
    <n v="15"/>
    <n v="65"/>
    <n v="975"/>
    <x v="0"/>
    <x v="0"/>
    <s v="N/A"/>
  </r>
  <r>
    <s v="T0016"/>
    <x v="15"/>
    <x v="1"/>
    <s v="FORN011"/>
    <s v="Energy Solution"/>
    <s v="PROD131"/>
    <x v="15"/>
    <n v="5"/>
    <n v="145"/>
    <n v="725"/>
    <x v="2"/>
    <x v="1"/>
    <d v="2025-01-20T00:00:00"/>
  </r>
  <r>
    <s v="T0017"/>
    <x v="16"/>
    <x v="0"/>
    <s v="CLI004"/>
    <s v="Escola Saber"/>
    <s v="PROD009"/>
    <x v="16"/>
    <n v="30"/>
    <n v="45"/>
    <n v="1350"/>
    <x v="0"/>
    <x v="0"/>
    <s v="N/A"/>
  </r>
  <r>
    <s v="T0018"/>
    <x v="17"/>
    <x v="1"/>
    <s v="FORN005"/>
    <s v="CloudNexus Data"/>
    <s v="PROD189"/>
    <x v="17"/>
    <n v="1"/>
    <n v="22000"/>
    <n v="22000"/>
    <x v="0"/>
    <x v="0"/>
    <d v="2025-01-19T00:00:00"/>
  </r>
  <r>
    <s v="T0019"/>
    <x v="18"/>
    <x v="0"/>
    <s v="CLI012"/>
    <s v="Padaria Real"/>
    <s v="PROD007"/>
    <x v="18"/>
    <n v="1"/>
    <n v="1800"/>
    <n v="1800"/>
    <x v="0"/>
    <x v="2"/>
    <s v="N/A"/>
  </r>
  <r>
    <s v="T0020"/>
    <x v="19"/>
    <x v="0"/>
    <s v="CLI008"/>
    <s v="Supermercado Sol"/>
    <s v="PROD018"/>
    <x v="19"/>
    <n v="5"/>
    <n v="380"/>
    <n v="1900"/>
    <x v="1"/>
    <x v="0"/>
    <s v="N/A"/>
  </r>
  <r>
    <s v="T0021"/>
    <x v="19"/>
    <x v="1"/>
    <s v="FORN004"/>
    <s v="LogiBrasil Transportes"/>
    <s v="PROD195"/>
    <x v="20"/>
    <n v="29"/>
    <n v="120"/>
    <n v="3480"/>
    <x v="2"/>
    <x v="2"/>
    <d v="1899-12-30T00:00:00"/>
  </r>
  <r>
    <s v="T0022"/>
    <x v="19"/>
    <x v="1"/>
    <s v="FORN007"/>
    <s v="CyberSecurity SA"/>
    <s v="PROD157"/>
    <x v="21"/>
    <n v="95"/>
    <n v="28"/>
    <n v="2660"/>
    <x v="1"/>
    <x v="0"/>
    <d v="2025-01-27T00:00:00"/>
  </r>
  <r>
    <s v="T0023"/>
    <x v="19"/>
    <x v="1"/>
    <s v="FORN001"/>
    <s v="TechFlow Solucoes"/>
    <s v="PROD074"/>
    <x v="22"/>
    <n v="372"/>
    <n v="3.5"/>
    <n v="1302"/>
    <x v="0"/>
    <x v="2"/>
    <d v="2025-01-25T00:00:00"/>
  </r>
  <r>
    <s v="T0024"/>
    <x v="20"/>
    <x v="1"/>
    <s v="FORN009"/>
    <s v="Movel Tech"/>
    <s v="PROD175"/>
    <x v="23"/>
    <n v="99"/>
    <n v="110"/>
    <n v="10890"/>
    <x v="0"/>
    <x v="2"/>
    <d v="2025-01-31T00:00:00"/>
  </r>
  <r>
    <s v="T0025"/>
    <x v="21"/>
    <x v="1"/>
    <s v="FORN001"/>
    <s v="TechFlow Solucoes"/>
    <s v="PROD128"/>
    <x v="24"/>
    <n v="179"/>
    <n v="18"/>
    <n v="3222"/>
    <x v="1"/>
    <x v="1"/>
    <d v="2025-01-27T00:00:00"/>
  </r>
  <r>
    <s v="T0026"/>
    <x v="21"/>
    <x v="1"/>
    <s v="FORN010"/>
    <s v="DataCenter Pro"/>
    <s v="PROD135"/>
    <x v="25"/>
    <n v="42"/>
    <n v="120"/>
    <n v="5040"/>
    <x v="0"/>
    <x v="2"/>
    <d v="2025-01-24T00:00:00"/>
  </r>
  <r>
    <s v="T0027"/>
    <x v="21"/>
    <x v="1"/>
    <s v="FORN008"/>
    <s v="Global Chips"/>
    <s v="PROD150"/>
    <x v="26"/>
    <n v="73"/>
    <n v="55"/>
    <n v="4015"/>
    <x v="1"/>
    <x v="2"/>
    <d v="2025-02-06T00:00:00"/>
  </r>
  <r>
    <s v="T0028"/>
    <x v="21"/>
    <x v="1"/>
    <s v="FORN015"/>
    <s v="Print Smart"/>
    <s v="PROD195"/>
    <x v="20"/>
    <n v="83"/>
    <n v="120"/>
    <n v="9960"/>
    <x v="1"/>
    <x v="1"/>
    <d v="2025-01-25T00:00:00"/>
  </r>
  <r>
    <s v="T0029"/>
    <x v="21"/>
    <x v="1"/>
    <s v="FORN001"/>
    <s v="TechFlow Solucoes"/>
    <s v="PROD057"/>
    <x v="27"/>
    <n v="574"/>
    <n v="1.5"/>
    <n v="861"/>
    <x v="0"/>
    <x v="0"/>
    <d v="2025-01-27T00:00:00"/>
  </r>
  <r>
    <s v="T0030"/>
    <x v="22"/>
    <x v="1"/>
    <s v="FORN015"/>
    <s v="Print Smart"/>
    <s v="PROD078"/>
    <x v="28"/>
    <n v="128"/>
    <n v="15"/>
    <n v="1920"/>
    <x v="0"/>
    <x v="1"/>
    <d v="2025-01-26T00:00:00"/>
  </r>
  <r>
    <s v="T0031"/>
    <x v="22"/>
    <x v="1"/>
    <s v="FORN018"/>
    <s v="Link Direct"/>
    <s v="PROD150"/>
    <x v="26"/>
    <n v="38"/>
    <n v="55"/>
    <n v="2090"/>
    <x v="2"/>
    <x v="1"/>
    <d v="2025-01-25T00:00:00"/>
  </r>
  <r>
    <s v="T0032"/>
    <x v="22"/>
    <x v="1"/>
    <s v="FORN017"/>
    <s v="BitSafe"/>
    <s v="PROD108"/>
    <x v="29"/>
    <n v="35"/>
    <n v="1200"/>
    <n v="42000"/>
    <x v="2"/>
    <x v="0"/>
    <d v="2025-01-26T00:00:00"/>
  </r>
  <r>
    <s v="T0033"/>
    <x v="23"/>
    <x v="0"/>
    <s v="CLI015"/>
    <s v="Pet Shop Amigo"/>
    <s v="PROD128"/>
    <x v="24"/>
    <n v="162"/>
    <n v="18"/>
    <n v="2916"/>
    <x v="1"/>
    <x v="2"/>
    <s v="N/A"/>
  </r>
  <r>
    <s v="T0034"/>
    <x v="23"/>
    <x v="1"/>
    <s v="FORN003"/>
    <s v="Office Express"/>
    <s v="PROD047"/>
    <x v="30"/>
    <n v="32"/>
    <n v="420"/>
    <n v="13440"/>
    <x v="0"/>
    <x v="2"/>
    <d v="2025-01-26T00:00:00"/>
  </r>
  <r>
    <s v="T0035"/>
    <x v="23"/>
    <x v="1"/>
    <s v="FORN007"/>
    <s v="CyberSecurity SA"/>
    <s v="PROD090"/>
    <x v="31"/>
    <n v="78"/>
    <n v="140"/>
    <n v="10920"/>
    <x v="0"/>
    <x v="0"/>
    <d v="2025-01-31T00:00:00"/>
  </r>
  <r>
    <s v="T0036"/>
    <x v="23"/>
    <x v="1"/>
    <s v="FORN001"/>
    <s v="TechFlow Solucoes"/>
    <s v="PROD070"/>
    <x v="32"/>
    <n v="168"/>
    <n v="7.5"/>
    <n v="1260"/>
    <x v="1"/>
    <x v="0"/>
    <d v="2025-01-29T00:00:00"/>
  </r>
  <r>
    <s v="T0037"/>
    <x v="24"/>
    <x v="1"/>
    <s v="FORN014"/>
    <s v="DevTools Inc"/>
    <s v="PROD058"/>
    <x v="33"/>
    <n v="540"/>
    <n v="1.5"/>
    <n v="810"/>
    <x v="2"/>
    <x v="2"/>
    <d v="2025-01-26T00:00:00"/>
  </r>
  <r>
    <s v="T0038"/>
    <x v="24"/>
    <x v="0"/>
    <s v="CLI016"/>
    <s v="Auto Pecas Jato"/>
    <s v="PROD175"/>
    <x v="23"/>
    <n v="69"/>
    <n v="110"/>
    <n v="7590"/>
    <x v="1"/>
    <x v="1"/>
    <s v="N/A"/>
  </r>
  <r>
    <s v="T0039"/>
    <x v="24"/>
    <x v="1"/>
    <s v="FORN012"/>
    <s v="Fast Delivery"/>
    <s v="PROD185"/>
    <x v="34"/>
    <n v="59"/>
    <n v="380"/>
    <n v="22420"/>
    <x v="0"/>
    <x v="1"/>
    <d v="2025-01-26T00:00:00"/>
  </r>
  <r>
    <s v="T0040"/>
    <x v="24"/>
    <x v="1"/>
    <s v="FORN011"/>
    <s v="Energy Solution"/>
    <s v="PROD052"/>
    <x v="35"/>
    <n v="256"/>
    <n v="6.5"/>
    <n v="1664"/>
    <x v="0"/>
    <x v="2"/>
    <d v="2025-01-29T00:00:00"/>
  </r>
  <r>
    <s v="T0041"/>
    <x v="25"/>
    <x v="1"/>
    <s v="FORN010"/>
    <s v="DataCenter Pro"/>
    <s v="PROD199"/>
    <x v="36"/>
    <n v="108"/>
    <n v="25"/>
    <n v="2700"/>
    <x v="0"/>
    <x v="2"/>
    <d v="2025-01-28T00:00:00"/>
  </r>
  <r>
    <s v="T0042"/>
    <x v="26"/>
    <x v="0"/>
    <s v="CLI014"/>
    <s v="Moda Fashion"/>
    <s v="PROD058"/>
    <x v="33"/>
    <n v="44"/>
    <n v="1.5"/>
    <n v="66"/>
    <x v="0"/>
    <x v="0"/>
    <s v="N/A"/>
  </r>
  <r>
    <s v="T0043"/>
    <x v="27"/>
    <x v="1"/>
    <s v="FORN013"/>
    <s v="Network Master"/>
    <s v="PROD077"/>
    <x v="37"/>
    <n v="38"/>
    <n v="28"/>
    <n v="1064"/>
    <x v="2"/>
    <x v="1"/>
    <d v="2025-02-04T00:00:00"/>
  </r>
  <r>
    <s v="T0044"/>
    <x v="28"/>
    <x v="1"/>
    <s v="FORN001"/>
    <s v="TechFlow Solucoes"/>
    <s v="PROD008"/>
    <x v="38"/>
    <n v="53"/>
    <n v="250"/>
    <n v="13250"/>
    <x v="0"/>
    <x v="1"/>
    <d v="2025-02-04T00:00:00"/>
  </r>
  <r>
    <s v="T0045"/>
    <x v="28"/>
    <x v="1"/>
    <s v="FORN013"/>
    <s v="Network Master"/>
    <s v="PROD055"/>
    <x v="39"/>
    <n v="115"/>
    <n v="42"/>
    <n v="4830"/>
    <x v="2"/>
    <x v="1"/>
    <d v="2025-02-05T00:00:00"/>
  </r>
  <r>
    <s v="T0046"/>
    <x v="29"/>
    <x v="1"/>
    <s v="FORN013"/>
    <s v="Network Master"/>
    <s v="PROD014"/>
    <x v="40"/>
    <n v="43"/>
    <n v="650"/>
    <n v="27950"/>
    <x v="1"/>
    <x v="0"/>
    <d v="2025-02-06T00:00:00"/>
  </r>
  <r>
    <s v="T0047"/>
    <x v="29"/>
    <x v="1"/>
    <s v="FORN013"/>
    <s v="Network Master"/>
    <s v="PROD147"/>
    <x v="41"/>
    <n v="57"/>
    <n v="65"/>
    <n v="3705"/>
    <x v="1"/>
    <x v="2"/>
    <d v="2025-02-06T00:00:00"/>
  </r>
  <r>
    <s v="T0048"/>
    <x v="30"/>
    <x v="1"/>
    <s v="FORN010"/>
    <s v="DataCenter Pro"/>
    <s v="PROD136"/>
    <x v="42"/>
    <n v="26"/>
    <n v="350"/>
    <n v="9100"/>
    <x v="2"/>
    <x v="0"/>
    <d v="2025-02-03T00:00:00"/>
  </r>
  <r>
    <s v="T0049"/>
    <x v="30"/>
    <x v="1"/>
    <s v="FORN014"/>
    <s v="DevTools Inc"/>
    <s v="PROD092"/>
    <x v="43"/>
    <n v="74"/>
    <n v="950"/>
    <n v="70300"/>
    <x v="1"/>
    <x v="1"/>
    <d v="2025-02-02T00:00:00"/>
  </r>
  <r>
    <s v="T0050"/>
    <x v="31"/>
    <x v="1"/>
    <s v="FORN007"/>
    <s v="CyberSecurity SA"/>
    <s v="PROD076"/>
    <x v="44"/>
    <n v="10"/>
    <n v="750"/>
    <n v="7500"/>
    <x v="0"/>
    <x v="0"/>
    <d v="2025-02-09T00:00:00"/>
  </r>
  <r>
    <s v="T0051"/>
    <x v="31"/>
    <x v="0"/>
    <s v="CLI007"/>
    <s v="Tecno Logica"/>
    <s v="PROD051"/>
    <x v="6"/>
    <n v="9"/>
    <n v="28"/>
    <n v="252"/>
    <x v="0"/>
    <x v="2"/>
    <s v="N/A"/>
  </r>
  <r>
    <s v="T0052"/>
    <x v="31"/>
    <x v="1"/>
    <s v="FORN006"/>
    <s v="Papelaria Central"/>
    <s v="PROD174"/>
    <x v="45"/>
    <n v="100"/>
    <n v="65"/>
    <n v="6500"/>
    <x v="2"/>
    <x v="2"/>
    <d v="2025-02-04T00:00:00"/>
  </r>
  <r>
    <s v="T0053"/>
    <x v="32"/>
    <x v="0"/>
    <s v="CLI011"/>
    <s v="Academia Fit"/>
    <s v="PROD092"/>
    <x v="43"/>
    <n v="14"/>
    <n v="950"/>
    <n v="13300"/>
    <x v="1"/>
    <x v="0"/>
    <s v="N/A"/>
  </r>
  <r>
    <s v="T0054"/>
    <x v="32"/>
    <x v="1"/>
    <s v="FORN015"/>
    <s v="Print Smart"/>
    <s v="PROD032"/>
    <x v="46"/>
    <n v="28"/>
    <n v="110"/>
    <n v="3080"/>
    <x v="0"/>
    <x v="0"/>
    <d v="2025-02-07T00:00:00"/>
  </r>
  <r>
    <s v="T0055"/>
    <x v="33"/>
    <x v="1"/>
    <s v="FORN001"/>
    <s v="TechFlow Solucoes"/>
    <s v="PROD051"/>
    <x v="6"/>
    <n v="106"/>
    <n v="28"/>
    <n v="2968"/>
    <x v="0"/>
    <x v="1"/>
    <d v="2025-02-10T00:00:00"/>
  </r>
  <r>
    <s v="T0056"/>
    <x v="33"/>
    <x v="0"/>
    <s v="CLI013"/>
    <s v="Advocacia Associada"/>
    <s v="PROD174"/>
    <x v="45"/>
    <n v="12"/>
    <n v="65"/>
    <n v="780"/>
    <x v="1"/>
    <x v="2"/>
    <s v="N/A"/>
  </r>
  <r>
    <s v="T0057"/>
    <x v="34"/>
    <x v="1"/>
    <s v="FORN018"/>
    <s v="Link Direct"/>
    <s v="PROD192"/>
    <x v="47"/>
    <n v="48"/>
    <n v="85"/>
    <n v="4080"/>
    <x v="0"/>
    <x v="1"/>
    <d v="2025-02-09T00:00:00"/>
  </r>
  <r>
    <s v="T0058"/>
    <x v="34"/>
    <x v="1"/>
    <s v="FORN004"/>
    <s v="LogiBrasil Transportes"/>
    <s v="PROD064"/>
    <x v="48"/>
    <n v="149"/>
    <n v="14"/>
    <n v="2086"/>
    <x v="2"/>
    <x v="1"/>
    <d v="2025-02-10T00:00:00"/>
  </r>
  <r>
    <s v="T0059"/>
    <x v="34"/>
    <x v="1"/>
    <s v="FORN019"/>
    <s v="Mega Storage"/>
    <s v="PROD104"/>
    <x v="49"/>
    <n v="108"/>
    <n v="185"/>
    <n v="19980"/>
    <x v="0"/>
    <x v="2"/>
    <d v="2025-02-15T00:00:00"/>
  </r>
  <r>
    <s v="T0060"/>
    <x v="34"/>
    <x v="1"/>
    <s v="FORN011"/>
    <s v="Energy Solution"/>
    <s v="PROD110"/>
    <x v="50"/>
    <n v="49"/>
    <n v="580"/>
    <n v="28420"/>
    <x v="1"/>
    <x v="0"/>
    <d v="2025-02-11T00:00:00"/>
  </r>
  <r>
    <s v="T0061"/>
    <x v="35"/>
    <x v="1"/>
    <s v="FORN008"/>
    <s v="Global Chips"/>
    <s v="PROD103"/>
    <x v="51"/>
    <n v="111"/>
    <n v="240"/>
    <n v="26640"/>
    <x v="2"/>
    <x v="1"/>
    <d v="2025-02-23T00:00:00"/>
  </r>
  <r>
    <s v="T0062"/>
    <x v="35"/>
    <x v="1"/>
    <s v="FORN019"/>
    <s v="Mega Storage"/>
    <s v="PROD054"/>
    <x v="52"/>
    <n v="151"/>
    <n v="8"/>
    <n v="1208"/>
    <x v="1"/>
    <x v="0"/>
    <d v="2025-02-16T00:00:00"/>
  </r>
  <r>
    <s v="T0063"/>
    <x v="35"/>
    <x v="1"/>
    <s v="FORN011"/>
    <s v="Energy Solution"/>
    <s v="PROD091"/>
    <x v="53"/>
    <n v="31"/>
    <n v="28000"/>
    <n v="868000"/>
    <x v="0"/>
    <x v="1"/>
    <d v="2025-02-12T00:00:00"/>
  </r>
  <r>
    <s v="T0064"/>
    <x v="36"/>
    <x v="1"/>
    <s v="FORN014"/>
    <s v="DevTools Inc"/>
    <s v="PROD005"/>
    <x v="2"/>
    <n v="25"/>
    <n v="3500"/>
    <n v="87500"/>
    <x v="2"/>
    <x v="1"/>
    <d v="2025-02-10T00:00:00"/>
  </r>
  <r>
    <s v="T0065"/>
    <x v="37"/>
    <x v="1"/>
    <s v="FORN016"/>
    <s v="Steel Case"/>
    <s v="PROD038"/>
    <x v="54"/>
    <n v="102"/>
    <n v="145"/>
    <n v="14790"/>
    <x v="0"/>
    <x v="2"/>
    <d v="2025-02-22T00:00:00"/>
  </r>
  <r>
    <s v="T0066"/>
    <x v="38"/>
    <x v="1"/>
    <s v="FORN004"/>
    <s v="LogiBrasil Transportes"/>
    <s v="PROD146"/>
    <x v="55"/>
    <n v="32"/>
    <n v="85"/>
    <n v="2720"/>
    <x v="1"/>
    <x v="0"/>
    <d v="2025-02-14T00:00:00"/>
  </r>
  <r>
    <s v="T0067"/>
    <x v="38"/>
    <x v="1"/>
    <s v="FORN011"/>
    <s v="Energy Solution"/>
    <s v="PROD006"/>
    <x v="0"/>
    <n v="53"/>
    <n v="5500"/>
    <n v="291500"/>
    <x v="1"/>
    <x v="2"/>
    <d v="2025-02-15T00:00:00"/>
  </r>
  <r>
    <s v="T0068"/>
    <x v="38"/>
    <x v="1"/>
    <s v="FORN008"/>
    <s v="Global Chips"/>
    <s v="PROD109"/>
    <x v="56"/>
    <n v="87"/>
    <n v="75"/>
    <n v="6525"/>
    <x v="2"/>
    <x v="2"/>
    <d v="2025-02-26T00:00:00"/>
  </r>
  <r>
    <s v="T0069"/>
    <x v="39"/>
    <x v="1"/>
    <s v="FORN018"/>
    <s v="Link Direct"/>
    <s v="PROD190"/>
    <x v="57"/>
    <n v="89"/>
    <n v="8500"/>
    <n v="756500"/>
    <x v="2"/>
    <x v="0"/>
    <d v="2025-02-14T00:00:00"/>
  </r>
  <r>
    <s v="T0070"/>
    <x v="39"/>
    <x v="1"/>
    <s v="FORN020"/>
    <s v="AI Systems"/>
    <s v="PROD059"/>
    <x v="58"/>
    <n v="185"/>
    <n v="12"/>
    <n v="2220"/>
    <x v="0"/>
    <x v="1"/>
    <d v="2025-02-13T00:00:00"/>
  </r>
  <r>
    <s v="T0071"/>
    <x v="39"/>
    <x v="1"/>
    <s v="FORN009"/>
    <s v="Movel Tech"/>
    <s v="PROD096"/>
    <x v="59"/>
    <n v="74"/>
    <n v="650"/>
    <n v="48100"/>
    <x v="1"/>
    <x v="1"/>
    <d v="2025-02-22T00:00:00"/>
  </r>
  <r>
    <s v="T0072"/>
    <x v="39"/>
    <x v="1"/>
    <s v="FORN016"/>
    <s v="Steel Case"/>
    <s v="PROD062"/>
    <x v="60"/>
    <n v="174"/>
    <n v="4.5"/>
    <n v="783"/>
    <x v="2"/>
    <x v="2"/>
    <d v="2025-02-24T00:00:00"/>
  </r>
  <r>
    <s v="T0073"/>
    <x v="39"/>
    <x v="1"/>
    <s v="FORN007"/>
    <s v="CyberSecurity SA"/>
    <s v="PROD139"/>
    <x v="61"/>
    <n v="77"/>
    <n v="480"/>
    <n v="36960"/>
    <x v="0"/>
    <x v="0"/>
    <d v="2025-02-19T00:00:00"/>
  </r>
  <r>
    <s v="T0074"/>
    <x v="39"/>
    <x v="1"/>
    <s v="FORN018"/>
    <s v="Link Direct"/>
    <s v="PROD056"/>
    <x v="62"/>
    <n v="165"/>
    <n v="25"/>
    <n v="4125"/>
    <x v="0"/>
    <x v="0"/>
    <d v="2025-02-14T00:00:00"/>
  </r>
  <r>
    <s v="T0075"/>
    <x v="40"/>
    <x v="1"/>
    <s v="FORN001"/>
    <s v="TechFlow Solucoes"/>
    <s v="PROD098"/>
    <x v="63"/>
    <n v="44"/>
    <n v="1550"/>
    <n v="68200"/>
    <x v="1"/>
    <x v="0"/>
    <d v="2025-02-18T00:00:00"/>
  </r>
  <r>
    <s v="T0076"/>
    <x v="41"/>
    <x v="1"/>
    <s v="FORN009"/>
    <s v="Movel Tech"/>
    <s v="PROD004"/>
    <x v="64"/>
    <n v="74"/>
    <n v="1200"/>
    <n v="88800"/>
    <x v="0"/>
    <x v="1"/>
    <d v="2025-02-24T00:00:00"/>
  </r>
  <r>
    <s v="T0077"/>
    <x v="41"/>
    <x v="1"/>
    <s v="FORN009"/>
    <s v="Movel Tech"/>
    <s v="PROD053"/>
    <x v="65"/>
    <n v="122"/>
    <n v="35"/>
    <n v="4270"/>
    <x v="2"/>
    <x v="0"/>
    <d v="2025-02-24T00:00:00"/>
  </r>
  <r>
    <s v="T0078"/>
    <x v="41"/>
    <x v="1"/>
    <s v="FORN008"/>
    <s v="Global Chips"/>
    <s v="PROD150"/>
    <x v="26"/>
    <n v="74"/>
    <n v="55"/>
    <n v="4070"/>
    <x v="2"/>
    <x v="2"/>
    <d v="2025-03-01T00:00:00"/>
  </r>
  <r>
    <s v="T0079"/>
    <x v="41"/>
    <x v="1"/>
    <s v="FORN004"/>
    <s v="LogiBrasil Transportes"/>
    <s v="PROD085"/>
    <x v="11"/>
    <n v="84"/>
    <n v="85"/>
    <n v="7140"/>
    <x v="2"/>
    <x v="2"/>
    <d v="2025-02-17T00:00:00"/>
  </r>
  <r>
    <s v="T0080"/>
    <x v="42"/>
    <x v="1"/>
    <s v="FORN020"/>
    <s v="AI Systems"/>
    <s v="PROD174"/>
    <x v="45"/>
    <n v="100"/>
    <n v="65"/>
    <n v="6500"/>
    <x v="2"/>
    <x v="1"/>
    <d v="2025-02-17T00:00:00"/>
  </r>
  <r>
    <s v="T0081"/>
    <x v="42"/>
    <x v="1"/>
    <s v="FORN012"/>
    <s v="Fast Delivery"/>
    <s v="PROD170"/>
    <x v="66"/>
    <n v="85"/>
    <n v="55"/>
    <n v="4675"/>
    <x v="2"/>
    <x v="1"/>
    <d v="2025-02-17T00:00:00"/>
  </r>
  <r>
    <s v="T0082"/>
    <x v="42"/>
    <x v="1"/>
    <s v="FORN014"/>
    <s v="DevTools Inc"/>
    <s v="PROD177"/>
    <x v="67"/>
    <n v="12"/>
    <n v="280"/>
    <n v="3360"/>
    <x v="2"/>
    <x v="1"/>
    <d v="2025-02-17T00:00:00"/>
  </r>
  <r>
    <s v="T0083"/>
    <x v="42"/>
    <x v="0"/>
    <s v="CLI001"/>
    <s v="Industrias Alpha"/>
    <s v="PROD006"/>
    <x v="0"/>
    <n v="36"/>
    <n v="5500"/>
    <n v="198000"/>
    <x v="2"/>
    <x v="1"/>
    <s v="N/A"/>
  </r>
  <r>
    <s v="T0084"/>
    <x v="43"/>
    <x v="0"/>
    <s v="CLI010"/>
    <s v="Hotel Estrela"/>
    <s v="PROD147"/>
    <x v="41"/>
    <n v="10"/>
    <n v="65"/>
    <n v="650"/>
    <x v="2"/>
    <x v="2"/>
    <s v="N/A"/>
  </r>
  <r>
    <s v="T0085"/>
    <x v="43"/>
    <x v="1"/>
    <s v="FORN012"/>
    <s v="Fast Delivery"/>
    <s v="PROD137"/>
    <x v="68"/>
    <n v="98"/>
    <n v="450"/>
    <n v="44100"/>
    <x v="1"/>
    <x v="1"/>
    <d v="2025-02-18T00:00:00"/>
  </r>
  <r>
    <s v="T0086"/>
    <x v="43"/>
    <x v="1"/>
    <s v="FORN013"/>
    <s v="Network Master"/>
    <s v="PROD040"/>
    <x v="69"/>
    <n v="151"/>
    <n v="5"/>
    <n v="755"/>
    <x v="1"/>
    <x v="0"/>
    <d v="2025-02-23T00:00:00"/>
  </r>
  <r>
    <s v="T0087"/>
    <x v="43"/>
    <x v="1"/>
    <s v="FORN016"/>
    <s v="Steel Case"/>
    <s v="PROD077"/>
    <x v="37"/>
    <n v="74"/>
    <n v="28"/>
    <n v="2072"/>
    <x v="0"/>
    <x v="0"/>
    <d v="2025-03-01T00:00:00"/>
  </r>
  <r>
    <s v="T0088"/>
    <x v="43"/>
    <x v="1"/>
    <s v="FORN006"/>
    <s v="Papelaria Central"/>
    <s v="PROD079"/>
    <x v="70"/>
    <n v="66"/>
    <n v="65"/>
    <n v="4290"/>
    <x v="0"/>
    <x v="1"/>
    <d v="2025-02-19T00:00:00"/>
  </r>
  <r>
    <s v="T0089"/>
    <x v="44"/>
    <x v="1"/>
    <s v="FORN009"/>
    <s v="Movel Tech"/>
    <s v="PROD026"/>
    <x v="71"/>
    <n v="64"/>
    <n v="85"/>
    <n v="5440"/>
    <x v="1"/>
    <x v="2"/>
    <d v="2025-02-28T00:00:00"/>
  </r>
  <r>
    <s v="T0090"/>
    <x v="44"/>
    <x v="1"/>
    <s v="FORN010"/>
    <s v="DataCenter Pro"/>
    <s v="PROD140"/>
    <x v="72"/>
    <n v="86"/>
    <n v="45"/>
    <n v="3870"/>
    <x v="1"/>
    <x v="1"/>
    <d v="2025-02-20T00:00:00"/>
  </r>
  <r>
    <s v="T0091"/>
    <x v="45"/>
    <x v="1"/>
    <s v="FORN020"/>
    <s v="AI Systems"/>
    <s v="PROD083"/>
    <x v="73"/>
    <n v="92"/>
    <n v="1450"/>
    <n v="133400"/>
    <x v="1"/>
    <x v="2"/>
    <d v="2025-02-20T00:00:00"/>
  </r>
  <r>
    <s v="T0092"/>
    <x v="45"/>
    <x v="1"/>
    <s v="FORN010"/>
    <s v="DataCenter Pro"/>
    <s v="PROD048"/>
    <x v="74"/>
    <n v="111"/>
    <n v="55"/>
    <n v="6105"/>
    <x v="2"/>
    <x v="1"/>
    <d v="2025-02-21T00:00:00"/>
  </r>
  <r>
    <s v="T0093"/>
    <x v="45"/>
    <x v="1"/>
    <s v="FORN018"/>
    <s v="Link Direct"/>
    <s v="PROD142"/>
    <x v="75"/>
    <n v="121"/>
    <n v="85"/>
    <n v="10285"/>
    <x v="2"/>
    <x v="0"/>
    <d v="2025-02-21T00:00:00"/>
  </r>
  <r>
    <s v="T0094"/>
    <x v="46"/>
    <x v="0"/>
    <s v="CLI013"/>
    <s v="Advocacia Associada"/>
    <s v="PROD070"/>
    <x v="32"/>
    <n v="145"/>
    <n v="7.5"/>
    <n v="1087.5"/>
    <x v="1"/>
    <x v="2"/>
    <s v="N/A"/>
  </r>
  <r>
    <s v="T0095"/>
    <x v="47"/>
    <x v="0"/>
    <s v="CLI014"/>
    <s v="Moda Fashion"/>
    <s v="PROD010"/>
    <x v="4"/>
    <n v="25"/>
    <n v="320"/>
    <n v="8000"/>
    <x v="0"/>
    <x v="0"/>
    <s v="N/A"/>
  </r>
  <r>
    <s v="T0096"/>
    <x v="48"/>
    <x v="1"/>
    <s v="FORN010"/>
    <s v="DataCenter Pro"/>
    <s v="PROD176"/>
    <x v="76"/>
    <n v="79"/>
    <n v="35"/>
    <n v="2765"/>
    <x v="1"/>
    <x v="1"/>
    <d v="2025-02-25T00:00:00"/>
  </r>
  <r>
    <s v="T0097"/>
    <x v="48"/>
    <x v="1"/>
    <s v="FORN007"/>
    <s v="CyberSecurity SA"/>
    <s v="PROD160"/>
    <x v="77"/>
    <n v="205"/>
    <n v="9"/>
    <n v="1845"/>
    <x v="1"/>
    <x v="2"/>
    <d v="2025-03-02T00:00:00"/>
  </r>
  <r>
    <s v="T0098"/>
    <x v="48"/>
    <x v="1"/>
    <s v="FORN010"/>
    <s v="DataCenter Pro"/>
    <s v="PROD102"/>
    <x v="78"/>
    <n v="23"/>
    <n v="290"/>
    <n v="6670"/>
    <x v="2"/>
    <x v="2"/>
    <d v="2025-02-25T00:00:00"/>
  </r>
  <r>
    <s v="T0099"/>
    <x v="49"/>
    <x v="1"/>
    <s v="FORN004"/>
    <s v="LogiBrasil Transportes"/>
    <s v="PROD107"/>
    <x v="79"/>
    <n v="107"/>
    <n v="680"/>
    <n v="72760"/>
    <x v="0"/>
    <x v="2"/>
    <d v="2025-02-27T00:00:00"/>
  </r>
  <r>
    <s v="T0100"/>
    <x v="49"/>
    <x v="1"/>
    <s v="FORN011"/>
    <s v="Energy Solution"/>
    <s v="PROD199"/>
    <x v="36"/>
    <n v="68"/>
    <n v="25"/>
    <n v="1700"/>
    <x v="2"/>
    <x v="0"/>
    <d v="2025-02-28T00:00:00"/>
  </r>
  <r>
    <s v="T0101"/>
    <x v="49"/>
    <x v="1"/>
    <s v="FORN003"/>
    <s v="Office Express"/>
    <s v="PROD025"/>
    <x v="80"/>
    <n v="111"/>
    <n v="85"/>
    <n v="9435"/>
    <x v="1"/>
    <x v="2"/>
    <d v="2025-02-26T00:00:00"/>
  </r>
  <r>
    <s v="T0102"/>
    <x v="49"/>
    <x v="1"/>
    <s v="FORN008"/>
    <s v="Global Chips"/>
    <s v="PROD154"/>
    <x v="81"/>
    <n v="136"/>
    <n v="18"/>
    <n v="2448"/>
    <x v="2"/>
    <x v="2"/>
    <d v="2025-03-11T00:00:00"/>
  </r>
  <r>
    <s v="T0103"/>
    <x v="49"/>
    <x v="1"/>
    <s v="FORN017"/>
    <s v="BitSafe"/>
    <s v="PROD166"/>
    <x v="82"/>
    <n v="113"/>
    <n v="12"/>
    <n v="1356"/>
    <x v="0"/>
    <x v="2"/>
    <d v="2025-02-27T00:00:00"/>
  </r>
  <r>
    <s v="T0104"/>
    <x v="50"/>
    <x v="1"/>
    <s v="FORN003"/>
    <s v="Office Express"/>
    <s v="PROD168"/>
    <x v="83"/>
    <n v="57"/>
    <n v="45"/>
    <n v="2565"/>
    <x v="0"/>
    <x v="0"/>
    <d v="2025-02-27T00:00:00"/>
  </r>
  <r>
    <s v="T0105"/>
    <x v="50"/>
    <x v="1"/>
    <s v="FORN005"/>
    <s v="CloudNexus Data"/>
    <s v="PROD087"/>
    <x v="84"/>
    <n v="13"/>
    <n v="450"/>
    <n v="5850"/>
    <x v="2"/>
    <x v="2"/>
    <d v="2025-02-26T00:00:00"/>
  </r>
  <r>
    <s v="T0106"/>
    <x v="50"/>
    <x v="0"/>
    <s v="CLI004"/>
    <s v="Escola Saber"/>
    <s v="PROD131"/>
    <x v="15"/>
    <n v="4"/>
    <n v="145"/>
    <n v="580"/>
    <x v="1"/>
    <x v="1"/>
    <s v="N/A"/>
  </r>
  <r>
    <s v="T0107"/>
    <x v="51"/>
    <x v="1"/>
    <s v="FORN015"/>
    <s v="Print Smart"/>
    <s v="PROD035"/>
    <x v="85"/>
    <n v="83"/>
    <n v="600"/>
    <n v="49800"/>
    <x v="0"/>
    <x v="0"/>
    <d v="2025-03-01T00:00:00"/>
  </r>
  <r>
    <s v="T0108"/>
    <x v="51"/>
    <x v="0"/>
    <s v="CLI012"/>
    <s v="Padaria Real"/>
    <s v="PROD051"/>
    <x v="6"/>
    <n v="150"/>
    <n v="28"/>
    <n v="4200"/>
    <x v="2"/>
    <x v="1"/>
    <s v="N/A"/>
  </r>
  <r>
    <s v="T0109"/>
    <x v="52"/>
    <x v="1"/>
    <s v="FORN014"/>
    <s v="DevTools Inc"/>
    <s v="PROD188"/>
    <x v="86"/>
    <n v="45"/>
    <n v="1550"/>
    <n v="69750"/>
    <x v="0"/>
    <x v="0"/>
    <d v="2025-03-01T00:00:00"/>
  </r>
  <r>
    <s v="T0110"/>
    <x v="53"/>
    <x v="1"/>
    <s v="FORN012"/>
    <s v="Fast Delivery"/>
    <s v="PROD110"/>
    <x v="50"/>
    <n v="69"/>
    <n v="580"/>
    <n v="40020"/>
    <x v="1"/>
    <x v="1"/>
    <d v="2025-03-02T00:00:00"/>
  </r>
  <r>
    <s v="T0111"/>
    <x v="54"/>
    <x v="1"/>
    <s v="FORN009"/>
    <s v="Movel Tech"/>
    <s v="PROD152"/>
    <x v="87"/>
    <n v="104"/>
    <n v="12"/>
    <n v="1248"/>
    <x v="0"/>
    <x v="0"/>
    <d v="2025-03-12T00:00:00"/>
  </r>
  <r>
    <s v="T0112"/>
    <x v="54"/>
    <x v="0"/>
    <s v="CLI015"/>
    <s v="Pet Shop Amigo"/>
    <s v="PROD057"/>
    <x v="27"/>
    <n v="266"/>
    <n v="1.5"/>
    <n v="399"/>
    <x v="2"/>
    <x v="2"/>
    <s v="N/A"/>
  </r>
  <r>
    <s v="T0113"/>
    <x v="55"/>
    <x v="1"/>
    <s v="FORN014"/>
    <s v="DevTools Inc"/>
    <s v="PROD012"/>
    <x v="8"/>
    <n v="37"/>
    <n v="450"/>
    <n v="16650"/>
    <x v="2"/>
    <x v="0"/>
    <d v="2025-03-04T00:00:00"/>
  </r>
  <r>
    <s v="T0114"/>
    <x v="56"/>
    <x v="1"/>
    <s v="FORN005"/>
    <s v="CloudNexus Data"/>
    <s v="PROD013"/>
    <x v="88"/>
    <n v="88"/>
    <n v="180"/>
    <n v="15840"/>
    <x v="1"/>
    <x v="0"/>
    <d v="2025-03-05T00:00:00"/>
  </r>
  <r>
    <s v="T0115"/>
    <x v="57"/>
    <x v="0"/>
    <s v="CLI020"/>
    <s v="Oficina Mecanica"/>
    <s v="PROD109"/>
    <x v="56"/>
    <n v="85"/>
    <n v="75"/>
    <n v="6375"/>
    <x v="0"/>
    <x v="1"/>
    <s v="N/A"/>
  </r>
  <r>
    <s v="T0116"/>
    <x v="58"/>
    <x v="0"/>
    <s v="CLI003"/>
    <s v="Hospital Vida"/>
    <s v="PROD177"/>
    <x v="67"/>
    <n v="2"/>
    <n v="280"/>
    <n v="560"/>
    <x v="1"/>
    <x v="1"/>
    <s v="N/A"/>
  </r>
  <r>
    <s v="T0117"/>
    <x v="58"/>
    <x v="1"/>
    <s v="FORN001"/>
    <s v="TechFlow Solucoes"/>
    <s v="PROD125"/>
    <x v="89"/>
    <n v="45"/>
    <n v="3200"/>
    <n v="144000"/>
    <x v="1"/>
    <x v="0"/>
    <d v="2025-03-11T00:00:00"/>
  </r>
  <r>
    <s v="T0118"/>
    <x v="59"/>
    <x v="1"/>
    <s v="FORN006"/>
    <s v="Papelaria Central"/>
    <s v="PROD141"/>
    <x v="90"/>
    <n v="85"/>
    <n v="190"/>
    <n v="16150"/>
    <x v="1"/>
    <x v="1"/>
    <d v="2025-03-09T00:00:00"/>
  </r>
  <r>
    <s v="T0119"/>
    <x v="59"/>
    <x v="1"/>
    <s v="FORN018"/>
    <s v="Link Direct"/>
    <s v="PROD027"/>
    <x v="91"/>
    <n v="108"/>
    <n v="75"/>
    <n v="8100"/>
    <x v="2"/>
    <x v="0"/>
    <d v="2025-03-09T00:00:00"/>
  </r>
  <r>
    <s v="T0120"/>
    <x v="60"/>
    <x v="1"/>
    <s v="FORN009"/>
    <s v="Movel Tech"/>
    <s v="PROD031"/>
    <x v="92"/>
    <n v="18"/>
    <n v="1450"/>
    <n v="26100"/>
    <x v="1"/>
    <x v="0"/>
    <d v="2025-03-18T00:00:00"/>
  </r>
  <r>
    <s v="T0121"/>
    <x v="60"/>
    <x v="1"/>
    <s v="FORN012"/>
    <s v="Fast Delivery"/>
    <s v="PROD115"/>
    <x v="93"/>
    <n v="106"/>
    <n v="980"/>
    <n v="103880"/>
    <x v="0"/>
    <x v="0"/>
    <d v="2025-03-09T00:00:00"/>
  </r>
  <r>
    <s v="T0122"/>
    <x v="61"/>
    <x v="1"/>
    <s v="FORN001"/>
    <s v="TechFlow Solucoes"/>
    <s v="PROD173"/>
    <x v="94"/>
    <n v="126"/>
    <n v="15"/>
    <n v="1890"/>
    <x v="1"/>
    <x v="1"/>
    <d v="2025-03-14T00:00:00"/>
  </r>
  <r>
    <s v="T0123"/>
    <x v="61"/>
    <x v="1"/>
    <s v="FORN005"/>
    <s v="CloudNexus Data"/>
    <s v="PROD155"/>
    <x v="95"/>
    <n v="89"/>
    <n v="12"/>
    <n v="1068"/>
    <x v="0"/>
    <x v="1"/>
    <d v="2025-03-10T00:00:00"/>
  </r>
  <r>
    <s v="T0124"/>
    <x v="61"/>
    <x v="1"/>
    <s v="FORN019"/>
    <s v="Mega Storage"/>
    <s v="PROD086"/>
    <x v="96"/>
    <n v="85"/>
    <n v="320"/>
    <n v="27200"/>
    <x v="0"/>
    <x v="2"/>
    <d v="2025-03-17T00:00:00"/>
  </r>
  <r>
    <s v="T0125"/>
    <x v="61"/>
    <x v="1"/>
    <s v="FORN004"/>
    <s v="LogiBrasil Transportes"/>
    <s v="PROD015"/>
    <x v="97"/>
    <n v="91"/>
    <n v="1200"/>
    <n v="109200"/>
    <x v="2"/>
    <x v="1"/>
    <d v="2025-03-12T00:00:00"/>
  </r>
  <r>
    <s v="T0126"/>
    <x v="61"/>
    <x v="0"/>
    <s v="CLI007"/>
    <s v="Tecno Logica"/>
    <s v="PROD190"/>
    <x v="57"/>
    <n v="47"/>
    <n v="8500"/>
    <n v="399500"/>
    <x v="1"/>
    <x v="0"/>
    <s v="N/A"/>
  </r>
  <r>
    <s v="T0127"/>
    <x v="62"/>
    <x v="0"/>
    <s v="CLI006"/>
    <s v="Construtora Forte"/>
    <s v="PROD076"/>
    <x v="44"/>
    <n v="2"/>
    <n v="750"/>
    <n v="1500"/>
    <x v="0"/>
    <x v="1"/>
    <s v="N/A"/>
  </r>
  <r>
    <s v="T0128"/>
    <x v="63"/>
    <x v="1"/>
    <s v="FORN018"/>
    <s v="Link Direct"/>
    <s v="PROD144"/>
    <x v="98"/>
    <n v="72"/>
    <n v="55"/>
    <n v="3960"/>
    <x v="1"/>
    <x v="2"/>
    <d v="2025-03-13T00:00:00"/>
  </r>
  <r>
    <s v="T0129"/>
    <x v="63"/>
    <x v="1"/>
    <s v="FORN016"/>
    <s v="Steel Case"/>
    <s v="PROD144"/>
    <x v="98"/>
    <n v="42"/>
    <n v="55"/>
    <n v="2310"/>
    <x v="2"/>
    <x v="2"/>
    <d v="2025-03-23T00:00:00"/>
  </r>
  <r>
    <s v="T0130"/>
    <x v="64"/>
    <x v="1"/>
    <s v="FORN010"/>
    <s v="DataCenter Pro"/>
    <s v="PROD181"/>
    <x v="99"/>
    <n v="79"/>
    <n v="6500"/>
    <n v="513500"/>
    <x v="2"/>
    <x v="1"/>
    <d v="2025-03-14T00:00:00"/>
  </r>
  <r>
    <s v="T0131"/>
    <x v="64"/>
    <x v="1"/>
    <s v="FORN016"/>
    <s v="Steel Case"/>
    <s v="PROD100"/>
    <x v="100"/>
    <n v="70"/>
    <n v="180"/>
    <n v="12600"/>
    <x v="0"/>
    <x v="2"/>
    <d v="2025-03-24T00:00:00"/>
  </r>
  <r>
    <s v="T0132"/>
    <x v="65"/>
    <x v="1"/>
    <s v="FORN016"/>
    <s v="Steel Case"/>
    <s v="PROD065"/>
    <x v="101"/>
    <n v="127"/>
    <n v="12"/>
    <n v="1524"/>
    <x v="2"/>
    <x v="2"/>
    <d v="2025-03-25T00:00:00"/>
  </r>
  <r>
    <s v="T0133"/>
    <x v="65"/>
    <x v="1"/>
    <s v="FORN003"/>
    <s v="Office Express"/>
    <s v="PROD182"/>
    <x v="102"/>
    <n v="79"/>
    <n v="1850"/>
    <n v="146150"/>
    <x v="2"/>
    <x v="0"/>
    <d v="2025-03-15T00:00:00"/>
  </r>
  <r>
    <s v="T0134"/>
    <x v="66"/>
    <x v="1"/>
    <s v="FORN016"/>
    <s v="Steel Case"/>
    <s v="PROD062"/>
    <x v="60"/>
    <n v="75"/>
    <n v="4.5"/>
    <n v="337.5"/>
    <x v="2"/>
    <x v="1"/>
    <d v="2025-03-26T00:00:00"/>
  </r>
  <r>
    <s v="T0135"/>
    <x v="66"/>
    <x v="1"/>
    <s v="FORN017"/>
    <s v="BitSafe"/>
    <s v="PROD093"/>
    <x v="103"/>
    <n v="51"/>
    <n v="1200"/>
    <n v="61200"/>
    <x v="0"/>
    <x v="0"/>
    <d v="2025-03-17T00:00:00"/>
  </r>
  <r>
    <s v="T0136"/>
    <x v="67"/>
    <x v="1"/>
    <s v="FORN012"/>
    <s v="Fast Delivery"/>
    <s v="PROD098"/>
    <x v="63"/>
    <n v="91"/>
    <n v="1550"/>
    <n v="141050"/>
    <x v="1"/>
    <x v="1"/>
    <d v="2025-03-16T00:00:00"/>
  </r>
  <r>
    <s v="T0137"/>
    <x v="67"/>
    <x v="0"/>
    <s v="CLI012"/>
    <s v="Padaria Real"/>
    <s v="PROD157"/>
    <x v="21"/>
    <n v="50"/>
    <n v="28"/>
    <n v="1400"/>
    <x v="2"/>
    <x v="0"/>
    <s v="N/A"/>
  </r>
  <r>
    <s v="T0138"/>
    <x v="67"/>
    <x v="1"/>
    <s v="FORN010"/>
    <s v="DataCenter Pro"/>
    <s v="PROD024"/>
    <x v="104"/>
    <n v="147"/>
    <n v="2400"/>
    <n v="352800"/>
    <x v="0"/>
    <x v="1"/>
    <d v="2025-03-17T00:00:00"/>
  </r>
  <r>
    <s v="T0139"/>
    <x v="68"/>
    <x v="1"/>
    <s v="FORN020"/>
    <s v="AI Systems"/>
    <s v="PROD136"/>
    <x v="42"/>
    <n v="55"/>
    <n v="350"/>
    <n v="19250"/>
    <x v="2"/>
    <x v="1"/>
    <d v="2025-03-17T00:00:00"/>
  </r>
  <r>
    <s v="T0140"/>
    <x v="68"/>
    <x v="1"/>
    <s v="FORN005"/>
    <s v="CloudNexus Data"/>
    <s v="PROD194"/>
    <x v="105"/>
    <n v="85"/>
    <n v="35"/>
    <n v="2975"/>
    <x v="0"/>
    <x v="2"/>
    <d v="2025-03-17T00:00:00"/>
  </r>
  <r>
    <s v="T0141"/>
    <x v="69"/>
    <x v="1"/>
    <s v="FORN007"/>
    <s v="CyberSecurity SA"/>
    <s v="PROD048"/>
    <x v="74"/>
    <n v="55"/>
    <n v="55"/>
    <n v="3025"/>
    <x v="2"/>
    <x v="1"/>
    <d v="2025-03-24T00:00:00"/>
  </r>
  <r>
    <s v="T0142"/>
    <x v="69"/>
    <x v="1"/>
    <s v="FORN004"/>
    <s v="LogiBrasil Transportes"/>
    <s v="PROD013"/>
    <x v="88"/>
    <n v="96"/>
    <n v="180"/>
    <n v="17280"/>
    <x v="2"/>
    <x v="1"/>
    <d v="2025-03-20T00:00:00"/>
  </r>
  <r>
    <s v="T0143"/>
    <x v="69"/>
    <x v="1"/>
    <s v="FORN007"/>
    <s v="CyberSecurity SA"/>
    <s v="PROD003"/>
    <x v="3"/>
    <n v="77"/>
    <n v="120"/>
    <n v="9240"/>
    <x v="0"/>
    <x v="0"/>
    <d v="2025-03-24T00:00:00"/>
  </r>
  <r>
    <s v="T0144"/>
    <x v="70"/>
    <x v="1"/>
    <s v="FORN005"/>
    <s v="CloudNexus Data"/>
    <s v="PROD002"/>
    <x v="10"/>
    <n v="89"/>
    <n v="350"/>
    <n v="31150"/>
    <x v="1"/>
    <x v="0"/>
    <d v="2025-03-19T00:00:00"/>
  </r>
  <r>
    <s v="T0145"/>
    <x v="70"/>
    <x v="1"/>
    <s v="FORN012"/>
    <s v="Fast Delivery"/>
    <s v="PROD150"/>
    <x v="26"/>
    <n v="62"/>
    <n v="55"/>
    <n v="3410"/>
    <x v="1"/>
    <x v="1"/>
    <d v="2025-03-19T00:00:00"/>
  </r>
  <r>
    <s v="T0146"/>
    <x v="70"/>
    <x v="1"/>
    <s v="FORN016"/>
    <s v="Steel Case"/>
    <s v="PROD046"/>
    <x v="106"/>
    <n v="194"/>
    <n v="15"/>
    <n v="2910"/>
    <x v="0"/>
    <x v="2"/>
    <d v="2025-03-30T00:00:00"/>
  </r>
  <r>
    <s v="T0147"/>
    <x v="70"/>
    <x v="1"/>
    <s v="FORN007"/>
    <s v="CyberSecurity SA"/>
    <s v="PROD149"/>
    <x v="107"/>
    <n v="53"/>
    <n v="145"/>
    <n v="7685"/>
    <x v="1"/>
    <x v="1"/>
    <d v="2025-03-25T00:00:00"/>
  </r>
  <r>
    <s v="T0148"/>
    <x v="70"/>
    <x v="1"/>
    <s v="FORN001"/>
    <s v="TechFlow Solucoes"/>
    <s v="PROD166"/>
    <x v="82"/>
    <n v="2"/>
    <n v="12"/>
    <n v="24"/>
    <x v="2"/>
    <x v="0"/>
    <d v="2025-03-23T00:00:00"/>
  </r>
  <r>
    <s v="T0149"/>
    <x v="70"/>
    <x v="0"/>
    <s v="CLI011"/>
    <s v="Academia Fit"/>
    <s v="PROD110"/>
    <x v="50"/>
    <n v="12"/>
    <n v="580"/>
    <n v="6960"/>
    <x v="2"/>
    <x v="2"/>
    <s v="N/A"/>
  </r>
  <r>
    <s v="T0150"/>
    <x v="71"/>
    <x v="1"/>
    <s v="FORN019"/>
    <s v="Mega Storage"/>
    <s v="PROD052"/>
    <x v="35"/>
    <n v="86"/>
    <n v="6.5"/>
    <n v="559"/>
    <x v="0"/>
    <x v="0"/>
    <d v="2025-03-29T00:00:00"/>
  </r>
  <r>
    <s v="T0151"/>
    <x v="71"/>
    <x v="0"/>
    <s v="CLI013"/>
    <s v="Advocacia Associada"/>
    <s v="PROD076"/>
    <x v="44"/>
    <n v="3"/>
    <n v="750"/>
    <n v="2250"/>
    <x v="1"/>
    <x v="0"/>
    <s v="N/A"/>
  </r>
  <r>
    <s v="T0152"/>
    <x v="72"/>
    <x v="1"/>
    <s v="FORN020"/>
    <s v="AI Systems"/>
    <s v="PROD081"/>
    <x v="108"/>
    <n v="45"/>
    <n v="12500"/>
    <n v="562500"/>
    <x v="1"/>
    <x v="2"/>
    <d v="2025-03-23T00:00:00"/>
  </r>
  <r>
    <s v="T0153"/>
    <x v="73"/>
    <x v="1"/>
    <s v="FORN013"/>
    <s v="Network Master"/>
    <s v="PROD122"/>
    <x v="109"/>
    <n v="94"/>
    <n v="180"/>
    <n v="16920"/>
    <x v="2"/>
    <x v="0"/>
    <d v="2025-03-29T00:00:00"/>
  </r>
  <r>
    <s v="T0154"/>
    <x v="74"/>
    <x v="0"/>
    <s v="CLI013"/>
    <s v="Advocacia Associada"/>
    <s v="PROD166"/>
    <x v="82"/>
    <n v="27"/>
    <n v="12"/>
    <n v="324"/>
    <x v="0"/>
    <x v="1"/>
    <s v="N/A"/>
  </r>
  <r>
    <s v="T0155"/>
    <x v="74"/>
    <x v="0"/>
    <s v="CLI007"/>
    <s v="Tecno Logica"/>
    <s v="PROD192"/>
    <x v="47"/>
    <n v="23"/>
    <n v="85"/>
    <n v="1955"/>
    <x v="2"/>
    <x v="2"/>
    <s v="N/A"/>
  </r>
  <r>
    <s v="T0156"/>
    <x v="74"/>
    <x v="1"/>
    <s v="FORN014"/>
    <s v="DevTools Inc"/>
    <s v="PROD089"/>
    <x v="110"/>
    <n v="38"/>
    <n v="850"/>
    <n v="32300"/>
    <x v="1"/>
    <x v="0"/>
    <d v="2025-03-25T00:00:00"/>
  </r>
  <r>
    <s v="T0157"/>
    <x v="74"/>
    <x v="0"/>
    <s v="CLI001"/>
    <s v="Industrias Alpha"/>
    <s v="PROD006"/>
    <x v="0"/>
    <n v="6"/>
    <n v="5500"/>
    <n v="33000"/>
    <x v="0"/>
    <x v="2"/>
    <s v="N/A"/>
  </r>
  <r>
    <s v="T0158"/>
    <x v="75"/>
    <x v="1"/>
    <s v="FORN002"/>
    <s v="SoftPrime Licencas"/>
    <s v="PROD023"/>
    <x v="111"/>
    <n v="250"/>
    <n v="150"/>
    <n v="37500"/>
    <x v="1"/>
    <x v="0"/>
    <d v="2025-03-26T00:00:00"/>
  </r>
  <r>
    <s v="T0159"/>
    <x v="75"/>
    <x v="1"/>
    <s v="FORN008"/>
    <s v="Global Chips"/>
    <s v="PROD153"/>
    <x v="112"/>
    <n v="97"/>
    <n v="25"/>
    <n v="2425"/>
    <x v="1"/>
    <x v="2"/>
    <d v="2025-04-09T00:00:00"/>
  </r>
  <r>
    <s v="T0160"/>
    <x v="75"/>
    <x v="1"/>
    <s v="FORN003"/>
    <s v="Office Express"/>
    <s v="PROD020"/>
    <x v="113"/>
    <n v="37"/>
    <n v="400"/>
    <n v="14800"/>
    <x v="2"/>
    <x v="1"/>
    <d v="2025-03-27T00:00:00"/>
  </r>
  <r>
    <s v="T0161"/>
    <x v="76"/>
    <x v="1"/>
    <s v="FORN011"/>
    <s v="Energy Solution"/>
    <s v="PROD109"/>
    <x v="56"/>
    <n v="108"/>
    <n v="75"/>
    <n v="8100"/>
    <x v="0"/>
    <x v="2"/>
    <d v="2025-03-30T00:00:00"/>
  </r>
  <r>
    <s v="T0162"/>
    <x v="76"/>
    <x v="0"/>
    <s v="CLI007"/>
    <s v="Tecno Logica"/>
    <s v="PROD054"/>
    <x v="52"/>
    <n v="37"/>
    <n v="8"/>
    <n v="296"/>
    <x v="2"/>
    <x v="0"/>
    <s v="N/A"/>
  </r>
  <r>
    <s v="T0163"/>
    <x v="76"/>
    <x v="1"/>
    <s v="FORN020"/>
    <s v="AI Systems"/>
    <s v="PROD197"/>
    <x v="114"/>
    <n v="71"/>
    <n v="280"/>
    <n v="19880"/>
    <x v="0"/>
    <x v="2"/>
    <d v="2025-03-27T00:00:00"/>
  </r>
  <r>
    <s v="T0164"/>
    <x v="76"/>
    <x v="1"/>
    <s v="FORN017"/>
    <s v="BitSafe"/>
    <s v="PROD011"/>
    <x v="115"/>
    <n v="89"/>
    <n v="280"/>
    <n v="24920"/>
    <x v="1"/>
    <x v="0"/>
    <d v="2025-03-29T00:00:00"/>
  </r>
  <r>
    <s v="T0165"/>
    <x v="76"/>
    <x v="1"/>
    <s v="FORN018"/>
    <s v="Link Direct"/>
    <s v="PROD063"/>
    <x v="116"/>
    <n v="65"/>
    <n v="18"/>
    <n v="1170"/>
    <x v="2"/>
    <x v="0"/>
    <d v="2025-03-28T00:00:00"/>
  </r>
  <r>
    <s v="T0166"/>
    <x v="77"/>
    <x v="0"/>
    <s v="CLI003"/>
    <s v="Hospital Vida"/>
    <s v="PROD022"/>
    <x v="12"/>
    <n v="2"/>
    <n v="980"/>
    <n v="1960"/>
    <x v="0"/>
    <x v="2"/>
    <s v="N/A"/>
  </r>
  <r>
    <s v="T0167"/>
    <x v="77"/>
    <x v="1"/>
    <s v="FORN013"/>
    <s v="Network Master"/>
    <s v="PROD056"/>
    <x v="62"/>
    <n v="14"/>
    <n v="25"/>
    <n v="350"/>
    <x v="0"/>
    <x v="1"/>
    <d v="2025-04-02T00:00:00"/>
  </r>
  <r>
    <s v="T0168"/>
    <x v="78"/>
    <x v="1"/>
    <s v="FORN001"/>
    <s v="TechFlow Solucoes"/>
    <s v="PROD117"/>
    <x v="117"/>
    <n v="43"/>
    <n v="95"/>
    <n v="4085"/>
    <x v="1"/>
    <x v="0"/>
    <d v="2025-04-03T00:00:00"/>
  </r>
  <r>
    <s v="T0169"/>
    <x v="79"/>
    <x v="1"/>
    <s v="FORN018"/>
    <s v="Link Direct"/>
    <s v="PROD073"/>
    <x v="118"/>
    <n v="345"/>
    <n v="2.5"/>
    <n v="862.5"/>
    <x v="1"/>
    <x v="2"/>
    <d v="2025-04-01T00:00:00"/>
  </r>
  <r>
    <s v="T0170"/>
    <x v="79"/>
    <x v="0"/>
    <s v="CLI006"/>
    <s v="Construtora Forte"/>
    <s v="PROD197"/>
    <x v="114"/>
    <n v="24"/>
    <n v="280"/>
    <n v="6720"/>
    <x v="0"/>
    <x v="1"/>
    <s v="N/A"/>
  </r>
  <r>
    <s v="T0171"/>
    <x v="80"/>
    <x v="0"/>
    <s v="CLI006"/>
    <s v="Construtora Forte"/>
    <s v="PROD054"/>
    <x v="52"/>
    <n v="99"/>
    <n v="8"/>
    <n v="792"/>
    <x v="0"/>
    <x v="2"/>
    <s v="N/A"/>
  </r>
  <r>
    <s v="T0172"/>
    <x v="81"/>
    <x v="0"/>
    <s v="CLI019"/>
    <s v="Consultoria Meta"/>
    <s v="PROD058"/>
    <x v="33"/>
    <n v="389"/>
    <n v="1.5"/>
    <n v="583.5"/>
    <x v="0"/>
    <x v="0"/>
    <s v="N/A"/>
  </r>
  <r>
    <s v="T0173"/>
    <x v="82"/>
    <x v="1"/>
    <s v="FORN014"/>
    <s v="DevTools Inc"/>
    <s v="PROD007"/>
    <x v="18"/>
    <n v="10"/>
    <n v="1800"/>
    <n v="18000"/>
    <x v="0"/>
    <x v="1"/>
    <d v="2025-04-03T00:00:00"/>
  </r>
  <r>
    <s v="T0174"/>
    <x v="83"/>
    <x v="1"/>
    <s v="FORN011"/>
    <s v="Energy Solution"/>
    <s v="PROD184"/>
    <x v="119"/>
    <n v="107"/>
    <n v="45"/>
    <n v="4815"/>
    <x v="0"/>
    <x v="0"/>
    <d v="2025-04-09T00:00:00"/>
  </r>
  <r>
    <s v="T0175"/>
    <x v="84"/>
    <x v="1"/>
    <s v="FORN007"/>
    <s v="CyberSecurity SA"/>
    <s v="PROD071"/>
    <x v="120"/>
    <n v="266"/>
    <n v="8.5"/>
    <n v="2261"/>
    <x v="2"/>
    <x v="1"/>
    <d v="2025-04-13T00:00:00"/>
  </r>
  <r>
    <s v="T0176"/>
    <x v="84"/>
    <x v="0"/>
    <s v="CLI013"/>
    <s v="Advocacia Associada"/>
    <s v="PROD010"/>
    <x v="4"/>
    <n v="7"/>
    <n v="320"/>
    <n v="2240"/>
    <x v="2"/>
    <x v="1"/>
    <s v="N/A"/>
  </r>
  <r>
    <s v="T0177"/>
    <x v="85"/>
    <x v="0"/>
    <s v="CLI001"/>
    <s v="Industrias Alpha"/>
    <s v="PROD155"/>
    <x v="95"/>
    <n v="5"/>
    <n v="12"/>
    <n v="60"/>
    <x v="0"/>
    <x v="1"/>
    <s v="N/A"/>
  </r>
  <r>
    <s v="T0178"/>
    <x v="85"/>
    <x v="1"/>
    <s v="FORN008"/>
    <s v="Global Chips"/>
    <s v="PROD166"/>
    <x v="82"/>
    <n v="97"/>
    <n v="12"/>
    <n v="1164"/>
    <x v="0"/>
    <x v="0"/>
    <d v="2025-04-22T00:00:00"/>
  </r>
  <r>
    <s v="T0179"/>
    <x v="85"/>
    <x v="1"/>
    <s v="FORN020"/>
    <s v="AI Systems"/>
    <s v="PROD158"/>
    <x v="121"/>
    <n v="125"/>
    <n v="7"/>
    <n v="875"/>
    <x v="0"/>
    <x v="2"/>
    <d v="2025-04-08T00:00:00"/>
  </r>
  <r>
    <s v="T0180"/>
    <x v="86"/>
    <x v="1"/>
    <s v="FORN006"/>
    <s v="Papelaria Central"/>
    <s v="PROD190"/>
    <x v="57"/>
    <n v="30"/>
    <n v="8500"/>
    <n v="255000"/>
    <x v="2"/>
    <x v="0"/>
    <d v="2025-04-10T00:00:00"/>
  </r>
  <r>
    <s v="T0181"/>
    <x v="86"/>
    <x v="1"/>
    <s v="FORN016"/>
    <s v="Steel Case"/>
    <s v="PROD134"/>
    <x v="122"/>
    <n v="67"/>
    <n v="155"/>
    <n v="10385"/>
    <x v="0"/>
    <x v="2"/>
    <d v="2025-04-20T00:00:00"/>
  </r>
  <r>
    <s v="T0182"/>
    <x v="86"/>
    <x v="1"/>
    <s v="FORN008"/>
    <s v="Global Chips"/>
    <s v="PROD196"/>
    <x v="123"/>
    <n v="58"/>
    <n v="95"/>
    <n v="5510"/>
    <x v="0"/>
    <x v="0"/>
    <d v="2025-04-23T00:00:00"/>
  </r>
  <r>
    <s v="T0183"/>
    <x v="87"/>
    <x v="1"/>
    <s v="FORN011"/>
    <s v="Energy Solution"/>
    <s v="PROD069"/>
    <x v="124"/>
    <n v="114"/>
    <n v="15"/>
    <n v="1710"/>
    <x v="1"/>
    <x v="2"/>
    <d v="2025-04-13T00:00:00"/>
  </r>
  <r>
    <s v="T0184"/>
    <x v="87"/>
    <x v="0"/>
    <s v="CLI020"/>
    <s v="Oficina Mecanica"/>
    <s v="PROD184"/>
    <x v="119"/>
    <n v="46"/>
    <n v="45"/>
    <n v="2070"/>
    <x v="0"/>
    <x v="1"/>
    <s v="N/A"/>
  </r>
  <r>
    <s v="T0185"/>
    <x v="87"/>
    <x v="1"/>
    <s v="FORN008"/>
    <s v="Global Chips"/>
    <s v="PROD133"/>
    <x v="125"/>
    <n v="33"/>
    <n v="110"/>
    <n v="3630"/>
    <x v="2"/>
    <x v="2"/>
    <d v="2025-04-24T00:00:00"/>
  </r>
  <r>
    <s v="T0186"/>
    <x v="87"/>
    <x v="1"/>
    <s v="FORN009"/>
    <s v="Movel Tech"/>
    <s v="PROD186"/>
    <x v="126"/>
    <n v="75"/>
    <n v="6800"/>
    <n v="510000"/>
    <x v="1"/>
    <x v="1"/>
    <d v="2025-04-19T00:00:00"/>
  </r>
  <r>
    <s v="T0187"/>
    <x v="88"/>
    <x v="1"/>
    <s v="FORN013"/>
    <s v="Network Master"/>
    <s v="PROD091"/>
    <x v="53"/>
    <n v="74"/>
    <n v="28000"/>
    <n v="2072000"/>
    <x v="0"/>
    <x v="2"/>
    <d v="2025-04-16T00:00:00"/>
  </r>
  <r>
    <s v="T0188"/>
    <x v="88"/>
    <x v="1"/>
    <s v="FORN012"/>
    <s v="Fast Delivery"/>
    <s v="PROD012"/>
    <x v="8"/>
    <n v="5"/>
    <n v="450"/>
    <n v="2250"/>
    <x v="1"/>
    <x v="0"/>
    <d v="2025-04-11T00:00:00"/>
  </r>
  <r>
    <s v="T0189"/>
    <x v="88"/>
    <x v="1"/>
    <s v="FORN015"/>
    <s v="Print Smart"/>
    <s v="PROD113"/>
    <x v="13"/>
    <n v="26"/>
    <n v="950"/>
    <n v="24700"/>
    <x v="0"/>
    <x v="2"/>
    <d v="2025-04-13T00:00:00"/>
  </r>
  <r>
    <s v="T0190"/>
    <x v="88"/>
    <x v="1"/>
    <s v="FORN017"/>
    <s v="BitSafe"/>
    <s v="PROD112"/>
    <x v="127"/>
    <n v="89"/>
    <n v="1100"/>
    <n v="97900"/>
    <x v="0"/>
    <x v="2"/>
    <d v="2025-04-13T00:00:00"/>
  </r>
  <r>
    <s v="T0191"/>
    <x v="89"/>
    <x v="1"/>
    <s v="FORN020"/>
    <s v="AI Systems"/>
    <s v="PROD051"/>
    <x v="6"/>
    <n v="130"/>
    <n v="28"/>
    <n v="3640"/>
    <x v="1"/>
    <x v="2"/>
    <d v="2025-04-12T00:00:00"/>
  </r>
  <r>
    <s v="T0192"/>
    <x v="89"/>
    <x v="0"/>
    <s v="CLI019"/>
    <s v="Consultoria Meta"/>
    <s v="PROD069"/>
    <x v="124"/>
    <n v="97"/>
    <n v="15"/>
    <n v="1455"/>
    <x v="1"/>
    <x v="1"/>
    <s v="N/A"/>
  </r>
  <r>
    <s v="T0193"/>
    <x v="90"/>
    <x v="1"/>
    <s v="FORN009"/>
    <s v="Movel Tech"/>
    <s v="PROD120"/>
    <x v="128"/>
    <n v="106"/>
    <n v="320"/>
    <n v="33920"/>
    <x v="0"/>
    <x v="0"/>
    <d v="2025-04-22T00:00:00"/>
  </r>
  <r>
    <s v="T0194"/>
    <x v="90"/>
    <x v="0"/>
    <s v="CLI008"/>
    <s v="Supermercado Sol"/>
    <s v="PROD003"/>
    <x v="3"/>
    <n v="63"/>
    <n v="120"/>
    <n v="7560"/>
    <x v="2"/>
    <x v="0"/>
    <s v="N/A"/>
  </r>
  <r>
    <s v="T0195"/>
    <x v="90"/>
    <x v="1"/>
    <s v="FORN014"/>
    <s v="DevTools Inc"/>
    <s v="PROD082"/>
    <x v="129"/>
    <n v="73"/>
    <n v="1800"/>
    <n v="131400"/>
    <x v="1"/>
    <x v="1"/>
    <d v="2025-04-13T00:00:00"/>
  </r>
  <r>
    <s v="T0196"/>
    <x v="90"/>
    <x v="0"/>
    <s v="CLI013"/>
    <s v="Advocacia Associada"/>
    <s v="PROD121"/>
    <x v="9"/>
    <n v="1"/>
    <n v="15000"/>
    <n v="15000"/>
    <x v="0"/>
    <x v="2"/>
    <s v="N/A"/>
  </r>
  <r>
    <s v="T0197"/>
    <x v="90"/>
    <x v="1"/>
    <s v="FORN015"/>
    <s v="Print Smart"/>
    <s v="PROD100"/>
    <x v="100"/>
    <n v="16"/>
    <n v="180"/>
    <n v="2880"/>
    <x v="2"/>
    <x v="2"/>
    <d v="2025-04-15T00:00:00"/>
  </r>
  <r>
    <s v="T0198"/>
    <x v="90"/>
    <x v="1"/>
    <s v="FORN005"/>
    <s v="CloudNexus Data"/>
    <s v="PROD150"/>
    <x v="26"/>
    <n v="94"/>
    <n v="55"/>
    <n v="5170"/>
    <x v="0"/>
    <x v="0"/>
    <d v="2025-04-13T00:00:00"/>
  </r>
  <r>
    <s v="T0199"/>
    <x v="90"/>
    <x v="0"/>
    <s v="CLI005"/>
    <s v="Banco Futuro"/>
    <s v="PROD192"/>
    <x v="47"/>
    <n v="10"/>
    <n v="85"/>
    <n v="850"/>
    <x v="2"/>
    <x v="2"/>
    <s v="N/A"/>
  </r>
  <r>
    <s v="T0200"/>
    <x v="91"/>
    <x v="1"/>
    <s v="FORN016"/>
    <s v="Steel Case"/>
    <s v="PROD200"/>
    <x v="130"/>
    <n v="31"/>
    <n v="1200"/>
    <n v="37200"/>
    <x v="0"/>
    <x v="1"/>
    <d v="2025-04-25T00:00:00"/>
  </r>
  <r>
    <s v="T0201"/>
    <x v="92"/>
    <x v="1"/>
    <s v="FORN003"/>
    <s v="Office Express"/>
    <s v="PROD143"/>
    <x v="131"/>
    <n v="90"/>
    <n v="35"/>
    <n v="3150"/>
    <x v="0"/>
    <x v="0"/>
    <d v="2025-04-16T00:00:00"/>
  </r>
  <r>
    <s v="T0202"/>
    <x v="92"/>
    <x v="1"/>
    <s v="FORN006"/>
    <s v="Papelaria Central"/>
    <s v="PROD060"/>
    <x v="132"/>
    <n v="173"/>
    <n v="5"/>
    <n v="865"/>
    <x v="0"/>
    <x v="1"/>
    <d v="2025-04-16T00:00:00"/>
  </r>
  <r>
    <s v="T0203"/>
    <x v="93"/>
    <x v="0"/>
    <s v="CLI008"/>
    <s v="Supermercado Sol"/>
    <s v="PROD051"/>
    <x v="6"/>
    <n v="140"/>
    <n v="28"/>
    <n v="3920"/>
    <x v="2"/>
    <x v="1"/>
    <s v="N/A"/>
  </r>
  <r>
    <s v="T0204"/>
    <x v="93"/>
    <x v="1"/>
    <s v="FORN005"/>
    <s v="CloudNexus Data"/>
    <s v="PROD154"/>
    <x v="81"/>
    <n v="88"/>
    <n v="18"/>
    <n v="1584"/>
    <x v="2"/>
    <x v="1"/>
    <d v="2025-04-16T00:00:00"/>
  </r>
  <r>
    <s v="T0205"/>
    <x v="94"/>
    <x v="1"/>
    <s v="FORN018"/>
    <s v="Link Direct"/>
    <s v="PROD029"/>
    <x v="133"/>
    <n v="97"/>
    <n v="320"/>
    <n v="31040"/>
    <x v="0"/>
    <x v="0"/>
    <d v="2025-04-18T00:00:00"/>
  </r>
  <r>
    <s v="T0206"/>
    <x v="94"/>
    <x v="0"/>
    <s v="CLI015"/>
    <s v="Pet Shop Amigo"/>
    <s v="PROD029"/>
    <x v="133"/>
    <n v="57"/>
    <n v="320"/>
    <n v="18240"/>
    <x v="2"/>
    <x v="0"/>
    <s v="N/A"/>
  </r>
  <r>
    <s v="T0207"/>
    <x v="94"/>
    <x v="0"/>
    <s v="CLI019"/>
    <s v="Consultoria Meta"/>
    <s v="PROD152"/>
    <x v="87"/>
    <n v="14"/>
    <n v="12"/>
    <n v="168"/>
    <x v="2"/>
    <x v="0"/>
    <s v="N/A"/>
  </r>
  <r>
    <s v="T0208"/>
    <x v="95"/>
    <x v="1"/>
    <s v="FORN010"/>
    <s v="DataCenter Pro"/>
    <s v="PROD117"/>
    <x v="117"/>
    <n v="68"/>
    <n v="95"/>
    <n v="6460"/>
    <x v="2"/>
    <x v="1"/>
    <d v="2025-04-19T00:00:00"/>
  </r>
  <r>
    <s v="T0209"/>
    <x v="96"/>
    <x v="1"/>
    <s v="FORN001"/>
    <s v="TechFlow Solucoes"/>
    <s v="PROD167"/>
    <x v="134"/>
    <n v="197"/>
    <n v="18"/>
    <n v="3546"/>
    <x v="2"/>
    <x v="1"/>
    <d v="2025-04-23T00:00:00"/>
  </r>
  <r>
    <s v="T0210"/>
    <x v="96"/>
    <x v="1"/>
    <s v="FORN002"/>
    <s v="SoftPrime Licencas"/>
    <s v="PROD173"/>
    <x v="94"/>
    <n v="2"/>
    <n v="15"/>
    <n v="30"/>
    <x v="0"/>
    <x v="2"/>
    <d v="2025-04-19T00:00:00"/>
  </r>
  <r>
    <s v="T0211"/>
    <x v="96"/>
    <x v="0"/>
    <s v="CLI020"/>
    <s v="Oficina Mecanica"/>
    <s v="PROD071"/>
    <x v="120"/>
    <n v="52"/>
    <n v="8.5"/>
    <n v="442"/>
    <x v="2"/>
    <x v="2"/>
    <s v="N/A"/>
  </r>
  <r>
    <s v="T0212"/>
    <x v="97"/>
    <x v="1"/>
    <s v="FORN019"/>
    <s v="Mega Storage"/>
    <s v="PROD077"/>
    <x v="37"/>
    <n v="32"/>
    <n v="28"/>
    <n v="896"/>
    <x v="2"/>
    <x v="1"/>
    <d v="2025-04-27T00:00:00"/>
  </r>
  <r>
    <s v="T0213"/>
    <x v="98"/>
    <x v="1"/>
    <s v="FORN020"/>
    <s v="AI Systems"/>
    <s v="PROD151"/>
    <x v="135"/>
    <n v="95"/>
    <n v="45"/>
    <n v="4275"/>
    <x v="1"/>
    <x v="0"/>
    <d v="2025-04-21T00:00:00"/>
  </r>
  <r>
    <s v="T0214"/>
    <x v="99"/>
    <x v="1"/>
    <s v="FORN012"/>
    <s v="Fast Delivery"/>
    <s v="PROD171"/>
    <x v="136"/>
    <n v="39"/>
    <n v="65"/>
    <n v="2535"/>
    <x v="2"/>
    <x v="0"/>
    <d v="2025-04-22T00:00:00"/>
  </r>
  <r>
    <s v="T0215"/>
    <x v="99"/>
    <x v="1"/>
    <s v="FORN012"/>
    <s v="Fast Delivery"/>
    <s v="PROD193"/>
    <x v="137"/>
    <n v="20"/>
    <n v="450"/>
    <n v="9000"/>
    <x v="2"/>
    <x v="0"/>
    <d v="2025-04-22T00:00:00"/>
  </r>
  <r>
    <s v="T0216"/>
    <x v="100"/>
    <x v="1"/>
    <s v="FORN019"/>
    <s v="Mega Storage"/>
    <s v="PROD030"/>
    <x v="138"/>
    <n v="85"/>
    <n v="250"/>
    <n v="21250"/>
    <x v="0"/>
    <x v="1"/>
    <d v="2025-04-30T00:00:00"/>
  </r>
  <r>
    <s v="T0217"/>
    <x v="100"/>
    <x v="0"/>
    <s v="CLI015"/>
    <s v="Pet Shop Amigo"/>
    <s v="PROD064"/>
    <x v="48"/>
    <n v="42"/>
    <n v="14"/>
    <n v="588"/>
    <x v="0"/>
    <x v="1"/>
    <s v="N/A"/>
  </r>
  <r>
    <s v="T0218"/>
    <x v="101"/>
    <x v="0"/>
    <s v="CLI006"/>
    <s v="Construtora Forte"/>
    <s v="PROD059"/>
    <x v="58"/>
    <n v="9"/>
    <n v="12"/>
    <n v="108"/>
    <x v="0"/>
    <x v="0"/>
    <s v="N/A"/>
  </r>
  <r>
    <s v="T0219"/>
    <x v="101"/>
    <x v="1"/>
    <s v="FORN018"/>
    <s v="Link Direct"/>
    <s v="PROD099"/>
    <x v="139"/>
    <n v="68"/>
    <n v="750"/>
    <n v="51000"/>
    <x v="1"/>
    <x v="0"/>
    <d v="2025-04-25T00:00:00"/>
  </r>
  <r>
    <s v="T0220"/>
    <x v="102"/>
    <x v="0"/>
    <s v="CLI014"/>
    <s v="Moda Fashion"/>
    <s v="PROD185"/>
    <x v="34"/>
    <n v="14"/>
    <n v="380"/>
    <n v="5320"/>
    <x v="0"/>
    <x v="2"/>
    <s v="N/A"/>
  </r>
  <r>
    <s v="T0221"/>
    <x v="102"/>
    <x v="0"/>
    <s v="CLI019"/>
    <s v="Consultoria Meta"/>
    <s v="PROD134"/>
    <x v="122"/>
    <n v="21"/>
    <n v="155"/>
    <n v="3255"/>
    <x v="0"/>
    <x v="1"/>
    <s v="N/A"/>
  </r>
  <r>
    <s v="T0222"/>
    <x v="102"/>
    <x v="0"/>
    <s v="CLI005"/>
    <s v="Banco Futuro"/>
    <s v="PROD192"/>
    <x v="47"/>
    <n v="7"/>
    <n v="85"/>
    <n v="595"/>
    <x v="2"/>
    <x v="0"/>
    <s v="N/A"/>
  </r>
  <r>
    <s v="T0223"/>
    <x v="103"/>
    <x v="1"/>
    <s v="FORN017"/>
    <s v="BitSafe"/>
    <s v="PROD021"/>
    <x v="140"/>
    <n v="152"/>
    <n v="599"/>
    <n v="91048"/>
    <x v="0"/>
    <x v="0"/>
    <d v="2025-04-29T00:00:00"/>
  </r>
  <r>
    <s v="T0224"/>
    <x v="103"/>
    <x v="1"/>
    <s v="FORN006"/>
    <s v="Papelaria Central"/>
    <s v="PROD061"/>
    <x v="141"/>
    <n v="220"/>
    <n v="2.5"/>
    <n v="550"/>
    <x v="2"/>
    <x v="1"/>
    <d v="2025-04-28T00:00:00"/>
  </r>
  <r>
    <s v="T0225"/>
    <x v="104"/>
    <x v="1"/>
    <s v="FORN020"/>
    <s v="AI Systems"/>
    <s v="PROD080"/>
    <x v="142"/>
    <n v="80"/>
    <n v="110"/>
    <n v="8800"/>
    <x v="0"/>
    <x v="1"/>
    <d v="2025-04-29T00:00:00"/>
  </r>
  <r>
    <s v="T0226"/>
    <x v="104"/>
    <x v="1"/>
    <s v="FORN012"/>
    <s v="Fast Delivery"/>
    <s v="PROD034"/>
    <x v="143"/>
    <n v="83"/>
    <n v="4200"/>
    <n v="348600"/>
    <x v="0"/>
    <x v="2"/>
    <d v="2025-04-29T00:00:00"/>
  </r>
  <r>
    <s v="T0227"/>
    <x v="104"/>
    <x v="1"/>
    <s v="FORN002"/>
    <s v="SoftPrime Licencas"/>
    <s v="PROD129"/>
    <x v="144"/>
    <n v="81"/>
    <n v="650"/>
    <n v="52650"/>
    <x v="1"/>
    <x v="0"/>
    <d v="2025-04-29T00:00:00"/>
  </r>
  <r>
    <s v="T0228"/>
    <x v="105"/>
    <x v="1"/>
    <s v="FORN013"/>
    <s v="Network Master"/>
    <s v="PROD003"/>
    <x v="3"/>
    <n v="112"/>
    <n v="120"/>
    <n v="13440"/>
    <x v="1"/>
    <x v="0"/>
    <d v="2025-05-05T00:00:00"/>
  </r>
  <r>
    <s v="T0229"/>
    <x v="105"/>
    <x v="0"/>
    <s v="CLI012"/>
    <s v="Padaria Real"/>
    <s v="PROD120"/>
    <x v="128"/>
    <n v="64"/>
    <n v="320"/>
    <n v="20480"/>
    <x v="2"/>
    <x v="1"/>
    <s v="N/A"/>
  </r>
  <r>
    <s v="T0230"/>
    <x v="105"/>
    <x v="1"/>
    <s v="FORN018"/>
    <s v="Link Direct"/>
    <s v="PROD183"/>
    <x v="145"/>
    <n v="52"/>
    <n v="1200"/>
    <n v="62400"/>
    <x v="2"/>
    <x v="0"/>
    <d v="2025-05-01T00:00:00"/>
  </r>
  <r>
    <s v="T0231"/>
    <x v="106"/>
    <x v="1"/>
    <s v="FORN001"/>
    <s v="TechFlow Solucoes"/>
    <s v="PROD151"/>
    <x v="135"/>
    <n v="98"/>
    <n v="45"/>
    <n v="4410"/>
    <x v="1"/>
    <x v="0"/>
    <d v="2025-05-05T00:00:00"/>
  </r>
  <r>
    <s v="T0232"/>
    <x v="106"/>
    <x v="0"/>
    <s v="CLI005"/>
    <s v="Banco Futuro"/>
    <s v="PROD034"/>
    <x v="143"/>
    <n v="41"/>
    <n v="4200"/>
    <n v="172200"/>
    <x v="0"/>
    <x v="0"/>
    <s v="N/A"/>
  </r>
  <r>
    <s v="T0233"/>
    <x v="106"/>
    <x v="0"/>
    <s v="CLI020"/>
    <s v="Oficina Mecanica"/>
    <s v="PROD185"/>
    <x v="34"/>
    <n v="45"/>
    <n v="380"/>
    <n v="17100"/>
    <x v="0"/>
    <x v="1"/>
    <s v="N/A"/>
  </r>
  <r>
    <s v="T0234"/>
    <x v="106"/>
    <x v="0"/>
    <s v="CLI013"/>
    <s v="Advocacia Associada"/>
    <s v="PROD013"/>
    <x v="88"/>
    <n v="66"/>
    <n v="180"/>
    <n v="11880"/>
    <x v="2"/>
    <x v="2"/>
    <s v="N/A"/>
  </r>
  <r>
    <s v="T0235"/>
    <x v="106"/>
    <x v="1"/>
    <s v="FORN016"/>
    <s v="Steel Case"/>
    <s v="PROD126"/>
    <x v="146"/>
    <n v="18"/>
    <n v="280"/>
    <n v="5040"/>
    <x v="0"/>
    <x v="0"/>
    <d v="2025-05-12T00:00:00"/>
  </r>
  <r>
    <s v="T0236"/>
    <x v="107"/>
    <x v="0"/>
    <s v="CLI002"/>
    <s v="Varejo Total"/>
    <s v="PROD054"/>
    <x v="52"/>
    <n v="14"/>
    <n v="8"/>
    <n v="112"/>
    <x v="0"/>
    <x v="2"/>
    <s v="N/A"/>
  </r>
  <r>
    <s v="T0237"/>
    <x v="107"/>
    <x v="0"/>
    <s v="CLI019"/>
    <s v="Consultoria Meta"/>
    <s v="PROD012"/>
    <x v="8"/>
    <n v="4"/>
    <n v="450"/>
    <n v="1800"/>
    <x v="0"/>
    <x v="1"/>
    <s v="N/A"/>
  </r>
  <r>
    <s v="T0238"/>
    <x v="107"/>
    <x v="1"/>
    <s v="FORN010"/>
    <s v="DataCenter Pro"/>
    <s v="PROD116"/>
    <x v="147"/>
    <n v="125"/>
    <n v="85"/>
    <n v="10625"/>
    <x v="2"/>
    <x v="1"/>
    <d v="2025-05-03T00:00:00"/>
  </r>
  <r>
    <s v="T0239"/>
    <x v="108"/>
    <x v="0"/>
    <s v="CLI020"/>
    <s v="Oficina Mecanica"/>
    <s v="PROD051"/>
    <x v="6"/>
    <n v="31"/>
    <n v="28"/>
    <n v="868"/>
    <x v="2"/>
    <x v="2"/>
    <s v="N/A"/>
  </r>
  <r>
    <s v="T0240"/>
    <x v="109"/>
    <x v="0"/>
    <s v="CLI013"/>
    <s v="Advocacia Associada"/>
    <s v="PROD184"/>
    <x v="119"/>
    <n v="47"/>
    <n v="45"/>
    <n v="2115"/>
    <x v="0"/>
    <x v="1"/>
    <s v="N/A"/>
  </r>
  <r>
    <s v="T0241"/>
    <x v="109"/>
    <x v="1"/>
    <s v="FORN003"/>
    <s v="Office Express"/>
    <s v="PROD180"/>
    <x v="148"/>
    <n v="67"/>
    <n v="450"/>
    <n v="30150"/>
    <x v="2"/>
    <x v="0"/>
    <d v="2025-05-05T00:00:00"/>
  </r>
  <r>
    <s v="T0242"/>
    <x v="109"/>
    <x v="0"/>
    <s v="CLI020"/>
    <s v="Oficina Mecanica"/>
    <s v="PROD002"/>
    <x v="10"/>
    <n v="20"/>
    <n v="350"/>
    <n v="7000"/>
    <x v="2"/>
    <x v="0"/>
    <s v="N/A"/>
  </r>
  <r>
    <s v="T0243"/>
    <x v="110"/>
    <x v="0"/>
    <s v="CLI019"/>
    <s v="Consultoria Meta"/>
    <s v="PROD022"/>
    <x v="12"/>
    <n v="4"/>
    <n v="980"/>
    <n v="3920"/>
    <x v="2"/>
    <x v="0"/>
    <s v="N/A"/>
  </r>
  <r>
    <s v="T0244"/>
    <x v="110"/>
    <x v="0"/>
    <s v="CLI009"/>
    <s v="Farma Plus"/>
    <s v="PROD151"/>
    <x v="135"/>
    <n v="47"/>
    <n v="45"/>
    <n v="2115"/>
    <x v="0"/>
    <x v="2"/>
    <s v="N/A"/>
  </r>
  <r>
    <s v="T0245"/>
    <x v="110"/>
    <x v="1"/>
    <s v="FORN002"/>
    <s v="SoftPrime Licencas"/>
    <s v="PROD130"/>
    <x v="149"/>
    <n v="22"/>
    <n v="380"/>
    <n v="8360"/>
    <x v="0"/>
    <x v="1"/>
    <d v="2025-05-05T00:00:00"/>
  </r>
  <r>
    <s v="T0246"/>
    <x v="110"/>
    <x v="1"/>
    <s v="FORN005"/>
    <s v="CloudNexus Data"/>
    <s v="PROD124"/>
    <x v="150"/>
    <n v="131"/>
    <n v="250"/>
    <n v="32750"/>
    <x v="2"/>
    <x v="2"/>
    <d v="2025-05-05T00:00:00"/>
  </r>
  <r>
    <s v="T0247"/>
    <x v="111"/>
    <x v="0"/>
    <s v="CLI005"/>
    <s v="Banco Futuro"/>
    <s v="PROD126"/>
    <x v="146"/>
    <n v="18"/>
    <n v="280"/>
    <n v="5040"/>
    <x v="2"/>
    <x v="2"/>
    <s v="N/A"/>
  </r>
  <r>
    <s v="T0248"/>
    <x v="111"/>
    <x v="0"/>
    <s v="CLI020"/>
    <s v="Oficina Mecanica"/>
    <s v="PROD076"/>
    <x v="44"/>
    <n v="1"/>
    <n v="750"/>
    <n v="750"/>
    <x v="1"/>
    <x v="2"/>
    <s v="N/A"/>
  </r>
  <r>
    <s v="T0249"/>
    <x v="112"/>
    <x v="1"/>
    <s v="FORN013"/>
    <s v="Network Master"/>
    <s v="PROD001"/>
    <x v="1"/>
    <n v="50"/>
    <n v="850"/>
    <n v="42500"/>
    <x v="1"/>
    <x v="0"/>
    <d v="2025-05-12T00:00:00"/>
  </r>
  <r>
    <s v="T0250"/>
    <x v="112"/>
    <x v="0"/>
    <s v="CLI009"/>
    <s v="Farma Plus"/>
    <s v="PROD133"/>
    <x v="125"/>
    <n v="5"/>
    <n v="110"/>
    <n v="550"/>
    <x v="1"/>
    <x v="2"/>
    <s v="N/A"/>
  </r>
  <r>
    <s v="T0251"/>
    <x v="112"/>
    <x v="0"/>
    <s v="CLI016"/>
    <s v="Auto Pecas Jato"/>
    <s v="PROD124"/>
    <x v="150"/>
    <n v="23"/>
    <n v="250"/>
    <n v="5750"/>
    <x v="1"/>
    <x v="0"/>
    <s v="N/A"/>
  </r>
  <r>
    <s v="T0252"/>
    <x v="113"/>
    <x v="1"/>
    <s v="FORN003"/>
    <s v="Office Express"/>
    <s v="PROD018"/>
    <x v="19"/>
    <n v="103"/>
    <n v="380"/>
    <n v="39140"/>
    <x v="2"/>
    <x v="2"/>
    <d v="2025-05-09T00:00:00"/>
  </r>
  <r>
    <s v="T0253"/>
    <x v="114"/>
    <x v="1"/>
    <s v="FORN011"/>
    <s v="Energy Solution"/>
    <s v="PROD016"/>
    <x v="151"/>
    <n v="55"/>
    <n v="55"/>
    <n v="3025"/>
    <x v="0"/>
    <x v="0"/>
    <d v="2025-05-12T00:00:00"/>
  </r>
  <r>
    <s v="T0254"/>
    <x v="114"/>
    <x v="1"/>
    <s v="FORN014"/>
    <s v="DevTools Inc"/>
    <s v="PROD171"/>
    <x v="136"/>
    <n v="99"/>
    <n v="65"/>
    <n v="6435"/>
    <x v="0"/>
    <x v="0"/>
    <d v="2025-05-09T00:00:00"/>
  </r>
  <r>
    <s v="T0255"/>
    <x v="115"/>
    <x v="0"/>
    <s v="CLI017"/>
    <s v="Restaurante Sabor"/>
    <s v="PROD091"/>
    <x v="53"/>
    <n v="12"/>
    <n v="28000"/>
    <n v="336000"/>
    <x v="0"/>
    <x v="1"/>
    <s v="N/A"/>
  </r>
  <r>
    <s v="T0256"/>
    <x v="115"/>
    <x v="1"/>
    <s v="FORN004"/>
    <s v="LogiBrasil Transportes"/>
    <s v="PROD118"/>
    <x v="152"/>
    <n v="77"/>
    <n v="55"/>
    <n v="4235"/>
    <x v="2"/>
    <x v="1"/>
    <d v="2025-05-13T00:00:00"/>
  </r>
  <r>
    <s v="T0257"/>
    <x v="115"/>
    <x v="1"/>
    <s v="FORN001"/>
    <s v="TechFlow Solucoes"/>
    <s v="PROD148"/>
    <x v="153"/>
    <n v="96"/>
    <n v="35"/>
    <n v="3360"/>
    <x v="0"/>
    <x v="0"/>
    <d v="2025-05-15T00:00:00"/>
  </r>
  <r>
    <s v="T0258"/>
    <x v="115"/>
    <x v="0"/>
    <s v="CLI005"/>
    <s v="Banco Futuro"/>
    <s v="PROD134"/>
    <x v="122"/>
    <n v="13"/>
    <n v="155"/>
    <n v="2015"/>
    <x v="0"/>
    <x v="0"/>
    <s v="N/A"/>
  </r>
  <r>
    <s v="T0259"/>
    <x v="115"/>
    <x v="1"/>
    <s v="FORN019"/>
    <s v="Mega Storage"/>
    <s v="PROD045"/>
    <x v="154"/>
    <n v="84"/>
    <n v="280"/>
    <n v="23520"/>
    <x v="0"/>
    <x v="0"/>
    <d v="2025-05-18T00:00:00"/>
  </r>
  <r>
    <s v="T0260"/>
    <x v="116"/>
    <x v="1"/>
    <s v="FORN013"/>
    <s v="Network Master"/>
    <s v="PROD172"/>
    <x v="155"/>
    <n v="51"/>
    <n v="120"/>
    <n v="6120"/>
    <x v="1"/>
    <x v="2"/>
    <d v="2025-05-17T00:00:00"/>
  </r>
  <r>
    <s v="T0261"/>
    <x v="116"/>
    <x v="1"/>
    <s v="FORN012"/>
    <s v="Fast Delivery"/>
    <s v="PROD017"/>
    <x v="156"/>
    <n v="69"/>
    <n v="130"/>
    <n v="8970"/>
    <x v="2"/>
    <x v="0"/>
    <d v="2025-05-12T00:00:00"/>
  </r>
  <r>
    <s v="T0262"/>
    <x v="116"/>
    <x v="0"/>
    <s v="CLI009"/>
    <s v="Farma Plus"/>
    <s v="PROD181"/>
    <x v="99"/>
    <n v="1"/>
    <n v="6500"/>
    <n v="6500"/>
    <x v="1"/>
    <x v="2"/>
    <s v="N/A"/>
  </r>
  <r>
    <s v="T0263"/>
    <x v="117"/>
    <x v="0"/>
    <s v="CLI017"/>
    <s v="Restaurante Sabor"/>
    <s v="PROD131"/>
    <x v="15"/>
    <n v="1"/>
    <n v="145"/>
    <n v="145"/>
    <x v="0"/>
    <x v="1"/>
    <s v="N/A"/>
  </r>
  <r>
    <s v="T0264"/>
    <x v="117"/>
    <x v="0"/>
    <s v="CLI013"/>
    <s v="Advocacia Associada"/>
    <s v="PROD197"/>
    <x v="114"/>
    <n v="30"/>
    <n v="280"/>
    <n v="8400"/>
    <x v="1"/>
    <x v="1"/>
    <s v="N/A"/>
  </r>
  <r>
    <s v="T0265"/>
    <x v="118"/>
    <x v="0"/>
    <s v="CLI012"/>
    <s v="Padaria Real"/>
    <s v="PROD061"/>
    <x v="141"/>
    <n v="146"/>
    <n v="2.5"/>
    <n v="365"/>
    <x v="2"/>
    <x v="2"/>
    <s v="N/A"/>
  </r>
  <r>
    <s v="T0266"/>
    <x v="118"/>
    <x v="0"/>
    <s v="CLI005"/>
    <s v="Banco Futuro"/>
    <s v="PROD034"/>
    <x v="143"/>
    <n v="14"/>
    <n v="4200"/>
    <n v="58800"/>
    <x v="1"/>
    <x v="2"/>
    <s v="N/A"/>
  </r>
  <r>
    <s v="T0267"/>
    <x v="118"/>
    <x v="0"/>
    <s v="CLI018"/>
    <s v="Clinica Sorriso"/>
    <s v="PROD012"/>
    <x v="8"/>
    <n v="10"/>
    <n v="450"/>
    <n v="4500"/>
    <x v="2"/>
    <x v="1"/>
    <s v="N/A"/>
  </r>
  <r>
    <s v="T0268"/>
    <x v="118"/>
    <x v="1"/>
    <s v="FORN005"/>
    <s v="CloudNexus Data"/>
    <s v="PROD068"/>
    <x v="157"/>
    <n v="17"/>
    <n v="180"/>
    <n v="3060"/>
    <x v="1"/>
    <x v="2"/>
    <d v="2025-05-15T00:00:00"/>
  </r>
  <r>
    <s v="T0269"/>
    <x v="118"/>
    <x v="1"/>
    <s v="FORN018"/>
    <s v="Link Direct"/>
    <s v="PROD107"/>
    <x v="79"/>
    <n v="52"/>
    <n v="680"/>
    <n v="35360"/>
    <x v="2"/>
    <x v="0"/>
    <d v="2025-05-16T00:00:00"/>
  </r>
  <r>
    <s v="T0270"/>
    <x v="119"/>
    <x v="1"/>
    <s v="FORN011"/>
    <s v="Energy Solution"/>
    <s v="PROD075"/>
    <x v="158"/>
    <n v="105"/>
    <n v="38"/>
    <n v="3990"/>
    <x v="2"/>
    <x v="1"/>
    <d v="2025-05-19T00:00:00"/>
  </r>
  <r>
    <s v="T0271"/>
    <x v="120"/>
    <x v="1"/>
    <s v="FORN011"/>
    <s v="Energy Solution"/>
    <s v="PROD094"/>
    <x v="159"/>
    <n v="66"/>
    <n v="220"/>
    <n v="14520"/>
    <x v="1"/>
    <x v="1"/>
    <d v="2025-05-20T00:00:00"/>
  </r>
  <r>
    <s v="T0272"/>
    <x v="120"/>
    <x v="1"/>
    <s v="FORN003"/>
    <s v="Office Express"/>
    <s v="PROD141"/>
    <x v="90"/>
    <n v="14"/>
    <n v="190"/>
    <n v="2660"/>
    <x v="0"/>
    <x v="2"/>
    <d v="2025-05-18T00:00:00"/>
  </r>
  <r>
    <s v="T0273"/>
    <x v="121"/>
    <x v="0"/>
    <s v="CLI003"/>
    <s v="Hospital Vida"/>
    <s v="PROD068"/>
    <x v="157"/>
    <n v="11"/>
    <n v="180"/>
    <n v="1980"/>
    <x v="1"/>
    <x v="1"/>
    <s v="N/A"/>
  </r>
  <r>
    <s v="T0274"/>
    <x v="121"/>
    <x v="0"/>
    <s v="CLI009"/>
    <s v="Farma Plus"/>
    <s v="PROD004"/>
    <x v="64"/>
    <n v="43"/>
    <n v="1200"/>
    <n v="51600"/>
    <x v="2"/>
    <x v="2"/>
    <s v="N/A"/>
  </r>
  <r>
    <s v="T0275"/>
    <x v="121"/>
    <x v="0"/>
    <s v="CLI015"/>
    <s v="Pet Shop Amigo"/>
    <s v="PROD026"/>
    <x v="71"/>
    <n v="17"/>
    <n v="85"/>
    <n v="1445"/>
    <x v="1"/>
    <x v="1"/>
    <s v="N/A"/>
  </r>
  <r>
    <s v="T0276"/>
    <x v="121"/>
    <x v="0"/>
    <s v="CLI013"/>
    <s v="Advocacia Associada"/>
    <s v="PROD098"/>
    <x v="63"/>
    <n v="85"/>
    <n v="1550"/>
    <n v="131750"/>
    <x v="0"/>
    <x v="0"/>
    <s v="N/A"/>
  </r>
  <r>
    <s v="T0277"/>
    <x v="122"/>
    <x v="1"/>
    <s v="FORN012"/>
    <s v="Fast Delivery"/>
    <s v="PROD198"/>
    <x v="160"/>
    <n v="42"/>
    <n v="55"/>
    <n v="2310"/>
    <x v="1"/>
    <x v="0"/>
    <d v="2025-05-19T00:00:00"/>
  </r>
  <r>
    <s v="T0278"/>
    <x v="122"/>
    <x v="1"/>
    <s v="FORN018"/>
    <s v="Link Direct"/>
    <s v="PROD122"/>
    <x v="109"/>
    <n v="85"/>
    <n v="180"/>
    <n v="15300"/>
    <x v="0"/>
    <x v="0"/>
    <d v="2025-05-20T00:00:00"/>
  </r>
  <r>
    <s v="T0279"/>
    <x v="123"/>
    <x v="1"/>
    <s v="FORN017"/>
    <s v="BitSafe"/>
    <s v="PROD036"/>
    <x v="161"/>
    <n v="72"/>
    <n v="2100"/>
    <n v="151200"/>
    <x v="2"/>
    <x v="2"/>
    <d v="2025-05-22T00:00:00"/>
  </r>
  <r>
    <s v="T0280"/>
    <x v="123"/>
    <x v="1"/>
    <s v="FORN020"/>
    <s v="AI Systems"/>
    <s v="PROD034"/>
    <x v="143"/>
    <n v="26"/>
    <n v="4200"/>
    <n v="109200"/>
    <x v="0"/>
    <x v="2"/>
    <d v="2025-05-20T00:00:00"/>
  </r>
  <r>
    <s v="T0281"/>
    <x v="123"/>
    <x v="1"/>
    <s v="FORN008"/>
    <s v="Global Chips"/>
    <s v="PROD004"/>
    <x v="64"/>
    <n v="44"/>
    <n v="1200"/>
    <n v="52800"/>
    <x v="0"/>
    <x v="1"/>
    <d v="2025-06-03T00:00:00"/>
  </r>
  <r>
    <s v="T0282"/>
    <x v="123"/>
    <x v="0"/>
    <s v="CLI005"/>
    <s v="Banco Futuro"/>
    <s v="PROD003"/>
    <x v="3"/>
    <n v="71"/>
    <n v="120"/>
    <n v="8520"/>
    <x v="2"/>
    <x v="1"/>
    <s v="N/A"/>
  </r>
  <r>
    <s v="T0283"/>
    <x v="123"/>
    <x v="1"/>
    <s v="FORN018"/>
    <s v="Link Direct"/>
    <s v="PROD064"/>
    <x v="48"/>
    <n v="39"/>
    <n v="14"/>
    <n v="546"/>
    <x v="2"/>
    <x v="1"/>
    <d v="2025-05-21T00:00:00"/>
  </r>
  <r>
    <s v="T0284"/>
    <x v="124"/>
    <x v="1"/>
    <s v="FORN005"/>
    <s v="CloudNexus Data"/>
    <s v="PROD165"/>
    <x v="162"/>
    <n v="106"/>
    <n v="18"/>
    <n v="1908"/>
    <x v="0"/>
    <x v="2"/>
    <d v="2025-05-21T00:00:00"/>
  </r>
  <r>
    <s v="T0285"/>
    <x v="125"/>
    <x v="0"/>
    <s v="CLI018"/>
    <s v="Clinica Sorriso"/>
    <s v="PROD115"/>
    <x v="93"/>
    <n v="59"/>
    <n v="980"/>
    <n v="57820"/>
    <x v="1"/>
    <x v="1"/>
    <s v="N/A"/>
  </r>
  <r>
    <s v="T0286"/>
    <x v="125"/>
    <x v="1"/>
    <s v="FORN010"/>
    <s v="DataCenter Pro"/>
    <s v="PROD093"/>
    <x v="103"/>
    <n v="31"/>
    <n v="1200"/>
    <n v="37200"/>
    <x v="1"/>
    <x v="2"/>
    <d v="2025-05-23T00:00:00"/>
  </r>
  <r>
    <s v="T0287"/>
    <x v="126"/>
    <x v="0"/>
    <s v="CLI004"/>
    <s v="Escola Saber"/>
    <s v="PROD184"/>
    <x v="119"/>
    <n v="14"/>
    <n v="45"/>
    <n v="630"/>
    <x v="2"/>
    <x v="0"/>
    <s v="N/A"/>
  </r>
  <r>
    <s v="T0288"/>
    <x v="126"/>
    <x v="0"/>
    <s v="CLI020"/>
    <s v="Oficina Mecanica"/>
    <s v="PROD181"/>
    <x v="99"/>
    <n v="16"/>
    <n v="6500"/>
    <n v="104000"/>
    <x v="2"/>
    <x v="2"/>
    <s v="N/A"/>
  </r>
  <r>
    <s v="T0289"/>
    <x v="126"/>
    <x v="1"/>
    <s v="FORN016"/>
    <s v="Steel Case"/>
    <s v="PROD101"/>
    <x v="163"/>
    <n v="42"/>
    <n v="2200"/>
    <n v="92400"/>
    <x v="1"/>
    <x v="0"/>
    <d v="2025-06-03T00:00:00"/>
  </r>
  <r>
    <s v="T0290"/>
    <x v="126"/>
    <x v="1"/>
    <s v="FORN019"/>
    <s v="Mega Storage"/>
    <s v="PROD042"/>
    <x v="5"/>
    <n v="86"/>
    <n v="890"/>
    <n v="76540"/>
    <x v="1"/>
    <x v="1"/>
    <d v="2025-05-30T00:00:00"/>
  </r>
  <r>
    <s v="T0291"/>
    <x v="127"/>
    <x v="0"/>
    <s v="CLI011"/>
    <s v="Academia Fit"/>
    <s v="PROD064"/>
    <x v="48"/>
    <n v="136"/>
    <n v="14"/>
    <n v="1904"/>
    <x v="0"/>
    <x v="0"/>
    <s v="N/A"/>
  </r>
  <r>
    <s v="T0292"/>
    <x v="127"/>
    <x v="0"/>
    <s v="CLI009"/>
    <s v="Farma Plus"/>
    <s v="PROD075"/>
    <x v="158"/>
    <n v="94"/>
    <n v="38"/>
    <n v="3572"/>
    <x v="0"/>
    <x v="1"/>
    <s v="N/A"/>
  </r>
  <r>
    <s v="T0293"/>
    <x v="127"/>
    <x v="0"/>
    <s v="CLI015"/>
    <s v="Pet Shop Amigo"/>
    <s v="PROD047"/>
    <x v="30"/>
    <n v="12"/>
    <n v="420"/>
    <n v="5040"/>
    <x v="2"/>
    <x v="1"/>
    <s v="N/A"/>
  </r>
  <r>
    <s v="T0294"/>
    <x v="128"/>
    <x v="0"/>
    <s v="CLI018"/>
    <s v="Clinica Sorriso"/>
    <s v="PROD175"/>
    <x v="23"/>
    <n v="10"/>
    <n v="110"/>
    <n v="1100"/>
    <x v="1"/>
    <x v="2"/>
    <s v="N/A"/>
  </r>
  <r>
    <s v="T0295"/>
    <x v="129"/>
    <x v="1"/>
    <s v="FORN010"/>
    <s v="DataCenter Pro"/>
    <s v="PROD026"/>
    <x v="71"/>
    <n v="78"/>
    <n v="85"/>
    <n v="6630"/>
    <x v="0"/>
    <x v="2"/>
    <d v="2025-05-27T00:00:00"/>
  </r>
  <r>
    <s v="T0296"/>
    <x v="129"/>
    <x v="1"/>
    <s v="FORN020"/>
    <s v="AI Systems"/>
    <s v="PROD166"/>
    <x v="82"/>
    <n v="31"/>
    <n v="12"/>
    <n v="372"/>
    <x v="0"/>
    <x v="0"/>
    <d v="2025-05-26T00:00:00"/>
  </r>
  <r>
    <s v="T0297"/>
    <x v="130"/>
    <x v="0"/>
    <s v="CLI001"/>
    <s v="Industrias Alpha"/>
    <s v="PROD177"/>
    <x v="67"/>
    <n v="9"/>
    <n v="280"/>
    <n v="2520"/>
    <x v="0"/>
    <x v="2"/>
    <s v="N/A"/>
  </r>
  <r>
    <s v="T0298"/>
    <x v="130"/>
    <x v="0"/>
    <s v="CLI002"/>
    <s v="Varejo Total"/>
    <s v="PROD070"/>
    <x v="32"/>
    <n v="18"/>
    <n v="7.5"/>
    <n v="135"/>
    <x v="2"/>
    <x v="1"/>
    <s v="N/A"/>
  </r>
  <r>
    <s v="T0299"/>
    <x v="131"/>
    <x v="0"/>
    <s v="CLI013"/>
    <s v="Advocacia Associada"/>
    <s v="PROD134"/>
    <x v="122"/>
    <n v="16"/>
    <n v="155"/>
    <n v="2480"/>
    <x v="1"/>
    <x v="2"/>
    <s v="N/A"/>
  </r>
  <r>
    <s v="T0300"/>
    <x v="131"/>
    <x v="1"/>
    <s v="FORN018"/>
    <s v="Link Direct"/>
    <s v="PROD183"/>
    <x v="145"/>
    <n v="29"/>
    <n v="1200"/>
    <n v="34800"/>
    <x v="2"/>
    <x v="1"/>
    <d v="2025-05-30T00:00:00"/>
  </r>
  <r>
    <s v="T0301"/>
    <x v="131"/>
    <x v="0"/>
    <s v="CLI014"/>
    <s v="Moda Fashion"/>
    <s v="PROD010"/>
    <x v="4"/>
    <n v="17"/>
    <n v="320"/>
    <n v="5440"/>
    <x v="1"/>
    <x v="0"/>
    <s v="N/A"/>
  </r>
  <r>
    <s v="T0302"/>
    <x v="131"/>
    <x v="1"/>
    <s v="FORN011"/>
    <s v="Energy Solution"/>
    <s v="PROD084"/>
    <x v="164"/>
    <n v="69"/>
    <n v="950"/>
    <n v="65550"/>
    <x v="1"/>
    <x v="0"/>
    <d v="2025-06-01T00:00:00"/>
  </r>
  <r>
    <s v="T0303"/>
    <x v="132"/>
    <x v="0"/>
    <s v="CLI008"/>
    <s v="Supermercado Sol"/>
    <s v="PROD149"/>
    <x v="107"/>
    <n v="53"/>
    <n v="145"/>
    <n v="7685"/>
    <x v="0"/>
    <x v="2"/>
    <s v="N/A"/>
  </r>
  <r>
    <s v="T0304"/>
    <x v="132"/>
    <x v="1"/>
    <s v="FORN011"/>
    <s v="Energy Solution"/>
    <s v="PROD070"/>
    <x v="32"/>
    <n v="171"/>
    <n v="7.5"/>
    <n v="1282.5"/>
    <x v="0"/>
    <x v="0"/>
    <d v="2025-06-02T00:00:00"/>
  </r>
  <r>
    <s v="T0305"/>
    <x v="132"/>
    <x v="1"/>
    <s v="FORN017"/>
    <s v="BitSafe"/>
    <s v="PROD137"/>
    <x v="68"/>
    <n v="91"/>
    <n v="450"/>
    <n v="40950"/>
    <x v="2"/>
    <x v="0"/>
    <d v="2025-06-01T00:00:00"/>
  </r>
  <r>
    <s v="T0306"/>
    <x v="133"/>
    <x v="1"/>
    <s v="FORN013"/>
    <s v="Network Master"/>
    <s v="PROD126"/>
    <x v="146"/>
    <n v="22"/>
    <n v="280"/>
    <n v="6160"/>
    <x v="0"/>
    <x v="0"/>
    <d v="2025-06-05T00:00:00"/>
  </r>
  <r>
    <s v="T0307"/>
    <x v="133"/>
    <x v="1"/>
    <s v="FORN018"/>
    <s v="Link Direct"/>
    <s v="PROD077"/>
    <x v="37"/>
    <n v="22"/>
    <n v="28"/>
    <n v="616"/>
    <x v="1"/>
    <x v="0"/>
    <d v="2025-06-01T00:00:00"/>
  </r>
  <r>
    <s v="T0308"/>
    <x v="133"/>
    <x v="1"/>
    <s v="FORN017"/>
    <s v="BitSafe"/>
    <s v="PROD029"/>
    <x v="133"/>
    <n v="65"/>
    <n v="320"/>
    <n v="20800"/>
    <x v="1"/>
    <x v="1"/>
    <d v="2025-06-02T00:00:00"/>
  </r>
  <r>
    <s v="T0309"/>
    <x v="133"/>
    <x v="1"/>
    <s v="FORN006"/>
    <s v="Papelaria Central"/>
    <s v="PROD123"/>
    <x v="165"/>
    <n v="93"/>
    <n v="950"/>
    <n v="88350"/>
    <x v="1"/>
    <x v="2"/>
    <d v="2025-06-01T00:00:00"/>
  </r>
  <r>
    <s v="T0310"/>
    <x v="134"/>
    <x v="0"/>
    <s v="CLI016"/>
    <s v="Auto Pecas Jato"/>
    <s v="PROD186"/>
    <x v="126"/>
    <n v="47"/>
    <n v="6800"/>
    <n v="319600"/>
    <x v="0"/>
    <x v="2"/>
    <s v="N/A"/>
  </r>
  <r>
    <s v="T0311"/>
    <x v="134"/>
    <x v="0"/>
    <s v="CLI003"/>
    <s v="Hospital Vida"/>
    <s v="PROD130"/>
    <x v="149"/>
    <n v="21"/>
    <n v="380"/>
    <n v="7980"/>
    <x v="2"/>
    <x v="1"/>
    <s v="N/A"/>
  </r>
  <r>
    <s v="T0312"/>
    <x v="135"/>
    <x v="0"/>
    <s v="CLI018"/>
    <s v="Clinica Sorriso"/>
    <s v="PROD045"/>
    <x v="154"/>
    <n v="25"/>
    <n v="280"/>
    <n v="7000"/>
    <x v="2"/>
    <x v="0"/>
    <s v="N/A"/>
  </r>
  <r>
    <s v="T0313"/>
    <x v="135"/>
    <x v="0"/>
    <s v="CLI013"/>
    <s v="Advocacia Associada"/>
    <s v="PROD045"/>
    <x v="154"/>
    <n v="14"/>
    <n v="280"/>
    <n v="3920"/>
    <x v="1"/>
    <x v="2"/>
    <s v="N/A"/>
  </r>
  <r>
    <s v="T0314"/>
    <x v="135"/>
    <x v="1"/>
    <s v="FORN008"/>
    <s v="Global Chips"/>
    <s v="PROD182"/>
    <x v="102"/>
    <n v="34"/>
    <n v="1850"/>
    <n v="62900"/>
    <x v="2"/>
    <x v="2"/>
    <d v="2025-06-16T00:00:00"/>
  </r>
  <r>
    <s v="T0315"/>
    <x v="135"/>
    <x v="0"/>
    <s v="CLI020"/>
    <s v="Oficina Mecanica"/>
    <s v="PROD035"/>
    <x v="85"/>
    <n v="11"/>
    <n v="600"/>
    <n v="6600"/>
    <x v="2"/>
    <x v="0"/>
    <s v="N/A"/>
  </r>
  <r>
    <s v="T0316"/>
    <x v="135"/>
    <x v="1"/>
    <s v="FORN004"/>
    <s v="LogiBrasil Transportes"/>
    <s v="PROD038"/>
    <x v="54"/>
    <n v="20"/>
    <n v="145"/>
    <n v="2900"/>
    <x v="1"/>
    <x v="1"/>
    <d v="2025-06-04T00:00:00"/>
  </r>
  <r>
    <s v="T0317"/>
    <x v="135"/>
    <x v="0"/>
    <s v="CLI015"/>
    <s v="Pet Shop Amigo"/>
    <s v="PROD200"/>
    <x v="130"/>
    <n v="9"/>
    <n v="1200"/>
    <n v="10800"/>
    <x v="1"/>
    <x v="2"/>
    <s v="N/A"/>
  </r>
  <r>
    <s v="T0318"/>
    <x v="136"/>
    <x v="0"/>
    <s v="CLI001"/>
    <s v="Industrias Alpha"/>
    <s v="PROD110"/>
    <x v="50"/>
    <n v="64"/>
    <n v="580"/>
    <n v="37120"/>
    <x v="2"/>
    <x v="0"/>
    <s v="N/A"/>
  </r>
  <r>
    <s v="T0319"/>
    <x v="137"/>
    <x v="1"/>
    <s v="FORN007"/>
    <s v="CyberSecurity SA"/>
    <s v="PROD039"/>
    <x v="166"/>
    <n v="40"/>
    <n v="40"/>
    <n v="1600"/>
    <x v="1"/>
    <x v="2"/>
    <d v="2025-06-12T00:00:00"/>
  </r>
  <r>
    <s v="T0320"/>
    <x v="138"/>
    <x v="0"/>
    <s v="CLI003"/>
    <s v="Hospital Vida"/>
    <s v="PROD165"/>
    <x v="162"/>
    <n v="39"/>
    <n v="18"/>
    <n v="702"/>
    <x v="1"/>
    <x v="1"/>
    <s v="N/A"/>
  </r>
  <r>
    <s v="T0321"/>
    <x v="139"/>
    <x v="0"/>
    <s v="CLI001"/>
    <s v="Industrias Alpha"/>
    <s v="PROD046"/>
    <x v="106"/>
    <n v="180"/>
    <n v="15"/>
    <n v="2700"/>
    <x v="2"/>
    <x v="0"/>
    <s v="N/A"/>
  </r>
  <r>
    <s v="T0322"/>
    <x v="139"/>
    <x v="0"/>
    <s v="CLI003"/>
    <s v="Hospital Vida"/>
    <s v="PROD071"/>
    <x v="120"/>
    <n v="11"/>
    <n v="8.5"/>
    <n v="93.5"/>
    <x v="0"/>
    <x v="1"/>
    <s v="N/A"/>
  </r>
  <r>
    <s v="T0323"/>
    <x v="140"/>
    <x v="0"/>
    <s v="CLI014"/>
    <s v="Moda Fashion"/>
    <s v="PROD146"/>
    <x v="55"/>
    <n v="22"/>
    <n v="85"/>
    <n v="1870"/>
    <x v="0"/>
    <x v="0"/>
    <s v="N/A"/>
  </r>
  <r>
    <s v="T0324"/>
    <x v="140"/>
    <x v="1"/>
    <s v="FORN019"/>
    <s v="Mega Storage"/>
    <s v="PROD078"/>
    <x v="28"/>
    <n v="21"/>
    <n v="15"/>
    <n v="315"/>
    <x v="2"/>
    <x v="1"/>
    <d v="2025-06-18T00:00:00"/>
  </r>
  <r>
    <s v="T0325"/>
    <x v="141"/>
    <x v="0"/>
    <s v="CLI007"/>
    <s v="Tecno Logica"/>
    <s v="PROD115"/>
    <x v="93"/>
    <n v="14"/>
    <n v="980"/>
    <n v="13720"/>
    <x v="0"/>
    <x v="2"/>
    <s v="N/A"/>
  </r>
  <r>
    <s v="T0326"/>
    <x v="141"/>
    <x v="0"/>
    <s v="CLI004"/>
    <s v="Escola Saber"/>
    <s v="PROD011"/>
    <x v="115"/>
    <n v="40"/>
    <n v="280"/>
    <n v="11200"/>
    <x v="1"/>
    <x v="2"/>
    <s v="N/A"/>
  </r>
  <r>
    <s v="T0327"/>
    <x v="142"/>
    <x v="0"/>
    <s v="CLI013"/>
    <s v="Advocacia Associada"/>
    <s v="PROD200"/>
    <x v="130"/>
    <n v="10"/>
    <n v="1200"/>
    <n v="12000"/>
    <x v="0"/>
    <x v="2"/>
    <s v="N/A"/>
  </r>
  <r>
    <s v="T0328"/>
    <x v="142"/>
    <x v="0"/>
    <s v="CLI001"/>
    <s v="Industrias Alpha"/>
    <s v="PROD035"/>
    <x v="85"/>
    <n v="11"/>
    <n v="600"/>
    <n v="6600"/>
    <x v="1"/>
    <x v="0"/>
    <s v="N/A"/>
  </r>
  <r>
    <s v="T0329"/>
    <x v="142"/>
    <x v="1"/>
    <s v="FORN014"/>
    <s v="DevTools Inc"/>
    <s v="PROD033"/>
    <x v="14"/>
    <n v="162"/>
    <n v="65"/>
    <n v="10530"/>
    <x v="1"/>
    <x v="2"/>
    <d v="2025-06-13T00:00:00"/>
  </r>
  <r>
    <s v="T0330"/>
    <x v="143"/>
    <x v="0"/>
    <s v="CLI011"/>
    <s v="Academia Fit"/>
    <s v="PROD033"/>
    <x v="14"/>
    <n v="139"/>
    <n v="65"/>
    <n v="9035"/>
    <x v="0"/>
    <x v="0"/>
    <s v="N/A"/>
  </r>
  <r>
    <s v="T0331"/>
    <x v="143"/>
    <x v="1"/>
    <s v="FORN011"/>
    <s v="Energy Solution"/>
    <s v="PROD071"/>
    <x v="120"/>
    <n v="147"/>
    <n v="8.5"/>
    <n v="1249.5"/>
    <x v="0"/>
    <x v="1"/>
    <d v="2025-06-17T00:00:00"/>
  </r>
  <r>
    <s v="T0332"/>
    <x v="144"/>
    <x v="1"/>
    <s v="FORN019"/>
    <s v="Mega Storage"/>
    <s v="PROD183"/>
    <x v="145"/>
    <n v="89"/>
    <n v="1200"/>
    <n v="106800"/>
    <x v="0"/>
    <x v="1"/>
    <d v="2025-06-22T00:00:00"/>
  </r>
  <r>
    <s v="T0333"/>
    <x v="144"/>
    <x v="0"/>
    <s v="CLI015"/>
    <s v="Pet Shop Amigo"/>
    <s v="PROD193"/>
    <x v="137"/>
    <n v="4"/>
    <n v="450"/>
    <n v="1800"/>
    <x v="1"/>
    <x v="2"/>
    <s v="N/A"/>
  </r>
  <r>
    <s v="T0334"/>
    <x v="144"/>
    <x v="0"/>
    <s v="CLI015"/>
    <s v="Pet Shop Amigo"/>
    <s v="PROD083"/>
    <x v="73"/>
    <n v="85"/>
    <n v="1450"/>
    <n v="123250"/>
    <x v="0"/>
    <x v="1"/>
    <s v="N/A"/>
  </r>
  <r>
    <s v="T0335"/>
    <x v="144"/>
    <x v="0"/>
    <s v="CLI017"/>
    <s v="Restaurante Sabor"/>
    <s v="PROD063"/>
    <x v="116"/>
    <n v="45"/>
    <n v="18"/>
    <n v="810"/>
    <x v="2"/>
    <x v="1"/>
    <s v="N/A"/>
  </r>
  <r>
    <s v="T0336"/>
    <x v="144"/>
    <x v="0"/>
    <s v="CLI009"/>
    <s v="Farma Plus"/>
    <s v="PROD172"/>
    <x v="155"/>
    <n v="20"/>
    <n v="120"/>
    <n v="2400"/>
    <x v="1"/>
    <x v="0"/>
    <s v="N/A"/>
  </r>
  <r>
    <s v="T0337"/>
    <x v="145"/>
    <x v="0"/>
    <s v="CLI014"/>
    <s v="Moda Fashion"/>
    <s v="PROD168"/>
    <x v="83"/>
    <n v="31"/>
    <n v="45"/>
    <n v="1395"/>
    <x v="0"/>
    <x v="1"/>
    <s v="N/A"/>
  </r>
  <r>
    <s v="T0338"/>
    <x v="145"/>
    <x v="1"/>
    <s v="FORN008"/>
    <s v="Global Chips"/>
    <s v="PROD050"/>
    <x v="167"/>
    <n v="44"/>
    <n v="230"/>
    <n v="10120"/>
    <x v="2"/>
    <x v="2"/>
    <d v="2025-06-30T00:00:00"/>
  </r>
  <r>
    <s v="T0339"/>
    <x v="145"/>
    <x v="1"/>
    <s v="FORN004"/>
    <s v="LogiBrasil Transportes"/>
    <s v="PROD172"/>
    <x v="155"/>
    <n v="68"/>
    <n v="120"/>
    <n v="8160"/>
    <x v="2"/>
    <x v="2"/>
    <d v="2025-06-18T00:00:00"/>
  </r>
  <r>
    <s v="T0340"/>
    <x v="146"/>
    <x v="1"/>
    <s v="FORN010"/>
    <s v="DataCenter Pro"/>
    <s v="PROD106"/>
    <x v="7"/>
    <n v="17"/>
    <n v="9500"/>
    <n v="161500"/>
    <x v="0"/>
    <x v="2"/>
    <d v="2025-06-18T00:00:00"/>
  </r>
  <r>
    <s v="T0341"/>
    <x v="146"/>
    <x v="0"/>
    <s v="CLI002"/>
    <s v="Varejo Total"/>
    <s v="PROD154"/>
    <x v="81"/>
    <n v="204"/>
    <n v="18"/>
    <n v="3672"/>
    <x v="0"/>
    <x v="0"/>
    <s v="N/A"/>
  </r>
  <r>
    <s v="T0342"/>
    <x v="146"/>
    <x v="1"/>
    <s v="FORN014"/>
    <s v="DevTools Inc"/>
    <s v="PROD135"/>
    <x v="25"/>
    <n v="13"/>
    <n v="120"/>
    <n v="1560"/>
    <x v="2"/>
    <x v="0"/>
    <d v="2025-06-17T00:00:00"/>
  </r>
  <r>
    <s v="T0343"/>
    <x v="147"/>
    <x v="0"/>
    <s v="CLI019"/>
    <s v="Consultoria Meta"/>
    <s v="PROD157"/>
    <x v="21"/>
    <n v="22"/>
    <n v="28"/>
    <n v="616"/>
    <x v="1"/>
    <x v="2"/>
    <s v="N/A"/>
  </r>
  <r>
    <s v="T0344"/>
    <x v="147"/>
    <x v="0"/>
    <s v="CLI006"/>
    <s v="Construtora Forte"/>
    <s v="PROD189"/>
    <x v="17"/>
    <n v="1"/>
    <n v="22000"/>
    <n v="22000"/>
    <x v="0"/>
    <x v="2"/>
    <s v="N/A"/>
  </r>
  <r>
    <s v="T0345"/>
    <x v="147"/>
    <x v="1"/>
    <s v="FORN015"/>
    <s v="Print Smart"/>
    <s v="PROD090"/>
    <x v="31"/>
    <n v="66"/>
    <n v="140"/>
    <n v="9240"/>
    <x v="1"/>
    <x v="1"/>
    <d v="2025-06-22T00:00:00"/>
  </r>
  <r>
    <s v="T0346"/>
    <x v="147"/>
    <x v="1"/>
    <s v="FORN012"/>
    <s v="Fast Delivery"/>
    <s v="PROD189"/>
    <x v="17"/>
    <n v="18"/>
    <n v="22000"/>
    <n v="396000"/>
    <x v="2"/>
    <x v="0"/>
    <d v="2025-06-20T00:00:00"/>
  </r>
  <r>
    <s v="T0347"/>
    <x v="148"/>
    <x v="1"/>
    <s v="FORN018"/>
    <s v="Link Direct"/>
    <s v="PROD041"/>
    <x v="168"/>
    <n v="111"/>
    <n v="140"/>
    <n v="15540"/>
    <x v="1"/>
    <x v="2"/>
    <d v="2025-06-23T00:00:00"/>
  </r>
  <r>
    <s v="T0348"/>
    <x v="148"/>
    <x v="1"/>
    <s v="FORN006"/>
    <s v="Papelaria Central"/>
    <s v="PROD044"/>
    <x v="169"/>
    <n v="84"/>
    <n v="95"/>
    <n v="7980"/>
    <x v="2"/>
    <x v="0"/>
    <d v="2025-06-23T00:00:00"/>
  </r>
  <r>
    <s v="T0349"/>
    <x v="148"/>
    <x v="0"/>
    <s v="CLI006"/>
    <s v="Construtora Forte"/>
    <s v="PROD025"/>
    <x v="80"/>
    <n v="81"/>
    <n v="85"/>
    <n v="6885"/>
    <x v="2"/>
    <x v="1"/>
    <s v="N/A"/>
  </r>
  <r>
    <s v="T0350"/>
    <x v="148"/>
    <x v="1"/>
    <s v="FORN001"/>
    <s v="TechFlow Solucoes"/>
    <s v="PROD086"/>
    <x v="96"/>
    <n v="55"/>
    <n v="320"/>
    <n v="17600"/>
    <x v="1"/>
    <x v="0"/>
    <d v="2025-06-26T00:00:00"/>
  </r>
  <r>
    <s v="T0351"/>
    <x v="149"/>
    <x v="1"/>
    <s v="FORN014"/>
    <s v="DevTools Inc"/>
    <s v="PROD056"/>
    <x v="62"/>
    <n v="67"/>
    <n v="25"/>
    <n v="1675"/>
    <x v="0"/>
    <x v="0"/>
    <d v="2025-06-23T00:00:00"/>
  </r>
  <r>
    <s v="T0352"/>
    <x v="149"/>
    <x v="1"/>
    <s v="FORN005"/>
    <s v="CloudNexus Data"/>
    <s v="PROD066"/>
    <x v="170"/>
    <n v="56"/>
    <n v="95"/>
    <n v="5320"/>
    <x v="1"/>
    <x v="1"/>
    <d v="2025-06-23T00:00:00"/>
  </r>
  <r>
    <s v="T0353"/>
    <x v="150"/>
    <x v="0"/>
    <s v="CLI004"/>
    <s v="Escola Saber"/>
    <s v="PROD001"/>
    <x v="1"/>
    <n v="18"/>
    <n v="850"/>
    <n v="15300"/>
    <x v="0"/>
    <x v="1"/>
    <s v="N/A"/>
  </r>
  <r>
    <s v="T0354"/>
    <x v="150"/>
    <x v="0"/>
    <s v="CLI016"/>
    <s v="Auto Pecas Jato"/>
    <s v="PROD177"/>
    <x v="67"/>
    <n v="1"/>
    <n v="280"/>
    <n v="280"/>
    <x v="0"/>
    <x v="2"/>
    <s v="N/A"/>
  </r>
  <r>
    <s v="T0355"/>
    <x v="150"/>
    <x v="0"/>
    <s v="CLI012"/>
    <s v="Padaria Real"/>
    <s v="PROD042"/>
    <x v="5"/>
    <n v="72"/>
    <n v="890"/>
    <n v="64080"/>
    <x v="2"/>
    <x v="2"/>
    <s v="N/A"/>
  </r>
  <r>
    <s v="T0356"/>
    <x v="150"/>
    <x v="1"/>
    <s v="FORN017"/>
    <s v="BitSafe"/>
    <s v="PROD156"/>
    <x v="171"/>
    <n v="50"/>
    <n v="85"/>
    <n v="4250"/>
    <x v="0"/>
    <x v="1"/>
    <d v="2025-06-26T00:00:00"/>
  </r>
  <r>
    <s v="T0357"/>
    <x v="151"/>
    <x v="0"/>
    <s v="CLI001"/>
    <s v="Industrias Alpha"/>
    <s v="PROD017"/>
    <x v="156"/>
    <n v="7"/>
    <n v="130"/>
    <n v="910"/>
    <x v="2"/>
    <x v="1"/>
    <s v="N/A"/>
  </r>
  <r>
    <s v="T0358"/>
    <x v="151"/>
    <x v="1"/>
    <s v="FORN013"/>
    <s v="Network Master"/>
    <s v="PROD198"/>
    <x v="160"/>
    <n v="73"/>
    <n v="55"/>
    <n v="4015"/>
    <x v="2"/>
    <x v="2"/>
    <d v="2025-06-30T00:00:00"/>
  </r>
  <r>
    <s v="T0359"/>
    <x v="152"/>
    <x v="0"/>
    <s v="CLI003"/>
    <s v="Hospital Vida"/>
    <s v="PROD075"/>
    <x v="158"/>
    <n v="1"/>
    <n v="38"/>
    <n v="38"/>
    <x v="2"/>
    <x v="1"/>
    <s v="N/A"/>
  </r>
  <r>
    <s v="T0360"/>
    <x v="152"/>
    <x v="1"/>
    <s v="FORN017"/>
    <s v="BitSafe"/>
    <s v="PROD184"/>
    <x v="119"/>
    <n v="103"/>
    <n v="45"/>
    <n v="4635"/>
    <x v="2"/>
    <x v="0"/>
    <d v="2025-06-28T00:00:00"/>
  </r>
  <r>
    <s v="T0361"/>
    <x v="153"/>
    <x v="0"/>
    <s v="CLI016"/>
    <s v="Auto Pecas Jato"/>
    <s v="PROD117"/>
    <x v="117"/>
    <n v="68"/>
    <n v="95"/>
    <n v="6460"/>
    <x v="0"/>
    <x v="2"/>
    <s v="N/A"/>
  </r>
  <r>
    <s v="T0362"/>
    <x v="153"/>
    <x v="0"/>
    <s v="CLI018"/>
    <s v="Clinica Sorriso"/>
    <s v="PROD054"/>
    <x v="52"/>
    <n v="1"/>
    <n v="8"/>
    <n v="8"/>
    <x v="2"/>
    <x v="0"/>
    <s v="N/A"/>
  </r>
  <r>
    <s v="T0363"/>
    <x v="154"/>
    <x v="0"/>
    <s v="CLI015"/>
    <s v="Pet Shop Amigo"/>
    <s v="PROD080"/>
    <x v="142"/>
    <n v="66"/>
    <n v="110"/>
    <n v="7260"/>
    <x v="0"/>
    <x v="2"/>
    <s v="N/A"/>
  </r>
  <r>
    <s v="T0364"/>
    <x v="154"/>
    <x v="1"/>
    <s v="FORN009"/>
    <s v="Movel Tech"/>
    <s v="PROD178"/>
    <x v="172"/>
    <n v="10"/>
    <n v="850"/>
    <n v="8500"/>
    <x v="2"/>
    <x v="0"/>
    <d v="2025-07-07T00:00:00"/>
  </r>
  <r>
    <s v="T0365"/>
    <x v="155"/>
    <x v="1"/>
    <s v="FORN002"/>
    <s v="SoftPrime Licencas"/>
    <s v="PROD106"/>
    <x v="7"/>
    <n v="20"/>
    <n v="9500"/>
    <n v="190000"/>
    <x v="0"/>
    <x v="0"/>
    <d v="2025-06-29T00:00:00"/>
  </r>
  <r>
    <s v="T0366"/>
    <x v="155"/>
    <x v="0"/>
    <s v="CLI018"/>
    <s v="Clinica Sorriso"/>
    <s v="PROD066"/>
    <x v="170"/>
    <n v="34"/>
    <n v="95"/>
    <n v="3230"/>
    <x v="2"/>
    <x v="2"/>
    <s v="N/A"/>
  </r>
  <r>
    <s v="T0367"/>
    <x v="156"/>
    <x v="0"/>
    <s v="CLI015"/>
    <s v="Pet Shop Amigo"/>
    <s v="PROD074"/>
    <x v="22"/>
    <n v="369"/>
    <n v="3.5"/>
    <n v="1291.5"/>
    <x v="0"/>
    <x v="1"/>
    <s v="N/A"/>
  </r>
  <r>
    <s v="T0368"/>
    <x v="156"/>
    <x v="0"/>
    <s v="CLI015"/>
    <s v="Pet Shop Amigo"/>
    <s v="PROD017"/>
    <x v="156"/>
    <n v="5"/>
    <n v="130"/>
    <n v="650"/>
    <x v="1"/>
    <x v="2"/>
    <s v="N/A"/>
  </r>
  <r>
    <s v="T0369"/>
    <x v="156"/>
    <x v="0"/>
    <s v="CLI018"/>
    <s v="Clinica Sorriso"/>
    <s v="PROD077"/>
    <x v="37"/>
    <n v="87"/>
    <n v="28"/>
    <n v="2436"/>
    <x v="2"/>
    <x v="2"/>
    <s v="N/A"/>
  </r>
  <r>
    <s v="T0370"/>
    <x v="156"/>
    <x v="1"/>
    <s v="FORN018"/>
    <s v="Link Direct"/>
    <s v="PROD196"/>
    <x v="123"/>
    <n v="92"/>
    <n v="95"/>
    <n v="8740"/>
    <x v="2"/>
    <x v="0"/>
    <d v="2025-07-01T00:00:00"/>
  </r>
  <r>
    <s v="T0371"/>
    <x v="157"/>
    <x v="1"/>
    <s v="FORN004"/>
    <s v="LogiBrasil Transportes"/>
    <s v="PROD196"/>
    <x v="123"/>
    <n v="51"/>
    <n v="95"/>
    <n v="4845"/>
    <x v="1"/>
    <x v="0"/>
    <d v="2025-07-04T00:00:00"/>
  </r>
  <r>
    <s v="T0372"/>
    <x v="157"/>
    <x v="1"/>
    <s v="FORN007"/>
    <s v="CyberSecurity SA"/>
    <s v="PROD186"/>
    <x v="126"/>
    <n v="73"/>
    <n v="6800"/>
    <n v="496400"/>
    <x v="2"/>
    <x v="0"/>
    <d v="2025-07-08T00:00:00"/>
  </r>
  <r>
    <s v="T0373"/>
    <x v="158"/>
    <x v="1"/>
    <s v="FORN003"/>
    <s v="Office Express"/>
    <s v="PROD162"/>
    <x v="173"/>
    <n v="120"/>
    <n v="55"/>
    <n v="6600"/>
    <x v="1"/>
    <x v="0"/>
    <d v="2025-07-04T00:00:00"/>
  </r>
  <r>
    <s v="T0374"/>
    <x v="158"/>
    <x v="0"/>
    <s v="CLI019"/>
    <s v="Consultoria Meta"/>
    <s v="PROD007"/>
    <x v="18"/>
    <n v="5"/>
    <n v="1800"/>
    <n v="9000"/>
    <x v="0"/>
    <x v="1"/>
    <s v="N/A"/>
  </r>
  <r>
    <s v="T0375"/>
    <x v="159"/>
    <x v="0"/>
    <s v="CLI015"/>
    <s v="Pet Shop Amigo"/>
    <s v="PROD081"/>
    <x v="108"/>
    <n v="26"/>
    <n v="12500"/>
    <n v="325000"/>
    <x v="1"/>
    <x v="1"/>
    <s v="N/A"/>
  </r>
  <r>
    <s v="T0376"/>
    <x v="160"/>
    <x v="0"/>
    <s v="CLI004"/>
    <s v="Escola Saber"/>
    <s v="PROD016"/>
    <x v="151"/>
    <n v="35"/>
    <n v="55"/>
    <n v="1925"/>
    <x v="2"/>
    <x v="0"/>
    <s v="N/A"/>
  </r>
  <r>
    <s v="T0377"/>
    <x v="160"/>
    <x v="1"/>
    <s v="FORN017"/>
    <s v="BitSafe"/>
    <s v="PROD132"/>
    <x v="174"/>
    <n v="41"/>
    <n v="45"/>
    <n v="1845"/>
    <x v="0"/>
    <x v="0"/>
    <d v="2025-07-07T00:00:00"/>
  </r>
  <r>
    <s v="T0378"/>
    <x v="160"/>
    <x v="1"/>
    <s v="FORN003"/>
    <s v="Office Express"/>
    <s v="PROD182"/>
    <x v="102"/>
    <n v="80"/>
    <n v="1850"/>
    <n v="148000"/>
    <x v="0"/>
    <x v="0"/>
    <d v="2025-07-06T00:00:00"/>
  </r>
  <r>
    <s v="T0379"/>
    <x v="161"/>
    <x v="1"/>
    <s v="FORN019"/>
    <s v="Mega Storage"/>
    <s v="PROD128"/>
    <x v="24"/>
    <n v="134"/>
    <n v="18"/>
    <n v="2412"/>
    <x v="0"/>
    <x v="1"/>
    <d v="2025-07-13T00:00:00"/>
  </r>
  <r>
    <s v="T0380"/>
    <x v="161"/>
    <x v="1"/>
    <s v="FORN017"/>
    <s v="BitSafe"/>
    <s v="PROD089"/>
    <x v="110"/>
    <n v="81"/>
    <n v="850"/>
    <n v="68850"/>
    <x v="2"/>
    <x v="2"/>
    <d v="2025-07-08T00:00:00"/>
  </r>
  <r>
    <s v="T0381"/>
    <x v="162"/>
    <x v="1"/>
    <s v="FORN010"/>
    <s v="DataCenter Pro"/>
    <s v="PROD150"/>
    <x v="26"/>
    <n v="1"/>
    <n v="55"/>
    <n v="55"/>
    <x v="0"/>
    <x v="1"/>
    <d v="2025-07-09T00:00:00"/>
  </r>
  <r>
    <s v="T0382"/>
    <x v="163"/>
    <x v="1"/>
    <s v="FORN017"/>
    <s v="BitSafe"/>
    <s v="PROD028"/>
    <x v="175"/>
    <n v="77"/>
    <n v="25"/>
    <n v="1925"/>
    <x v="2"/>
    <x v="2"/>
    <d v="2025-07-11T00:00:00"/>
  </r>
  <r>
    <s v="T0383"/>
    <x v="164"/>
    <x v="1"/>
    <s v="FORN010"/>
    <s v="DataCenter Pro"/>
    <s v="PROD151"/>
    <x v="135"/>
    <n v="61"/>
    <n v="45"/>
    <n v="2745"/>
    <x v="0"/>
    <x v="0"/>
    <d v="2025-07-11T00:00:00"/>
  </r>
  <r>
    <s v="T0384"/>
    <x v="164"/>
    <x v="1"/>
    <s v="FORN003"/>
    <s v="Office Express"/>
    <s v="PROD049"/>
    <x v="176"/>
    <n v="89"/>
    <n v="1550"/>
    <n v="137950"/>
    <x v="0"/>
    <x v="2"/>
    <d v="2025-07-11T00:00:00"/>
  </r>
  <r>
    <s v="T0385"/>
    <x v="164"/>
    <x v="0"/>
    <s v="CLI004"/>
    <s v="Escola Saber"/>
    <s v="PROD195"/>
    <x v="20"/>
    <n v="100"/>
    <n v="120"/>
    <n v="12000"/>
    <x v="1"/>
    <x v="1"/>
    <s v="N/A"/>
  </r>
  <r>
    <s v="T0386"/>
    <x v="164"/>
    <x v="1"/>
    <s v="FORN016"/>
    <s v="Steel Case"/>
    <s v="PROD075"/>
    <x v="158"/>
    <n v="25"/>
    <n v="38"/>
    <n v="950"/>
    <x v="0"/>
    <x v="0"/>
    <d v="2025-07-21T00:00:00"/>
  </r>
  <r>
    <s v="T0387"/>
    <x v="165"/>
    <x v="0"/>
    <s v="CLI014"/>
    <s v="Moda Fashion"/>
    <s v="PROD008"/>
    <x v="38"/>
    <n v="26"/>
    <n v="250"/>
    <n v="6500"/>
    <x v="1"/>
    <x v="2"/>
    <s v="N/A"/>
  </r>
  <r>
    <s v="T0388"/>
    <x v="166"/>
    <x v="0"/>
    <s v="CLI008"/>
    <s v="Supermercado Sol"/>
    <s v="PROD126"/>
    <x v="146"/>
    <n v="16"/>
    <n v="280"/>
    <n v="4480"/>
    <x v="1"/>
    <x v="2"/>
    <s v="N/A"/>
  </r>
  <r>
    <s v="T0389"/>
    <x v="166"/>
    <x v="0"/>
    <s v="CLI016"/>
    <s v="Auto Pecas Jato"/>
    <s v="PROD040"/>
    <x v="69"/>
    <n v="13"/>
    <n v="5"/>
    <n v="65"/>
    <x v="2"/>
    <x v="2"/>
    <s v="N/A"/>
  </r>
  <r>
    <s v="T0390"/>
    <x v="167"/>
    <x v="0"/>
    <s v="CLI019"/>
    <s v="Consultoria Meta"/>
    <s v="PROD024"/>
    <x v="104"/>
    <n v="134"/>
    <n v="2400"/>
    <n v="321600"/>
    <x v="0"/>
    <x v="0"/>
    <s v="N/A"/>
  </r>
  <r>
    <s v="T0391"/>
    <x v="167"/>
    <x v="1"/>
    <s v="FORN003"/>
    <s v="Office Express"/>
    <s v="PROD148"/>
    <x v="153"/>
    <n v="16"/>
    <n v="35"/>
    <n v="560"/>
    <x v="2"/>
    <x v="0"/>
    <d v="2025-07-15T00:00:00"/>
  </r>
  <r>
    <s v="T0392"/>
    <x v="167"/>
    <x v="1"/>
    <s v="FORN009"/>
    <s v="Movel Tech"/>
    <s v="PROD176"/>
    <x v="76"/>
    <n v="95"/>
    <n v="35"/>
    <n v="3325"/>
    <x v="0"/>
    <x v="0"/>
    <d v="2025-07-23T00:00:00"/>
  </r>
  <r>
    <s v="T0393"/>
    <x v="167"/>
    <x v="0"/>
    <s v="CLI016"/>
    <s v="Auto Pecas Jato"/>
    <s v="PROD017"/>
    <x v="156"/>
    <n v="2"/>
    <n v="130"/>
    <n v="260"/>
    <x v="2"/>
    <x v="0"/>
    <s v="N/A"/>
  </r>
  <r>
    <s v="T0394"/>
    <x v="168"/>
    <x v="1"/>
    <s v="FORN012"/>
    <s v="Fast Delivery"/>
    <s v="PROD075"/>
    <x v="158"/>
    <n v="42"/>
    <n v="38"/>
    <n v="1596"/>
    <x v="0"/>
    <x v="2"/>
    <d v="2025-07-15T00:00:00"/>
  </r>
  <r>
    <s v="T0395"/>
    <x v="168"/>
    <x v="1"/>
    <s v="FORN001"/>
    <s v="TechFlow Solucoes"/>
    <s v="PROD105"/>
    <x v="177"/>
    <n v="67"/>
    <n v="2600"/>
    <n v="174200"/>
    <x v="2"/>
    <x v="0"/>
    <d v="2025-07-19T00:00:00"/>
  </r>
  <r>
    <s v="T0396"/>
    <x v="169"/>
    <x v="0"/>
    <s v="CLI003"/>
    <s v="Hospital Vida"/>
    <s v="PROD129"/>
    <x v="144"/>
    <n v="9"/>
    <n v="650"/>
    <n v="5850"/>
    <x v="1"/>
    <x v="2"/>
    <s v="N/A"/>
  </r>
  <r>
    <s v="T0397"/>
    <x v="169"/>
    <x v="0"/>
    <s v="CLI006"/>
    <s v="Construtora Forte"/>
    <s v="PROD052"/>
    <x v="35"/>
    <n v="321"/>
    <n v="6.5"/>
    <n v="2086.5"/>
    <x v="2"/>
    <x v="2"/>
    <s v="N/A"/>
  </r>
  <r>
    <s v="T0398"/>
    <x v="169"/>
    <x v="0"/>
    <s v="CLI012"/>
    <s v="Padaria Real"/>
    <s v="PROD030"/>
    <x v="138"/>
    <n v="46"/>
    <n v="250"/>
    <n v="11500"/>
    <x v="1"/>
    <x v="2"/>
    <s v="N/A"/>
  </r>
  <r>
    <s v="T0399"/>
    <x v="169"/>
    <x v="0"/>
    <s v="CLI013"/>
    <s v="Advocacia Associada"/>
    <s v="PROD064"/>
    <x v="48"/>
    <n v="2"/>
    <n v="14"/>
    <n v="28"/>
    <x v="0"/>
    <x v="2"/>
    <s v="N/A"/>
  </r>
  <r>
    <s v="T0400"/>
    <x v="169"/>
    <x v="1"/>
    <s v="FORN006"/>
    <s v="Papelaria Central"/>
    <s v="PROD164"/>
    <x v="178"/>
    <n v="15"/>
    <n v="65"/>
    <n v="975"/>
    <x v="0"/>
    <x v="1"/>
    <d v="2025-07-17T00:00:00"/>
  </r>
  <r>
    <s v="T0401"/>
    <x v="169"/>
    <x v="1"/>
    <s v="FORN006"/>
    <s v="Papelaria Central"/>
    <s v="PROD073"/>
    <x v="118"/>
    <n v="98"/>
    <n v="2.5"/>
    <n v="245"/>
    <x v="1"/>
    <x v="1"/>
    <d v="2025-07-17T00:00:00"/>
  </r>
  <r>
    <s v="T0402"/>
    <x v="170"/>
    <x v="1"/>
    <s v="FORN005"/>
    <s v="CloudNexus Data"/>
    <s v="PROD159"/>
    <x v="179"/>
    <n v="131"/>
    <n v="12"/>
    <n v="1572"/>
    <x v="0"/>
    <x v="2"/>
    <d v="2025-07-17T00:00:00"/>
  </r>
  <r>
    <s v="T0403"/>
    <x v="171"/>
    <x v="0"/>
    <s v="CLI012"/>
    <s v="Padaria Real"/>
    <s v="PROD090"/>
    <x v="31"/>
    <n v="67"/>
    <n v="140"/>
    <n v="9380"/>
    <x v="1"/>
    <x v="1"/>
    <s v="N/A"/>
  </r>
  <r>
    <s v="T0404"/>
    <x v="171"/>
    <x v="0"/>
    <s v="CLI016"/>
    <s v="Auto Pecas Jato"/>
    <s v="PROD047"/>
    <x v="30"/>
    <n v="5"/>
    <n v="420"/>
    <n v="2100"/>
    <x v="2"/>
    <x v="0"/>
    <s v="N/A"/>
  </r>
  <r>
    <s v="T0405"/>
    <x v="172"/>
    <x v="0"/>
    <s v="CLI014"/>
    <s v="Moda Fashion"/>
    <s v="PROD022"/>
    <x v="12"/>
    <n v="1"/>
    <n v="980"/>
    <n v="980"/>
    <x v="1"/>
    <x v="1"/>
    <s v="N/A"/>
  </r>
  <r>
    <s v="T0406"/>
    <x v="172"/>
    <x v="0"/>
    <s v="CLI019"/>
    <s v="Consultoria Meta"/>
    <s v="PROD086"/>
    <x v="96"/>
    <n v="10"/>
    <n v="320"/>
    <n v="3200"/>
    <x v="0"/>
    <x v="0"/>
    <s v="N/A"/>
  </r>
  <r>
    <s v="T0407"/>
    <x v="173"/>
    <x v="0"/>
    <s v="CLI003"/>
    <s v="Hospital Vida"/>
    <s v="PROD005"/>
    <x v="2"/>
    <n v="2"/>
    <n v="3500"/>
    <n v="7000"/>
    <x v="1"/>
    <x v="0"/>
    <s v="N/A"/>
  </r>
  <r>
    <s v="T0408"/>
    <x v="173"/>
    <x v="0"/>
    <s v="CLI020"/>
    <s v="Oficina Mecanica"/>
    <s v="PROD012"/>
    <x v="8"/>
    <n v="7"/>
    <n v="450"/>
    <n v="3150"/>
    <x v="2"/>
    <x v="2"/>
    <s v="N/A"/>
  </r>
  <r>
    <s v="T0409"/>
    <x v="174"/>
    <x v="1"/>
    <s v="FORN001"/>
    <s v="TechFlow Solucoes"/>
    <s v="PROD123"/>
    <x v="165"/>
    <n v="63"/>
    <n v="950"/>
    <n v="59850"/>
    <x v="1"/>
    <x v="2"/>
    <d v="2025-07-26T00:00:00"/>
  </r>
  <r>
    <s v="T0410"/>
    <x v="174"/>
    <x v="1"/>
    <s v="FORN006"/>
    <s v="Papelaria Central"/>
    <s v="PROD016"/>
    <x v="151"/>
    <n v="26"/>
    <n v="55"/>
    <n v="1430"/>
    <x v="2"/>
    <x v="0"/>
    <d v="2025-07-23T00:00:00"/>
  </r>
  <r>
    <s v="T0411"/>
    <x v="175"/>
    <x v="0"/>
    <s v="CLI019"/>
    <s v="Consultoria Meta"/>
    <s v="PROD011"/>
    <x v="115"/>
    <n v="18"/>
    <n v="280"/>
    <n v="5040"/>
    <x v="1"/>
    <x v="0"/>
    <s v="N/A"/>
  </r>
  <r>
    <s v="T0412"/>
    <x v="176"/>
    <x v="0"/>
    <s v="CLI014"/>
    <s v="Moda Fashion"/>
    <s v="PROD018"/>
    <x v="19"/>
    <n v="85"/>
    <n v="380"/>
    <n v="32300"/>
    <x v="2"/>
    <x v="1"/>
    <s v="N/A"/>
  </r>
  <r>
    <s v="T0413"/>
    <x v="176"/>
    <x v="1"/>
    <s v="FORN017"/>
    <s v="BitSafe"/>
    <s v="PROD082"/>
    <x v="129"/>
    <n v="50"/>
    <n v="1800"/>
    <n v="90000"/>
    <x v="2"/>
    <x v="1"/>
    <d v="2025-07-27T00:00:00"/>
  </r>
  <r>
    <s v="T0414"/>
    <x v="176"/>
    <x v="0"/>
    <s v="CLI008"/>
    <s v="Supermercado Sol"/>
    <s v="PROD099"/>
    <x v="139"/>
    <n v="21"/>
    <n v="750"/>
    <n v="15750"/>
    <x v="2"/>
    <x v="2"/>
    <s v="N/A"/>
  </r>
  <r>
    <s v="T0415"/>
    <x v="177"/>
    <x v="1"/>
    <s v="FORN004"/>
    <s v="LogiBrasil Transportes"/>
    <s v="PROD035"/>
    <x v="85"/>
    <n v="46"/>
    <n v="600"/>
    <n v="27600"/>
    <x v="0"/>
    <x v="0"/>
    <d v="2025-07-28T00:00:00"/>
  </r>
  <r>
    <s v="T0416"/>
    <x v="177"/>
    <x v="0"/>
    <s v="CLI009"/>
    <s v="Farma Plus"/>
    <s v="PROD174"/>
    <x v="45"/>
    <n v="158"/>
    <n v="65"/>
    <n v="10270"/>
    <x v="0"/>
    <x v="2"/>
    <s v="N/A"/>
  </r>
  <r>
    <s v="T0417"/>
    <x v="177"/>
    <x v="0"/>
    <s v="CLI006"/>
    <s v="Construtora Forte"/>
    <s v="PROD168"/>
    <x v="83"/>
    <n v="19"/>
    <n v="45"/>
    <n v="855"/>
    <x v="0"/>
    <x v="1"/>
    <s v="N/A"/>
  </r>
  <r>
    <s v="T0418"/>
    <x v="178"/>
    <x v="0"/>
    <s v="CLI020"/>
    <s v="Oficina Mecanica"/>
    <s v="PROD069"/>
    <x v="124"/>
    <n v="10"/>
    <n v="15"/>
    <n v="150"/>
    <x v="1"/>
    <x v="1"/>
    <s v="N/A"/>
  </r>
  <r>
    <s v="T0419"/>
    <x v="179"/>
    <x v="0"/>
    <s v="CLI020"/>
    <s v="Oficina Mecanica"/>
    <s v="PROD197"/>
    <x v="114"/>
    <n v="14"/>
    <n v="280"/>
    <n v="3920"/>
    <x v="0"/>
    <x v="1"/>
    <s v="N/A"/>
  </r>
  <r>
    <s v="T0420"/>
    <x v="179"/>
    <x v="1"/>
    <s v="FORN017"/>
    <s v="BitSafe"/>
    <s v="PROD060"/>
    <x v="132"/>
    <n v="79"/>
    <n v="5"/>
    <n v="395"/>
    <x v="1"/>
    <x v="0"/>
    <d v="2025-07-30T00:00:00"/>
  </r>
  <r>
    <s v="T0421"/>
    <x v="179"/>
    <x v="1"/>
    <s v="FORN004"/>
    <s v="LogiBrasil Transportes"/>
    <s v="PROD049"/>
    <x v="176"/>
    <n v="36"/>
    <n v="1550"/>
    <n v="55800"/>
    <x v="2"/>
    <x v="1"/>
    <d v="2025-07-30T00:00:00"/>
  </r>
  <r>
    <s v="T0422"/>
    <x v="179"/>
    <x v="1"/>
    <s v="FORN002"/>
    <s v="SoftPrime Licencas"/>
    <s v="PROD157"/>
    <x v="21"/>
    <n v="84"/>
    <n v="28"/>
    <n v="2352"/>
    <x v="2"/>
    <x v="1"/>
    <d v="2025-07-28T00:00:00"/>
  </r>
  <r>
    <s v="T0423"/>
    <x v="180"/>
    <x v="0"/>
    <s v="CLI019"/>
    <s v="Consultoria Meta"/>
    <s v="PROD158"/>
    <x v="121"/>
    <n v="64"/>
    <n v="7"/>
    <n v="448"/>
    <x v="0"/>
    <x v="2"/>
    <s v="N/A"/>
  </r>
  <r>
    <s v="T0424"/>
    <x v="180"/>
    <x v="1"/>
    <s v="FORN020"/>
    <s v="AI Systems"/>
    <s v="PROD009"/>
    <x v="16"/>
    <n v="154"/>
    <n v="45"/>
    <n v="6930"/>
    <x v="0"/>
    <x v="1"/>
    <d v="2025-07-29T00:00:00"/>
  </r>
  <r>
    <s v="T0425"/>
    <x v="181"/>
    <x v="0"/>
    <s v="CLI007"/>
    <s v="Tecno Logica"/>
    <s v="PROD081"/>
    <x v="108"/>
    <n v="16"/>
    <n v="12500"/>
    <n v="200000"/>
    <x v="1"/>
    <x v="1"/>
    <s v="N/A"/>
  </r>
  <r>
    <s v="T0426"/>
    <x v="182"/>
    <x v="0"/>
    <s v="CLI018"/>
    <s v="Clinica Sorriso"/>
    <s v="PROD103"/>
    <x v="51"/>
    <n v="38"/>
    <n v="240"/>
    <n v="9120"/>
    <x v="1"/>
    <x v="0"/>
    <s v="N/A"/>
  </r>
  <r>
    <s v="T0427"/>
    <x v="182"/>
    <x v="1"/>
    <s v="FORN004"/>
    <s v="LogiBrasil Transportes"/>
    <s v="PROD088"/>
    <x v="180"/>
    <n v="90"/>
    <n v="65"/>
    <n v="5850"/>
    <x v="1"/>
    <x v="2"/>
    <d v="2025-08-02T00:00:00"/>
  </r>
  <r>
    <s v="T0428"/>
    <x v="183"/>
    <x v="0"/>
    <s v="CLI019"/>
    <s v="Consultoria Meta"/>
    <s v="PROD003"/>
    <x v="3"/>
    <n v="16"/>
    <n v="120"/>
    <n v="1920"/>
    <x v="1"/>
    <x v="1"/>
    <s v="N/A"/>
  </r>
  <r>
    <s v="T0429"/>
    <x v="183"/>
    <x v="1"/>
    <s v="FORN016"/>
    <s v="Steel Case"/>
    <s v="PROD149"/>
    <x v="107"/>
    <n v="105"/>
    <n v="145"/>
    <n v="15225"/>
    <x v="1"/>
    <x v="2"/>
    <d v="2025-08-12T00:00:00"/>
  </r>
  <r>
    <s v="T0430"/>
    <x v="184"/>
    <x v="0"/>
    <s v="CLI002"/>
    <s v="Varejo Total"/>
    <s v="PROD103"/>
    <x v="51"/>
    <n v="57"/>
    <n v="240"/>
    <n v="13680"/>
    <x v="1"/>
    <x v="0"/>
    <s v="N/A"/>
  </r>
  <r>
    <s v="T0431"/>
    <x v="184"/>
    <x v="0"/>
    <s v="CLI018"/>
    <s v="Clinica Sorriso"/>
    <s v="PROD188"/>
    <x v="86"/>
    <n v="8"/>
    <n v="1550"/>
    <n v="12400"/>
    <x v="0"/>
    <x v="2"/>
    <s v="N/A"/>
  </r>
  <r>
    <s v="T0432"/>
    <x v="184"/>
    <x v="0"/>
    <s v="CLI012"/>
    <s v="Padaria Real"/>
    <s v="PROD106"/>
    <x v="7"/>
    <n v="32"/>
    <n v="9500"/>
    <n v="304000"/>
    <x v="0"/>
    <x v="0"/>
    <s v="N/A"/>
  </r>
  <r>
    <s v="T0433"/>
    <x v="185"/>
    <x v="0"/>
    <s v="CLI016"/>
    <s v="Auto Pecas Jato"/>
    <s v="PROD002"/>
    <x v="10"/>
    <n v="57"/>
    <n v="350"/>
    <n v="19950"/>
    <x v="1"/>
    <x v="1"/>
    <s v="N/A"/>
  </r>
  <r>
    <s v="T0434"/>
    <x v="185"/>
    <x v="0"/>
    <s v="CLI007"/>
    <s v="Tecno Logica"/>
    <s v="PROD151"/>
    <x v="135"/>
    <n v="71"/>
    <n v="45"/>
    <n v="3195"/>
    <x v="1"/>
    <x v="0"/>
    <s v="N/A"/>
  </r>
  <r>
    <s v="T0435"/>
    <x v="186"/>
    <x v="1"/>
    <s v="FORN004"/>
    <s v="LogiBrasil Transportes"/>
    <s v="PROD154"/>
    <x v="81"/>
    <n v="113"/>
    <n v="18"/>
    <n v="2034"/>
    <x v="2"/>
    <x v="1"/>
    <d v="2025-08-08T00:00:00"/>
  </r>
  <r>
    <s v="T0436"/>
    <x v="186"/>
    <x v="1"/>
    <s v="FORN014"/>
    <s v="DevTools Inc"/>
    <s v="PROD140"/>
    <x v="72"/>
    <n v="37"/>
    <n v="45"/>
    <n v="1665"/>
    <x v="0"/>
    <x v="1"/>
    <d v="2025-08-06T00:00:00"/>
  </r>
  <r>
    <s v="T0437"/>
    <x v="186"/>
    <x v="1"/>
    <s v="FORN010"/>
    <s v="DataCenter Pro"/>
    <s v="PROD119"/>
    <x v="181"/>
    <n v="66"/>
    <n v="75"/>
    <n v="4950"/>
    <x v="1"/>
    <x v="2"/>
    <d v="2025-08-07T00:00:00"/>
  </r>
  <r>
    <s v="T0438"/>
    <x v="187"/>
    <x v="1"/>
    <s v="FORN001"/>
    <s v="TechFlow Solucoes"/>
    <s v="PROD122"/>
    <x v="109"/>
    <n v="87"/>
    <n v="180"/>
    <n v="15660"/>
    <x v="0"/>
    <x v="1"/>
    <d v="2025-08-11T00:00:00"/>
  </r>
  <r>
    <s v="T0439"/>
    <x v="188"/>
    <x v="0"/>
    <s v="CLI014"/>
    <s v="Moda Fashion"/>
    <s v="PROD018"/>
    <x v="19"/>
    <n v="4"/>
    <n v="380"/>
    <n v="1520"/>
    <x v="0"/>
    <x v="2"/>
    <s v="N/A"/>
  </r>
  <r>
    <s v="T0440"/>
    <x v="189"/>
    <x v="1"/>
    <s v="FORN014"/>
    <s v="DevTools Inc"/>
    <s v="PROD067"/>
    <x v="182"/>
    <n v="231"/>
    <n v="4.5"/>
    <n v="1039.5"/>
    <x v="2"/>
    <x v="0"/>
    <d v="2025-08-09T00:00:00"/>
  </r>
  <r>
    <s v="T0441"/>
    <x v="189"/>
    <x v="1"/>
    <s v="FORN008"/>
    <s v="Global Chips"/>
    <s v="PROD037"/>
    <x v="183"/>
    <n v="93"/>
    <n v="1400"/>
    <n v="130200"/>
    <x v="0"/>
    <x v="1"/>
    <d v="2025-08-23T00:00:00"/>
  </r>
  <r>
    <s v="T0442"/>
    <x v="189"/>
    <x v="0"/>
    <s v="CLI019"/>
    <s v="Consultoria Meta"/>
    <s v="PROD184"/>
    <x v="119"/>
    <n v="70"/>
    <n v="45"/>
    <n v="3150"/>
    <x v="0"/>
    <x v="1"/>
    <s v="N/A"/>
  </r>
  <r>
    <s v="T0443"/>
    <x v="189"/>
    <x v="0"/>
    <s v="CLI009"/>
    <s v="Farma Plus"/>
    <s v="PROD052"/>
    <x v="35"/>
    <n v="3"/>
    <n v="6.5"/>
    <n v="19.5"/>
    <x v="2"/>
    <x v="2"/>
    <s v="N/A"/>
  </r>
  <r>
    <s v="T0444"/>
    <x v="190"/>
    <x v="1"/>
    <s v="FORN002"/>
    <s v="SoftPrime Licencas"/>
    <s v="PROD135"/>
    <x v="25"/>
    <n v="97"/>
    <n v="120"/>
    <n v="11640"/>
    <x v="2"/>
    <x v="0"/>
    <d v="2025-08-10T00:00:00"/>
  </r>
  <r>
    <s v="T0445"/>
    <x v="190"/>
    <x v="1"/>
    <s v="FORN009"/>
    <s v="Movel Tech"/>
    <s v="PROD140"/>
    <x v="72"/>
    <n v="72"/>
    <n v="45"/>
    <n v="3240"/>
    <x v="1"/>
    <x v="1"/>
    <d v="2025-08-19T00:00:00"/>
  </r>
  <r>
    <s v="T0446"/>
    <x v="190"/>
    <x v="0"/>
    <s v="CLI016"/>
    <s v="Auto Pecas Jato"/>
    <s v="PROD069"/>
    <x v="124"/>
    <n v="3"/>
    <n v="15"/>
    <n v="45"/>
    <x v="2"/>
    <x v="0"/>
    <s v="N/A"/>
  </r>
  <r>
    <s v="T0447"/>
    <x v="190"/>
    <x v="1"/>
    <s v="FORN020"/>
    <s v="AI Systems"/>
    <s v="PROD078"/>
    <x v="28"/>
    <n v="25"/>
    <n v="15"/>
    <n v="375"/>
    <x v="1"/>
    <x v="0"/>
    <d v="2025-08-10T00:00:00"/>
  </r>
  <r>
    <s v="T0448"/>
    <x v="190"/>
    <x v="0"/>
    <s v="CLI015"/>
    <s v="Pet Shop Amigo"/>
    <s v="PROD190"/>
    <x v="57"/>
    <n v="22"/>
    <n v="8500"/>
    <n v="187000"/>
    <x v="1"/>
    <x v="2"/>
    <s v="N/A"/>
  </r>
  <r>
    <s v="T0449"/>
    <x v="190"/>
    <x v="1"/>
    <s v="FORN006"/>
    <s v="Papelaria Central"/>
    <s v="PROD068"/>
    <x v="157"/>
    <n v="74"/>
    <n v="180"/>
    <n v="13320"/>
    <x v="0"/>
    <x v="2"/>
    <d v="2025-08-11T00:00:00"/>
  </r>
  <r>
    <s v="T0450"/>
    <x v="191"/>
    <x v="1"/>
    <s v="FORN003"/>
    <s v="Office Express"/>
    <s v="PROD083"/>
    <x v="73"/>
    <n v="18"/>
    <n v="1450"/>
    <n v="26100"/>
    <x v="1"/>
    <x v="2"/>
    <d v="2025-08-12T00:00:00"/>
  </r>
  <r>
    <s v="T0451"/>
    <x v="191"/>
    <x v="0"/>
    <s v="CLI006"/>
    <s v="Construtora Forte"/>
    <s v="PROD107"/>
    <x v="79"/>
    <n v="10"/>
    <n v="680"/>
    <n v="6800"/>
    <x v="0"/>
    <x v="1"/>
    <s v="N/A"/>
  </r>
  <r>
    <s v="T0452"/>
    <x v="191"/>
    <x v="1"/>
    <s v="FORN010"/>
    <s v="DataCenter Pro"/>
    <s v="PROD156"/>
    <x v="171"/>
    <n v="42"/>
    <n v="85"/>
    <n v="3570"/>
    <x v="2"/>
    <x v="0"/>
    <d v="2025-08-12T00:00:00"/>
  </r>
  <r>
    <s v="T0453"/>
    <x v="191"/>
    <x v="0"/>
    <s v="CLI017"/>
    <s v="Restaurante Sabor"/>
    <s v="PROD117"/>
    <x v="117"/>
    <n v="8"/>
    <n v="95"/>
    <n v="760"/>
    <x v="2"/>
    <x v="2"/>
    <s v="N/A"/>
  </r>
  <r>
    <s v="T0454"/>
    <x v="192"/>
    <x v="0"/>
    <s v="CLI003"/>
    <s v="Hospital Vida"/>
    <s v="PROD126"/>
    <x v="146"/>
    <n v="3"/>
    <n v="280"/>
    <n v="840"/>
    <x v="2"/>
    <x v="1"/>
    <s v="N/A"/>
  </r>
  <r>
    <s v="T0455"/>
    <x v="192"/>
    <x v="1"/>
    <s v="FORN019"/>
    <s v="Mega Storage"/>
    <s v="PROD113"/>
    <x v="13"/>
    <n v="50"/>
    <n v="950"/>
    <n v="47500"/>
    <x v="1"/>
    <x v="1"/>
    <d v="2025-08-20T00:00:00"/>
  </r>
  <r>
    <s v="T0456"/>
    <x v="192"/>
    <x v="0"/>
    <s v="CLI010"/>
    <s v="Hotel Estrela"/>
    <s v="PROD011"/>
    <x v="115"/>
    <n v="31"/>
    <n v="280"/>
    <n v="8680"/>
    <x v="1"/>
    <x v="1"/>
    <s v="N/A"/>
  </r>
  <r>
    <s v="T0457"/>
    <x v="192"/>
    <x v="0"/>
    <s v="CLI003"/>
    <s v="Hospital Vida"/>
    <s v="PROD027"/>
    <x v="91"/>
    <n v="103"/>
    <n v="75"/>
    <n v="7725"/>
    <x v="0"/>
    <x v="0"/>
    <s v="N/A"/>
  </r>
  <r>
    <s v="T0458"/>
    <x v="193"/>
    <x v="0"/>
    <s v="CLI007"/>
    <s v="Tecno Logica"/>
    <s v="PROD026"/>
    <x v="71"/>
    <n v="85"/>
    <n v="85"/>
    <n v="7225"/>
    <x v="2"/>
    <x v="0"/>
    <s v="N/A"/>
  </r>
  <r>
    <s v="T0459"/>
    <x v="194"/>
    <x v="1"/>
    <s v="FORN019"/>
    <s v="Mega Storage"/>
    <s v="PROD033"/>
    <x v="14"/>
    <n v="65"/>
    <n v="65"/>
    <n v="4225"/>
    <x v="0"/>
    <x v="2"/>
    <d v="2025-08-23T00:00:00"/>
  </r>
  <r>
    <s v="T0460"/>
    <x v="195"/>
    <x v="1"/>
    <s v="FORN013"/>
    <s v="Network Master"/>
    <s v="PROD004"/>
    <x v="64"/>
    <n v="12"/>
    <n v="1200"/>
    <n v="14400"/>
    <x v="0"/>
    <x v="2"/>
    <d v="2025-08-22T00:00:00"/>
  </r>
  <r>
    <s v="T0461"/>
    <x v="196"/>
    <x v="0"/>
    <s v="CLI012"/>
    <s v="Padaria Real"/>
    <s v="PROD193"/>
    <x v="137"/>
    <n v="8"/>
    <n v="450"/>
    <n v="3600"/>
    <x v="0"/>
    <x v="0"/>
    <s v="N/A"/>
  </r>
  <r>
    <s v="T0462"/>
    <x v="197"/>
    <x v="0"/>
    <s v="CLI014"/>
    <s v="Moda Fashion"/>
    <s v="PROD085"/>
    <x v="11"/>
    <n v="54"/>
    <n v="85"/>
    <n v="4590"/>
    <x v="1"/>
    <x v="2"/>
    <s v="N/A"/>
  </r>
  <r>
    <s v="T0463"/>
    <x v="197"/>
    <x v="0"/>
    <s v="CLI008"/>
    <s v="Supermercado Sol"/>
    <s v="PROD007"/>
    <x v="18"/>
    <n v="1"/>
    <n v="1800"/>
    <n v="1800"/>
    <x v="1"/>
    <x v="2"/>
    <s v="N/A"/>
  </r>
  <r>
    <s v="T0464"/>
    <x v="198"/>
    <x v="0"/>
    <s v="CLI020"/>
    <s v="Oficina Mecanica"/>
    <s v="PROD144"/>
    <x v="98"/>
    <n v="8"/>
    <n v="55"/>
    <n v="440"/>
    <x v="2"/>
    <x v="0"/>
    <s v="N/A"/>
  </r>
  <r>
    <s v="T0465"/>
    <x v="199"/>
    <x v="0"/>
    <s v="CLI010"/>
    <s v="Hotel Estrela"/>
    <s v="PROD069"/>
    <x v="124"/>
    <n v="1"/>
    <n v="15"/>
    <n v="15"/>
    <x v="2"/>
    <x v="1"/>
    <s v="N/A"/>
  </r>
  <r>
    <s v="T0466"/>
    <x v="199"/>
    <x v="1"/>
    <s v="FORN004"/>
    <s v="LogiBrasil Transportes"/>
    <s v="PROD019"/>
    <x v="184"/>
    <n v="34"/>
    <n v="220"/>
    <n v="7480"/>
    <x v="2"/>
    <x v="0"/>
    <d v="2025-08-23T00:00:00"/>
  </r>
  <r>
    <s v="T0467"/>
    <x v="199"/>
    <x v="1"/>
    <s v="FORN005"/>
    <s v="CloudNexus Data"/>
    <s v="PROD049"/>
    <x v="176"/>
    <n v="33"/>
    <n v="1550"/>
    <n v="51150"/>
    <x v="1"/>
    <x v="0"/>
    <d v="2025-08-21T00:00:00"/>
  </r>
  <r>
    <s v="T0468"/>
    <x v="200"/>
    <x v="0"/>
    <s v="CLI004"/>
    <s v="Escola Saber"/>
    <s v="PROD104"/>
    <x v="49"/>
    <n v="19"/>
    <n v="185"/>
    <n v="3515"/>
    <x v="2"/>
    <x v="0"/>
    <s v="N/A"/>
  </r>
  <r>
    <s v="T0469"/>
    <x v="200"/>
    <x v="1"/>
    <s v="FORN003"/>
    <s v="Office Express"/>
    <s v="PROD197"/>
    <x v="114"/>
    <n v="17"/>
    <n v="280"/>
    <n v="4760"/>
    <x v="0"/>
    <x v="1"/>
    <d v="2025-08-23T00:00:00"/>
  </r>
  <r>
    <s v="T0470"/>
    <x v="200"/>
    <x v="1"/>
    <s v="FORN003"/>
    <s v="Office Express"/>
    <s v="PROD095"/>
    <x v="185"/>
    <n v="100"/>
    <n v="2100"/>
    <n v="210000"/>
    <x v="0"/>
    <x v="0"/>
    <d v="2025-08-23T00:00:00"/>
  </r>
  <r>
    <s v="T0471"/>
    <x v="200"/>
    <x v="0"/>
    <s v="CLI007"/>
    <s v="Tecno Logica"/>
    <s v="PROD098"/>
    <x v="63"/>
    <n v="30"/>
    <n v="1550"/>
    <n v="46500"/>
    <x v="2"/>
    <x v="2"/>
    <s v="N/A"/>
  </r>
  <r>
    <s v="T0472"/>
    <x v="200"/>
    <x v="0"/>
    <s v="CLI019"/>
    <s v="Consultoria Meta"/>
    <s v="PROD014"/>
    <x v="40"/>
    <n v="30"/>
    <n v="650"/>
    <n v="19500"/>
    <x v="2"/>
    <x v="2"/>
    <s v="N/A"/>
  </r>
  <r>
    <s v="T0473"/>
    <x v="201"/>
    <x v="1"/>
    <s v="FORN018"/>
    <s v="Link Direct"/>
    <s v="PROD171"/>
    <x v="136"/>
    <n v="42"/>
    <n v="65"/>
    <n v="2730"/>
    <x v="0"/>
    <x v="2"/>
    <d v="2025-08-24T00:00:00"/>
  </r>
  <r>
    <s v="T0474"/>
    <x v="202"/>
    <x v="0"/>
    <s v="CLI019"/>
    <s v="Consultoria Meta"/>
    <s v="PROD009"/>
    <x v="16"/>
    <n v="61"/>
    <n v="45"/>
    <n v="2745"/>
    <x v="1"/>
    <x v="1"/>
    <s v="N/A"/>
  </r>
  <r>
    <s v="T0475"/>
    <x v="202"/>
    <x v="1"/>
    <s v="FORN014"/>
    <s v="DevTools Inc"/>
    <s v="PROD075"/>
    <x v="158"/>
    <n v="23"/>
    <n v="38"/>
    <n v="874"/>
    <x v="0"/>
    <x v="2"/>
    <d v="2025-08-24T00:00:00"/>
  </r>
  <r>
    <s v="T0476"/>
    <x v="202"/>
    <x v="1"/>
    <s v="FORN019"/>
    <s v="Mega Storage"/>
    <s v="PROD163"/>
    <x v="186"/>
    <n v="94"/>
    <n v="18"/>
    <n v="1692"/>
    <x v="2"/>
    <x v="2"/>
    <d v="2025-08-31T00:00:00"/>
  </r>
  <r>
    <s v="T0477"/>
    <x v="203"/>
    <x v="0"/>
    <s v="CLI011"/>
    <s v="Academia Fit"/>
    <s v="PROD041"/>
    <x v="168"/>
    <n v="46"/>
    <n v="140"/>
    <n v="6440"/>
    <x v="1"/>
    <x v="1"/>
    <s v="N/A"/>
  </r>
  <r>
    <s v="T0478"/>
    <x v="203"/>
    <x v="1"/>
    <s v="FORN020"/>
    <s v="AI Systems"/>
    <s v="PROD016"/>
    <x v="151"/>
    <n v="17"/>
    <n v="55"/>
    <n v="935"/>
    <x v="0"/>
    <x v="1"/>
    <d v="2025-08-26T00:00:00"/>
  </r>
  <r>
    <s v="T0479"/>
    <x v="203"/>
    <x v="1"/>
    <s v="FORN004"/>
    <s v="LogiBrasil Transportes"/>
    <s v="PROD177"/>
    <x v="67"/>
    <n v="20"/>
    <n v="280"/>
    <n v="5600"/>
    <x v="2"/>
    <x v="0"/>
    <d v="2025-08-28T00:00:00"/>
  </r>
  <r>
    <s v="T0480"/>
    <x v="203"/>
    <x v="1"/>
    <s v="FORN005"/>
    <s v="CloudNexus Data"/>
    <s v="PROD015"/>
    <x v="97"/>
    <n v="66"/>
    <n v="1200"/>
    <n v="79200"/>
    <x v="0"/>
    <x v="1"/>
    <d v="2025-08-26T00:00:00"/>
  </r>
  <r>
    <s v="T0481"/>
    <x v="204"/>
    <x v="0"/>
    <s v="CLI013"/>
    <s v="Advocacia Associada"/>
    <s v="PROD055"/>
    <x v="39"/>
    <n v="27"/>
    <n v="42"/>
    <n v="1134"/>
    <x v="2"/>
    <x v="1"/>
    <s v="N/A"/>
  </r>
  <r>
    <s v="T0482"/>
    <x v="204"/>
    <x v="0"/>
    <s v="CLI019"/>
    <s v="Consultoria Meta"/>
    <s v="PROD146"/>
    <x v="55"/>
    <n v="6"/>
    <n v="85"/>
    <n v="510"/>
    <x v="0"/>
    <x v="1"/>
    <s v="N/A"/>
  </r>
  <r>
    <s v="T0483"/>
    <x v="204"/>
    <x v="0"/>
    <s v="CLI016"/>
    <s v="Auto Pecas Jato"/>
    <s v="PROD068"/>
    <x v="157"/>
    <n v="76"/>
    <n v="180"/>
    <n v="13680"/>
    <x v="2"/>
    <x v="1"/>
    <s v="N/A"/>
  </r>
  <r>
    <s v="T0484"/>
    <x v="205"/>
    <x v="1"/>
    <s v="FORN014"/>
    <s v="DevTools Inc"/>
    <s v="PROD092"/>
    <x v="43"/>
    <n v="30"/>
    <n v="950"/>
    <n v="28500"/>
    <x v="0"/>
    <x v="1"/>
    <d v="2025-08-29T00:00:00"/>
  </r>
  <r>
    <s v="T0485"/>
    <x v="205"/>
    <x v="0"/>
    <s v="CLI016"/>
    <s v="Auto Pecas Jato"/>
    <s v="PROD109"/>
    <x v="56"/>
    <n v="46"/>
    <n v="75"/>
    <n v="3450"/>
    <x v="0"/>
    <x v="1"/>
    <s v="N/A"/>
  </r>
  <r>
    <s v="T0486"/>
    <x v="205"/>
    <x v="0"/>
    <s v="CLI014"/>
    <s v="Moda Fashion"/>
    <s v="PROD023"/>
    <x v="111"/>
    <n v="121"/>
    <n v="150"/>
    <n v="18150"/>
    <x v="2"/>
    <x v="1"/>
    <s v="N/A"/>
  </r>
  <r>
    <s v="T0487"/>
    <x v="206"/>
    <x v="0"/>
    <s v="CLI008"/>
    <s v="Supermercado Sol"/>
    <s v="PROD143"/>
    <x v="131"/>
    <n v="59"/>
    <n v="35"/>
    <n v="2065"/>
    <x v="2"/>
    <x v="2"/>
    <s v="N/A"/>
  </r>
  <r>
    <s v="T0488"/>
    <x v="206"/>
    <x v="0"/>
    <s v="CLI003"/>
    <s v="Hospital Vida"/>
    <s v="PROD067"/>
    <x v="182"/>
    <n v="83"/>
    <n v="4.5"/>
    <n v="373.5"/>
    <x v="2"/>
    <x v="0"/>
    <s v="N/A"/>
  </r>
  <r>
    <s v="T0489"/>
    <x v="207"/>
    <x v="0"/>
    <s v="CLI002"/>
    <s v="Varejo Total"/>
    <s v="PROD175"/>
    <x v="23"/>
    <n v="16"/>
    <n v="110"/>
    <n v="1760"/>
    <x v="2"/>
    <x v="2"/>
    <s v="N/A"/>
  </r>
  <r>
    <s v="T0490"/>
    <x v="207"/>
    <x v="1"/>
    <s v="FORN001"/>
    <s v="TechFlow Solucoes"/>
    <s v="PROD152"/>
    <x v="87"/>
    <n v="105"/>
    <n v="12"/>
    <n v="1260"/>
    <x v="1"/>
    <x v="1"/>
    <d v="2025-09-04T00:00:00"/>
  </r>
  <r>
    <s v="T0491"/>
    <x v="207"/>
    <x v="0"/>
    <s v="CLI016"/>
    <s v="Auto Pecas Jato"/>
    <s v="PROD045"/>
    <x v="154"/>
    <n v="20"/>
    <n v="280"/>
    <n v="5600"/>
    <x v="2"/>
    <x v="1"/>
    <s v="N/A"/>
  </r>
  <r>
    <s v="T0492"/>
    <x v="207"/>
    <x v="1"/>
    <s v="FORN018"/>
    <s v="Link Direct"/>
    <s v="PROD049"/>
    <x v="176"/>
    <n v="55"/>
    <n v="1550"/>
    <n v="85250"/>
    <x v="1"/>
    <x v="0"/>
    <d v="2025-09-01T00:00:00"/>
  </r>
  <r>
    <s v="T0493"/>
    <x v="207"/>
    <x v="1"/>
    <s v="FORN007"/>
    <s v="CyberSecurity SA"/>
    <s v="PROD042"/>
    <x v="5"/>
    <n v="29"/>
    <n v="890"/>
    <n v="25810"/>
    <x v="1"/>
    <x v="1"/>
    <d v="2025-09-06T00:00:00"/>
  </r>
  <r>
    <s v="T0494"/>
    <x v="208"/>
    <x v="1"/>
    <s v="FORN008"/>
    <s v="Global Chips"/>
    <s v="PROD033"/>
    <x v="14"/>
    <n v="84"/>
    <n v="65"/>
    <n v="5460"/>
    <x v="0"/>
    <x v="2"/>
    <d v="2025-09-15T00:00:00"/>
  </r>
  <r>
    <s v="T0495"/>
    <x v="208"/>
    <x v="1"/>
    <s v="FORN002"/>
    <s v="SoftPrime Licencas"/>
    <s v="PROD137"/>
    <x v="68"/>
    <n v="4"/>
    <n v="450"/>
    <n v="1800"/>
    <x v="1"/>
    <x v="1"/>
    <d v="2025-09-01T00:00:00"/>
  </r>
  <r>
    <s v="T0496"/>
    <x v="209"/>
    <x v="1"/>
    <s v="FORN004"/>
    <s v="LogiBrasil Transportes"/>
    <s v="PROD110"/>
    <x v="50"/>
    <n v="69"/>
    <n v="580"/>
    <n v="40020"/>
    <x v="0"/>
    <x v="1"/>
    <d v="2025-09-04T00:00:00"/>
  </r>
  <r>
    <s v="T0497"/>
    <x v="210"/>
    <x v="0"/>
    <s v="CLI009"/>
    <s v="Farma Plus"/>
    <s v="PROD048"/>
    <x v="74"/>
    <n v="69"/>
    <n v="55"/>
    <n v="3795"/>
    <x v="2"/>
    <x v="2"/>
    <s v="N/A"/>
  </r>
  <r>
    <s v="T0498"/>
    <x v="210"/>
    <x v="0"/>
    <s v="CLI010"/>
    <s v="Hotel Estrela"/>
    <s v="PROD149"/>
    <x v="107"/>
    <n v="73"/>
    <n v="145"/>
    <n v="10585"/>
    <x v="1"/>
    <x v="1"/>
    <s v="N/A"/>
  </r>
  <r>
    <s v="T0499"/>
    <x v="211"/>
    <x v="0"/>
    <s v="CLI006"/>
    <s v="Construtora Forte"/>
    <s v="PROD099"/>
    <x v="139"/>
    <n v="23"/>
    <n v="750"/>
    <n v="17250"/>
    <x v="1"/>
    <x v="0"/>
    <s v="N/A"/>
  </r>
  <r>
    <s v="T0500"/>
    <x v="212"/>
    <x v="0"/>
    <s v="CLI008"/>
    <s v="Supermercado Sol"/>
    <s v="PROD143"/>
    <x v="131"/>
    <n v="18"/>
    <n v="35"/>
    <n v="630"/>
    <x v="0"/>
    <x v="2"/>
    <s v="N/A"/>
  </r>
  <r>
    <s v="T0501"/>
    <x v="213"/>
    <x v="1"/>
    <s v="FORN014"/>
    <s v="DevTools Inc"/>
    <s v="PROD159"/>
    <x v="179"/>
    <n v="7"/>
    <n v="12"/>
    <n v="84"/>
    <x v="0"/>
    <x v="0"/>
    <d v="2025-09-10T00:00:00"/>
  </r>
  <r>
    <s v="T0502"/>
    <x v="213"/>
    <x v="1"/>
    <s v="FORN007"/>
    <s v="CyberSecurity SA"/>
    <s v="PROD085"/>
    <x v="11"/>
    <n v="103"/>
    <n v="85"/>
    <n v="8755"/>
    <x v="1"/>
    <x v="2"/>
    <d v="2025-09-16T00:00:00"/>
  </r>
  <r>
    <s v="T0503"/>
    <x v="213"/>
    <x v="1"/>
    <s v="FORN016"/>
    <s v="Steel Case"/>
    <s v="PROD120"/>
    <x v="128"/>
    <n v="92"/>
    <n v="320"/>
    <n v="29440"/>
    <x v="2"/>
    <x v="0"/>
    <d v="2025-09-21T00:00:00"/>
  </r>
  <r>
    <s v="T0504"/>
    <x v="213"/>
    <x v="0"/>
    <s v="CLI017"/>
    <s v="Restaurante Sabor"/>
    <s v="PROD010"/>
    <x v="4"/>
    <n v="1"/>
    <n v="320"/>
    <n v="320"/>
    <x v="1"/>
    <x v="2"/>
    <s v="N/A"/>
  </r>
  <r>
    <s v="T0505"/>
    <x v="214"/>
    <x v="1"/>
    <s v="FORN019"/>
    <s v="Mega Storage"/>
    <s v="PROD133"/>
    <x v="125"/>
    <n v="77"/>
    <n v="110"/>
    <n v="8470"/>
    <x v="0"/>
    <x v="2"/>
    <d v="2025-09-18T00:00:00"/>
  </r>
  <r>
    <s v="T0506"/>
    <x v="215"/>
    <x v="0"/>
    <s v="CLI003"/>
    <s v="Hospital Vida"/>
    <s v="PROD155"/>
    <x v="95"/>
    <n v="58"/>
    <n v="12"/>
    <n v="696"/>
    <x v="2"/>
    <x v="0"/>
    <s v="N/A"/>
  </r>
  <r>
    <s v="T0507"/>
    <x v="216"/>
    <x v="0"/>
    <s v="CLI012"/>
    <s v="Padaria Real"/>
    <s v="PROD031"/>
    <x v="92"/>
    <n v="10"/>
    <n v="1450"/>
    <n v="14500"/>
    <x v="2"/>
    <x v="2"/>
    <s v="N/A"/>
  </r>
  <r>
    <s v="T0508"/>
    <x v="217"/>
    <x v="0"/>
    <s v="CLI017"/>
    <s v="Restaurante Sabor"/>
    <s v="PROD122"/>
    <x v="109"/>
    <n v="40"/>
    <n v="180"/>
    <n v="7200"/>
    <x v="1"/>
    <x v="0"/>
    <s v="N/A"/>
  </r>
  <r>
    <s v="T0509"/>
    <x v="217"/>
    <x v="0"/>
    <s v="CLI008"/>
    <s v="Supermercado Sol"/>
    <s v="PROD018"/>
    <x v="19"/>
    <n v="8"/>
    <n v="380"/>
    <n v="3040"/>
    <x v="0"/>
    <x v="2"/>
    <s v="N/A"/>
  </r>
  <r>
    <s v="T0510"/>
    <x v="217"/>
    <x v="0"/>
    <s v="CLI008"/>
    <s v="Supermercado Sol"/>
    <s v="PROD141"/>
    <x v="90"/>
    <n v="16"/>
    <n v="190"/>
    <n v="3040"/>
    <x v="1"/>
    <x v="1"/>
    <s v="N/A"/>
  </r>
  <r>
    <s v="T0511"/>
    <x v="217"/>
    <x v="1"/>
    <s v="FORN008"/>
    <s v="Global Chips"/>
    <s v="PROD079"/>
    <x v="70"/>
    <n v="93"/>
    <n v="65"/>
    <n v="6045"/>
    <x v="0"/>
    <x v="2"/>
    <d v="2025-09-30T00:00:00"/>
  </r>
  <r>
    <s v="T0512"/>
    <x v="218"/>
    <x v="1"/>
    <s v="FORN020"/>
    <s v="AI Systems"/>
    <s v="PROD134"/>
    <x v="122"/>
    <n v="51"/>
    <n v="155"/>
    <n v="7905"/>
    <x v="1"/>
    <x v="1"/>
    <d v="2025-09-18T00:00:00"/>
  </r>
  <r>
    <s v="T0513"/>
    <x v="218"/>
    <x v="1"/>
    <s v="FORN011"/>
    <s v="Energy Solution"/>
    <s v="PROD009"/>
    <x v="16"/>
    <n v="72"/>
    <n v="45"/>
    <n v="3240"/>
    <x v="1"/>
    <x v="0"/>
    <d v="2025-09-21T00:00:00"/>
  </r>
  <r>
    <s v="T0514"/>
    <x v="218"/>
    <x v="1"/>
    <s v="FORN015"/>
    <s v="Print Smart"/>
    <s v="PROD131"/>
    <x v="15"/>
    <n v="117"/>
    <n v="145"/>
    <n v="16965"/>
    <x v="1"/>
    <x v="2"/>
    <d v="2025-09-20T00:00:00"/>
  </r>
  <r>
    <s v="T0515"/>
    <x v="219"/>
    <x v="1"/>
    <s v="FORN017"/>
    <s v="BitSafe"/>
    <s v="PROD015"/>
    <x v="97"/>
    <n v="5"/>
    <n v="1200"/>
    <n v="6000"/>
    <x v="0"/>
    <x v="1"/>
    <d v="2025-09-21T00:00:00"/>
  </r>
  <r>
    <s v="T0516"/>
    <x v="220"/>
    <x v="0"/>
    <s v="CLI018"/>
    <s v="Clinica Sorriso"/>
    <s v="PROD158"/>
    <x v="121"/>
    <n v="34"/>
    <n v="7"/>
    <n v="238"/>
    <x v="0"/>
    <x v="0"/>
    <s v="N/A"/>
  </r>
  <r>
    <s v="T0517"/>
    <x v="221"/>
    <x v="1"/>
    <s v="FORN017"/>
    <s v="BitSafe"/>
    <s v="PROD046"/>
    <x v="106"/>
    <n v="160"/>
    <n v="15"/>
    <n v="2400"/>
    <x v="2"/>
    <x v="0"/>
    <d v="2025-09-24T00:00:00"/>
  </r>
  <r>
    <s v="T0518"/>
    <x v="222"/>
    <x v="0"/>
    <s v="CLI017"/>
    <s v="Restaurante Sabor"/>
    <s v="PROD026"/>
    <x v="71"/>
    <n v="40"/>
    <n v="85"/>
    <n v="3400"/>
    <x v="1"/>
    <x v="1"/>
    <s v="N/A"/>
  </r>
  <r>
    <s v="T0519"/>
    <x v="223"/>
    <x v="0"/>
    <s v="CLI013"/>
    <s v="Advocacia Associada"/>
    <s v="PROD093"/>
    <x v="103"/>
    <n v="48"/>
    <n v="1200"/>
    <n v="57600"/>
    <x v="1"/>
    <x v="0"/>
    <s v="N/A"/>
  </r>
  <r>
    <s v="T0520"/>
    <x v="223"/>
    <x v="1"/>
    <s v="FORN018"/>
    <s v="Link Direct"/>
    <s v="PROD053"/>
    <x v="65"/>
    <n v="85"/>
    <n v="35"/>
    <n v="2975"/>
    <x v="0"/>
    <x v="2"/>
    <d v="2025-09-25T00:00:00"/>
  </r>
  <r>
    <s v="T0521"/>
    <x v="223"/>
    <x v="1"/>
    <s v="FORN005"/>
    <s v="CloudNexus Data"/>
    <s v="PROD029"/>
    <x v="133"/>
    <n v="4"/>
    <n v="320"/>
    <n v="1280"/>
    <x v="1"/>
    <x v="2"/>
    <d v="2025-09-24T00:00:00"/>
  </r>
  <r>
    <s v="T0522"/>
    <x v="223"/>
    <x v="1"/>
    <s v="FORN006"/>
    <s v="Papelaria Central"/>
    <s v="PROD066"/>
    <x v="170"/>
    <n v="61"/>
    <n v="95"/>
    <n v="5795"/>
    <x v="0"/>
    <x v="2"/>
    <d v="2025-09-25T00:00:00"/>
  </r>
  <r>
    <s v="T0523"/>
    <x v="224"/>
    <x v="1"/>
    <s v="FORN012"/>
    <s v="Fast Delivery"/>
    <s v="PROD099"/>
    <x v="139"/>
    <n v="51"/>
    <n v="750"/>
    <n v="38250"/>
    <x v="2"/>
    <x v="1"/>
    <d v="2025-09-26T00:00:00"/>
  </r>
  <r>
    <s v="T0524"/>
    <x v="225"/>
    <x v="0"/>
    <s v="CLI014"/>
    <s v="Moda Fashion"/>
    <s v="PROD014"/>
    <x v="40"/>
    <n v="7"/>
    <n v="650"/>
    <n v="4550"/>
    <x v="1"/>
    <x v="1"/>
    <s v="N/A"/>
  </r>
  <r>
    <s v="T0525"/>
    <x v="226"/>
    <x v="1"/>
    <s v="FORN005"/>
    <s v="CloudNexus Data"/>
    <s v="PROD107"/>
    <x v="79"/>
    <n v="19"/>
    <n v="680"/>
    <n v="12920"/>
    <x v="2"/>
    <x v="0"/>
    <d v="2025-09-28T00:00:00"/>
  </r>
  <r>
    <s v="T0526"/>
    <x v="226"/>
    <x v="1"/>
    <s v="FORN003"/>
    <s v="Office Express"/>
    <s v="PROD019"/>
    <x v="184"/>
    <n v="27"/>
    <n v="220"/>
    <n v="5940"/>
    <x v="1"/>
    <x v="0"/>
    <d v="2025-09-29T00:00:00"/>
  </r>
  <r>
    <s v="T0527"/>
    <x v="226"/>
    <x v="0"/>
    <s v="CLI010"/>
    <s v="Hotel Estrela"/>
    <s v="PROD059"/>
    <x v="58"/>
    <n v="67"/>
    <n v="12"/>
    <n v="804"/>
    <x v="0"/>
    <x v="1"/>
    <s v="N/A"/>
  </r>
  <r>
    <s v="T0528"/>
    <x v="226"/>
    <x v="0"/>
    <s v="CLI010"/>
    <s v="Hotel Estrela"/>
    <s v="PROD040"/>
    <x v="69"/>
    <n v="47"/>
    <n v="5"/>
    <n v="235"/>
    <x v="0"/>
    <x v="1"/>
    <s v="N/A"/>
  </r>
  <r>
    <s v="T0529"/>
    <x v="227"/>
    <x v="0"/>
    <s v="CLI013"/>
    <s v="Advocacia Associada"/>
    <s v="PROD068"/>
    <x v="157"/>
    <n v="2"/>
    <n v="180"/>
    <n v="360"/>
    <x v="1"/>
    <x v="0"/>
    <s v="N/A"/>
  </r>
  <r>
    <s v="T0530"/>
    <x v="227"/>
    <x v="1"/>
    <s v="FORN002"/>
    <s v="SoftPrime Licencas"/>
    <s v="PROD030"/>
    <x v="138"/>
    <n v="38"/>
    <n v="250"/>
    <n v="9500"/>
    <x v="1"/>
    <x v="0"/>
    <d v="2025-09-29T00:00:00"/>
  </r>
  <r>
    <s v="T0531"/>
    <x v="227"/>
    <x v="0"/>
    <s v="CLI010"/>
    <s v="Hotel Estrela"/>
    <s v="PROD181"/>
    <x v="99"/>
    <n v="39"/>
    <n v="6500"/>
    <n v="253500"/>
    <x v="1"/>
    <x v="1"/>
    <s v="N/A"/>
  </r>
  <r>
    <s v="T0532"/>
    <x v="228"/>
    <x v="1"/>
    <s v="FORN001"/>
    <s v="TechFlow Solucoes"/>
    <s v="PROD161"/>
    <x v="187"/>
    <n v="104"/>
    <n v="15"/>
    <n v="1560"/>
    <x v="1"/>
    <x v="1"/>
    <d v="2025-10-04T00:00:00"/>
  </r>
  <r>
    <s v="T0533"/>
    <x v="228"/>
    <x v="0"/>
    <s v="CLI010"/>
    <s v="Hotel Estrela"/>
    <s v="PROD133"/>
    <x v="125"/>
    <n v="72"/>
    <n v="110"/>
    <n v="7920"/>
    <x v="2"/>
    <x v="2"/>
    <s v="N/A"/>
  </r>
  <r>
    <s v="T0534"/>
    <x v="229"/>
    <x v="0"/>
    <s v="CLI009"/>
    <s v="Farma Plus"/>
    <s v="PROD076"/>
    <x v="44"/>
    <n v="2"/>
    <n v="750"/>
    <n v="1500"/>
    <x v="1"/>
    <x v="2"/>
    <s v="N/A"/>
  </r>
  <r>
    <s v="T0535"/>
    <x v="229"/>
    <x v="0"/>
    <s v="CLI009"/>
    <s v="Farma Plus"/>
    <s v="PROD103"/>
    <x v="51"/>
    <n v="12"/>
    <n v="240"/>
    <n v="2880"/>
    <x v="2"/>
    <x v="1"/>
    <s v="N/A"/>
  </r>
  <r>
    <s v="T0536"/>
    <x v="229"/>
    <x v="0"/>
    <s v="CLI002"/>
    <s v="Varejo Total"/>
    <s v="PROD046"/>
    <x v="106"/>
    <n v="144"/>
    <n v="15"/>
    <n v="2160"/>
    <x v="1"/>
    <x v="0"/>
    <s v="N/A"/>
  </r>
  <r>
    <s v="T0537"/>
    <x v="229"/>
    <x v="0"/>
    <s v="CLI012"/>
    <s v="Padaria Real"/>
    <s v="PROD119"/>
    <x v="181"/>
    <n v="5"/>
    <n v="75"/>
    <n v="375"/>
    <x v="0"/>
    <x v="1"/>
    <s v="N/A"/>
  </r>
  <r>
    <s v="T0538"/>
    <x v="230"/>
    <x v="0"/>
    <s v="CLI001"/>
    <s v="Industrias Alpha"/>
    <s v="PROD143"/>
    <x v="131"/>
    <n v="11"/>
    <n v="35"/>
    <n v="385"/>
    <x v="1"/>
    <x v="0"/>
    <s v="N/A"/>
  </r>
  <r>
    <s v="T0539"/>
    <x v="231"/>
    <x v="0"/>
    <s v="CLI013"/>
    <s v="Advocacia Associada"/>
    <s v="PROD128"/>
    <x v="24"/>
    <n v="148"/>
    <n v="18"/>
    <n v="2664"/>
    <x v="1"/>
    <x v="2"/>
    <s v="N/A"/>
  </r>
  <r>
    <s v="T0540"/>
    <x v="232"/>
    <x v="1"/>
    <s v="FORN011"/>
    <s v="Energy Solution"/>
    <s v="PROD158"/>
    <x v="121"/>
    <n v="161"/>
    <n v="7"/>
    <n v="1127"/>
    <x v="2"/>
    <x v="1"/>
    <d v="2025-10-07T00:00:00"/>
  </r>
  <r>
    <s v="T0541"/>
    <x v="233"/>
    <x v="0"/>
    <s v="CLI002"/>
    <s v="Varejo Total"/>
    <s v="PROD004"/>
    <x v="64"/>
    <n v="86"/>
    <n v="1200"/>
    <n v="103200"/>
    <x v="2"/>
    <x v="1"/>
    <s v="N/A"/>
  </r>
  <r>
    <s v="T0542"/>
    <x v="233"/>
    <x v="0"/>
    <s v="CLI005"/>
    <s v="Banco Futuro"/>
    <s v="PROD151"/>
    <x v="135"/>
    <n v="122"/>
    <n v="45"/>
    <n v="5490"/>
    <x v="1"/>
    <x v="1"/>
    <s v="N/A"/>
  </r>
  <r>
    <s v="T0543"/>
    <x v="233"/>
    <x v="0"/>
    <s v="CLI018"/>
    <s v="Clinica Sorriso"/>
    <s v="PROD119"/>
    <x v="181"/>
    <n v="14"/>
    <n v="75"/>
    <n v="1050"/>
    <x v="0"/>
    <x v="1"/>
    <s v="N/A"/>
  </r>
  <r>
    <s v="T0544"/>
    <x v="234"/>
    <x v="0"/>
    <s v="CLI014"/>
    <s v="Moda Fashion"/>
    <s v="PROD196"/>
    <x v="123"/>
    <n v="69"/>
    <n v="95"/>
    <n v="6555"/>
    <x v="0"/>
    <x v="0"/>
    <s v="N/A"/>
  </r>
  <r>
    <s v="T0545"/>
    <x v="234"/>
    <x v="1"/>
    <s v="FORN006"/>
    <s v="Papelaria Central"/>
    <s v="PROD039"/>
    <x v="166"/>
    <n v="83"/>
    <n v="40"/>
    <n v="3320"/>
    <x v="1"/>
    <x v="1"/>
    <d v="2025-10-07T00:00:00"/>
  </r>
  <r>
    <s v="T0546"/>
    <x v="235"/>
    <x v="1"/>
    <s v="FORN012"/>
    <s v="Fast Delivery"/>
    <s v="PROD163"/>
    <x v="186"/>
    <n v="21"/>
    <n v="18"/>
    <n v="378"/>
    <x v="1"/>
    <x v="2"/>
    <d v="2025-10-07T00:00:00"/>
  </r>
  <r>
    <s v="T0547"/>
    <x v="236"/>
    <x v="0"/>
    <s v="CLI003"/>
    <s v="Hospital Vida"/>
    <s v="PROD094"/>
    <x v="159"/>
    <n v="2"/>
    <n v="220"/>
    <n v="440"/>
    <x v="1"/>
    <x v="1"/>
    <s v="N/A"/>
  </r>
  <r>
    <s v="T0548"/>
    <x v="236"/>
    <x v="1"/>
    <s v="FORN003"/>
    <s v="Office Express"/>
    <s v="PROD065"/>
    <x v="101"/>
    <n v="61"/>
    <n v="12"/>
    <n v="732"/>
    <x v="2"/>
    <x v="1"/>
    <d v="2025-10-09T00:00:00"/>
  </r>
  <r>
    <s v="T0549"/>
    <x v="236"/>
    <x v="0"/>
    <s v="CLI006"/>
    <s v="Construtora Forte"/>
    <s v="PROD037"/>
    <x v="183"/>
    <n v="73"/>
    <n v="1400"/>
    <n v="102200"/>
    <x v="2"/>
    <x v="2"/>
    <s v="N/A"/>
  </r>
  <r>
    <s v="T0550"/>
    <x v="236"/>
    <x v="1"/>
    <s v="FORN005"/>
    <s v="CloudNexus Data"/>
    <s v="PROD114"/>
    <x v="188"/>
    <n v="19"/>
    <n v="1450"/>
    <n v="27550"/>
    <x v="2"/>
    <x v="1"/>
    <d v="2025-10-08T00:00:00"/>
  </r>
  <r>
    <s v="T0551"/>
    <x v="237"/>
    <x v="1"/>
    <s v="FORN018"/>
    <s v="Link Direct"/>
    <s v="PROD186"/>
    <x v="126"/>
    <n v="44"/>
    <n v="6800"/>
    <n v="299200"/>
    <x v="0"/>
    <x v="0"/>
    <d v="2025-10-10T00:00:00"/>
  </r>
  <r>
    <s v="T0552"/>
    <x v="237"/>
    <x v="0"/>
    <s v="CLI019"/>
    <s v="Consultoria Meta"/>
    <s v="PROD096"/>
    <x v="59"/>
    <n v="36"/>
    <n v="650"/>
    <n v="23400"/>
    <x v="1"/>
    <x v="0"/>
    <s v="N/A"/>
  </r>
  <r>
    <s v="T0553"/>
    <x v="237"/>
    <x v="1"/>
    <s v="FORN003"/>
    <s v="Office Express"/>
    <s v="PROD149"/>
    <x v="107"/>
    <n v="16"/>
    <n v="145"/>
    <n v="2320"/>
    <x v="1"/>
    <x v="1"/>
    <d v="2025-10-10T00:00:00"/>
  </r>
  <r>
    <s v="T0554"/>
    <x v="237"/>
    <x v="0"/>
    <s v="CLI003"/>
    <s v="Hospital Vida"/>
    <s v="PROD087"/>
    <x v="84"/>
    <n v="8"/>
    <n v="450"/>
    <n v="3600"/>
    <x v="2"/>
    <x v="1"/>
    <s v="N/A"/>
  </r>
  <r>
    <s v="T0555"/>
    <x v="238"/>
    <x v="0"/>
    <s v="CLI016"/>
    <s v="Auto Pecas Jato"/>
    <s v="PROD124"/>
    <x v="150"/>
    <n v="105"/>
    <n v="250"/>
    <n v="26250"/>
    <x v="1"/>
    <x v="2"/>
    <s v="N/A"/>
  </r>
  <r>
    <s v="T0556"/>
    <x v="238"/>
    <x v="0"/>
    <s v="CLI006"/>
    <s v="Construtora Forte"/>
    <s v="PROD128"/>
    <x v="24"/>
    <n v="1"/>
    <n v="18"/>
    <n v="18"/>
    <x v="2"/>
    <x v="1"/>
    <s v="N/A"/>
  </r>
  <r>
    <s v="T0557"/>
    <x v="238"/>
    <x v="1"/>
    <s v="FORN002"/>
    <s v="SoftPrime Licencas"/>
    <s v="PROD043"/>
    <x v="189"/>
    <n v="118"/>
    <n v="22"/>
    <n v="2596"/>
    <x v="0"/>
    <x v="1"/>
    <d v="2025-10-10T00:00:00"/>
  </r>
  <r>
    <s v="T0558"/>
    <x v="239"/>
    <x v="1"/>
    <s v="FORN012"/>
    <s v="Fast Delivery"/>
    <s v="PROD094"/>
    <x v="159"/>
    <n v="74"/>
    <n v="220"/>
    <n v="16280"/>
    <x v="0"/>
    <x v="0"/>
    <d v="2025-10-11T00:00:00"/>
  </r>
  <r>
    <s v="T0559"/>
    <x v="239"/>
    <x v="1"/>
    <s v="FORN006"/>
    <s v="Papelaria Central"/>
    <s v="PROD198"/>
    <x v="160"/>
    <n v="25"/>
    <n v="55"/>
    <n v="1375"/>
    <x v="0"/>
    <x v="2"/>
    <d v="2025-10-12T00:00:00"/>
  </r>
  <r>
    <s v="T0560"/>
    <x v="239"/>
    <x v="0"/>
    <s v="CLI014"/>
    <s v="Moda Fashion"/>
    <s v="PROD108"/>
    <x v="29"/>
    <n v="21"/>
    <n v="1200"/>
    <n v="25200"/>
    <x v="1"/>
    <x v="0"/>
    <s v="N/A"/>
  </r>
  <r>
    <s v="T0561"/>
    <x v="240"/>
    <x v="0"/>
    <s v="CLI008"/>
    <s v="Supermercado Sol"/>
    <s v="PROD002"/>
    <x v="10"/>
    <n v="2"/>
    <n v="350"/>
    <n v="700"/>
    <x v="2"/>
    <x v="0"/>
    <s v="N/A"/>
  </r>
  <r>
    <s v="T0562"/>
    <x v="240"/>
    <x v="1"/>
    <s v="FORN014"/>
    <s v="DevTools Inc"/>
    <s v="PROD049"/>
    <x v="176"/>
    <n v="53"/>
    <n v="1550"/>
    <n v="82150"/>
    <x v="1"/>
    <x v="1"/>
    <d v="2025-10-12T00:00:00"/>
  </r>
  <r>
    <s v="T0563"/>
    <x v="240"/>
    <x v="1"/>
    <s v="FORN015"/>
    <s v="Print Smart"/>
    <s v="PROD032"/>
    <x v="46"/>
    <n v="14"/>
    <n v="110"/>
    <n v="1540"/>
    <x v="1"/>
    <x v="1"/>
    <d v="2025-10-14T00:00:00"/>
  </r>
  <r>
    <s v="T0564"/>
    <x v="240"/>
    <x v="1"/>
    <s v="FORN012"/>
    <s v="Fast Delivery"/>
    <s v="PROD018"/>
    <x v="19"/>
    <n v="11"/>
    <n v="380"/>
    <n v="4180"/>
    <x v="1"/>
    <x v="2"/>
    <d v="2025-10-12T00:00:00"/>
  </r>
  <r>
    <s v="T0565"/>
    <x v="241"/>
    <x v="0"/>
    <s v="CLI015"/>
    <s v="Pet Shop Amigo"/>
    <s v="PROD037"/>
    <x v="183"/>
    <n v="14"/>
    <n v="1400"/>
    <n v="19600"/>
    <x v="0"/>
    <x v="0"/>
    <s v="N/A"/>
  </r>
  <r>
    <s v="T0566"/>
    <x v="241"/>
    <x v="1"/>
    <s v="FORN018"/>
    <s v="Link Direct"/>
    <s v="PROD050"/>
    <x v="167"/>
    <n v="93"/>
    <n v="230"/>
    <n v="21390"/>
    <x v="2"/>
    <x v="0"/>
    <d v="2025-10-14T00:00:00"/>
  </r>
  <r>
    <s v="T0567"/>
    <x v="241"/>
    <x v="0"/>
    <s v="CLI005"/>
    <s v="Banco Futuro"/>
    <s v="PROD183"/>
    <x v="145"/>
    <n v="158"/>
    <n v="1200"/>
    <n v="189600"/>
    <x v="1"/>
    <x v="0"/>
    <s v="N/A"/>
  </r>
  <r>
    <s v="T0568"/>
    <x v="241"/>
    <x v="1"/>
    <s v="FORN016"/>
    <s v="Steel Case"/>
    <s v="PROD064"/>
    <x v="48"/>
    <n v="75"/>
    <n v="14"/>
    <n v="1050"/>
    <x v="2"/>
    <x v="2"/>
    <d v="2025-10-24T00:00:00"/>
  </r>
  <r>
    <s v="T0569"/>
    <x v="241"/>
    <x v="0"/>
    <s v="CLI005"/>
    <s v="Banco Futuro"/>
    <s v="PROD159"/>
    <x v="179"/>
    <n v="29"/>
    <n v="12"/>
    <n v="348"/>
    <x v="1"/>
    <x v="0"/>
    <s v="N/A"/>
  </r>
  <r>
    <s v="T0570"/>
    <x v="241"/>
    <x v="1"/>
    <s v="FORN014"/>
    <s v="DevTools Inc"/>
    <s v="PROD160"/>
    <x v="77"/>
    <n v="19"/>
    <n v="9"/>
    <n v="171"/>
    <x v="2"/>
    <x v="0"/>
    <d v="2025-10-13T00:00:00"/>
  </r>
  <r>
    <s v="T0571"/>
    <x v="242"/>
    <x v="1"/>
    <s v="FORN019"/>
    <s v="Mega Storage"/>
    <s v="PROD024"/>
    <x v="104"/>
    <n v="117"/>
    <n v="2400"/>
    <n v="280800"/>
    <x v="0"/>
    <x v="0"/>
    <d v="2025-10-21T00:00:00"/>
  </r>
  <r>
    <s v="T0572"/>
    <x v="242"/>
    <x v="0"/>
    <s v="CLI020"/>
    <s v="Oficina Mecanica"/>
    <s v="PROD022"/>
    <x v="12"/>
    <n v="2"/>
    <n v="980"/>
    <n v="1960"/>
    <x v="0"/>
    <x v="1"/>
    <s v="N/A"/>
  </r>
  <r>
    <s v="T0573"/>
    <x v="242"/>
    <x v="0"/>
    <s v="CLI016"/>
    <s v="Auto Pecas Jato"/>
    <s v="PROD023"/>
    <x v="111"/>
    <n v="13"/>
    <n v="150"/>
    <n v="1950"/>
    <x v="1"/>
    <x v="0"/>
    <s v="N/A"/>
  </r>
  <r>
    <s v="T0574"/>
    <x v="242"/>
    <x v="0"/>
    <s v="CLI017"/>
    <s v="Restaurante Sabor"/>
    <s v="PROD023"/>
    <x v="111"/>
    <n v="45"/>
    <n v="150"/>
    <n v="6750"/>
    <x v="1"/>
    <x v="1"/>
    <s v="N/A"/>
  </r>
  <r>
    <s v="T0575"/>
    <x v="242"/>
    <x v="1"/>
    <s v="FORN015"/>
    <s v="Print Smart"/>
    <s v="PROD165"/>
    <x v="162"/>
    <n v="27"/>
    <n v="18"/>
    <n v="486"/>
    <x v="2"/>
    <x v="2"/>
    <d v="2025-10-16T00:00:00"/>
  </r>
  <r>
    <s v="T0576"/>
    <x v="243"/>
    <x v="1"/>
    <s v="FORN001"/>
    <s v="TechFlow Solucoes"/>
    <s v="PROD191"/>
    <x v="190"/>
    <n v="47"/>
    <n v="145"/>
    <n v="6815"/>
    <x v="1"/>
    <x v="1"/>
    <d v="2025-10-19T00:00:00"/>
  </r>
  <r>
    <s v="T0577"/>
    <x v="243"/>
    <x v="0"/>
    <s v="CLI015"/>
    <s v="Pet Shop Amigo"/>
    <s v="PROD174"/>
    <x v="45"/>
    <n v="29"/>
    <n v="65"/>
    <n v="1885"/>
    <x v="2"/>
    <x v="0"/>
    <s v="N/A"/>
  </r>
  <r>
    <s v="T0578"/>
    <x v="244"/>
    <x v="0"/>
    <s v="CLI004"/>
    <s v="Escola Saber"/>
    <s v="PROD122"/>
    <x v="109"/>
    <n v="43"/>
    <n v="180"/>
    <n v="7740"/>
    <x v="0"/>
    <x v="1"/>
    <s v="N/A"/>
  </r>
  <r>
    <s v="T0579"/>
    <x v="244"/>
    <x v="1"/>
    <s v="FORN011"/>
    <s v="Energy Solution"/>
    <s v="PROD159"/>
    <x v="179"/>
    <n v="29"/>
    <n v="12"/>
    <n v="348"/>
    <x v="2"/>
    <x v="1"/>
    <d v="2025-10-19T00:00:00"/>
  </r>
  <r>
    <s v="T0580"/>
    <x v="244"/>
    <x v="0"/>
    <s v="CLI014"/>
    <s v="Moda Fashion"/>
    <s v="PROD034"/>
    <x v="143"/>
    <n v="15"/>
    <n v="4200"/>
    <n v="63000"/>
    <x v="1"/>
    <x v="2"/>
    <s v="N/A"/>
  </r>
  <r>
    <s v="T0581"/>
    <x v="244"/>
    <x v="1"/>
    <s v="FORN013"/>
    <s v="Network Master"/>
    <s v="PROD058"/>
    <x v="33"/>
    <n v="394"/>
    <n v="1.5"/>
    <n v="591"/>
    <x v="2"/>
    <x v="0"/>
    <d v="2025-10-21T00:00:00"/>
  </r>
  <r>
    <s v="T0582"/>
    <x v="245"/>
    <x v="0"/>
    <s v="CLI007"/>
    <s v="Tecno Logica"/>
    <s v="PROD140"/>
    <x v="72"/>
    <n v="20"/>
    <n v="45"/>
    <n v="900"/>
    <x v="1"/>
    <x v="1"/>
    <s v="N/A"/>
  </r>
  <r>
    <s v="T0583"/>
    <x v="245"/>
    <x v="0"/>
    <s v="CLI015"/>
    <s v="Pet Shop Amigo"/>
    <s v="PROD117"/>
    <x v="117"/>
    <n v="17"/>
    <n v="95"/>
    <n v="1615"/>
    <x v="1"/>
    <x v="1"/>
    <s v="N/A"/>
  </r>
  <r>
    <s v="T0584"/>
    <x v="245"/>
    <x v="0"/>
    <s v="CLI007"/>
    <s v="Tecno Logica"/>
    <s v="PROD015"/>
    <x v="97"/>
    <n v="130"/>
    <n v="1200"/>
    <n v="156000"/>
    <x v="2"/>
    <x v="1"/>
    <s v="N/A"/>
  </r>
  <r>
    <s v="T0585"/>
    <x v="246"/>
    <x v="1"/>
    <s v="FORN015"/>
    <s v="Print Smart"/>
    <s v="PROD135"/>
    <x v="25"/>
    <n v="99"/>
    <n v="120"/>
    <n v="11880"/>
    <x v="2"/>
    <x v="2"/>
    <d v="2025-10-20T00:00:00"/>
  </r>
  <r>
    <s v="T0586"/>
    <x v="246"/>
    <x v="0"/>
    <s v="CLI013"/>
    <s v="Advocacia Associada"/>
    <s v="PROD095"/>
    <x v="185"/>
    <n v="51"/>
    <n v="2100"/>
    <n v="107100"/>
    <x v="0"/>
    <x v="1"/>
    <s v="N/A"/>
  </r>
  <r>
    <s v="T0587"/>
    <x v="247"/>
    <x v="0"/>
    <s v="CLI003"/>
    <s v="Hospital Vida"/>
    <s v="PROD075"/>
    <x v="158"/>
    <n v="100"/>
    <n v="38"/>
    <n v="3800"/>
    <x v="1"/>
    <x v="0"/>
    <s v="N/A"/>
  </r>
  <r>
    <s v="T0588"/>
    <x v="247"/>
    <x v="0"/>
    <s v="CLI014"/>
    <s v="Moda Fashion"/>
    <s v="PROD008"/>
    <x v="38"/>
    <n v="20"/>
    <n v="250"/>
    <n v="5000"/>
    <x v="2"/>
    <x v="0"/>
    <s v="N/A"/>
  </r>
  <r>
    <s v="T0589"/>
    <x v="248"/>
    <x v="1"/>
    <s v="FORN007"/>
    <s v="CyberSecurity SA"/>
    <s v="PROD143"/>
    <x v="131"/>
    <n v="116"/>
    <n v="35"/>
    <n v="4060"/>
    <x v="0"/>
    <x v="1"/>
    <d v="2025-10-26T00:00:00"/>
  </r>
  <r>
    <s v="T0590"/>
    <x v="248"/>
    <x v="0"/>
    <s v="CLI018"/>
    <s v="Clinica Sorriso"/>
    <s v="PROD035"/>
    <x v="85"/>
    <n v="72"/>
    <n v="600"/>
    <n v="43200"/>
    <x v="0"/>
    <x v="0"/>
    <s v="N/A"/>
  </r>
  <r>
    <s v="T0591"/>
    <x v="248"/>
    <x v="1"/>
    <s v="FORN019"/>
    <s v="Mega Storage"/>
    <s v="PROD097"/>
    <x v="191"/>
    <n v="29"/>
    <n v="480"/>
    <n v="13920"/>
    <x v="1"/>
    <x v="0"/>
    <d v="2025-10-27T00:00:00"/>
  </r>
  <r>
    <s v="T0592"/>
    <x v="249"/>
    <x v="0"/>
    <s v="CLI003"/>
    <s v="Hospital Vida"/>
    <s v="PROD018"/>
    <x v="19"/>
    <n v="11"/>
    <n v="380"/>
    <n v="4180"/>
    <x v="1"/>
    <x v="0"/>
    <s v="N/A"/>
  </r>
  <r>
    <s v="T0593"/>
    <x v="250"/>
    <x v="1"/>
    <s v="FORN011"/>
    <s v="Energy Solution"/>
    <s v="PROD121"/>
    <x v="9"/>
    <n v="53"/>
    <n v="15000"/>
    <n v="795000"/>
    <x v="1"/>
    <x v="0"/>
    <d v="2025-10-26T00:00:00"/>
  </r>
  <r>
    <s v="T0594"/>
    <x v="251"/>
    <x v="0"/>
    <s v="CLI007"/>
    <s v="Tecno Logica"/>
    <s v="PROD053"/>
    <x v="65"/>
    <n v="175"/>
    <n v="35"/>
    <n v="6125"/>
    <x v="2"/>
    <x v="1"/>
    <s v="N/A"/>
  </r>
  <r>
    <s v="T0595"/>
    <x v="252"/>
    <x v="1"/>
    <s v="FORN012"/>
    <s v="Fast Delivery"/>
    <s v="PROD014"/>
    <x v="40"/>
    <n v="68"/>
    <n v="650"/>
    <n v="44200"/>
    <x v="1"/>
    <x v="1"/>
    <d v="2025-10-25T00:00:00"/>
  </r>
  <r>
    <s v="T0596"/>
    <x v="252"/>
    <x v="0"/>
    <s v="CLI002"/>
    <s v="Varejo Total"/>
    <s v="PROD061"/>
    <x v="141"/>
    <n v="71"/>
    <n v="2.5"/>
    <n v="177.5"/>
    <x v="0"/>
    <x v="1"/>
    <s v="N/A"/>
  </r>
  <r>
    <s v="T0597"/>
    <x v="253"/>
    <x v="1"/>
    <s v="FORN020"/>
    <s v="AI Systems"/>
    <s v="PROD080"/>
    <x v="142"/>
    <n v="80"/>
    <n v="110"/>
    <n v="8800"/>
    <x v="2"/>
    <x v="1"/>
    <d v="2025-10-26T00:00:00"/>
  </r>
  <r>
    <s v="T0598"/>
    <x v="253"/>
    <x v="1"/>
    <s v="FORN002"/>
    <s v="SoftPrime Licencas"/>
    <s v="PROD138"/>
    <x v="192"/>
    <n v="82"/>
    <n v="850"/>
    <n v="69700"/>
    <x v="0"/>
    <x v="1"/>
    <d v="2025-10-26T00:00:00"/>
  </r>
  <r>
    <s v="T0599"/>
    <x v="253"/>
    <x v="1"/>
    <s v="FORN019"/>
    <s v="Mega Storage"/>
    <s v="PROD148"/>
    <x v="153"/>
    <n v="100"/>
    <n v="35"/>
    <n v="3500"/>
    <x v="1"/>
    <x v="2"/>
    <d v="2025-11-02T00:00:00"/>
  </r>
  <r>
    <s v="T0600"/>
    <x v="254"/>
    <x v="1"/>
    <s v="FORN012"/>
    <s v="Fast Delivery"/>
    <s v="PROD081"/>
    <x v="108"/>
    <n v="74"/>
    <n v="12500"/>
    <n v="925000"/>
    <x v="0"/>
    <x v="2"/>
    <d v="2025-10-27T00:00:00"/>
  </r>
  <r>
    <s v="T0601"/>
    <x v="255"/>
    <x v="1"/>
    <s v="FORN010"/>
    <s v="DataCenter Pro"/>
    <s v="PROD048"/>
    <x v="74"/>
    <n v="5"/>
    <n v="55"/>
    <n v="275"/>
    <x v="2"/>
    <x v="2"/>
    <d v="2025-10-30T00:00:00"/>
  </r>
  <r>
    <s v="T0602"/>
    <x v="255"/>
    <x v="0"/>
    <s v="CLI019"/>
    <s v="Consultoria Meta"/>
    <s v="PROD180"/>
    <x v="148"/>
    <n v="54"/>
    <n v="450"/>
    <n v="24300"/>
    <x v="1"/>
    <x v="1"/>
    <s v="N/A"/>
  </r>
  <r>
    <s v="T0603"/>
    <x v="255"/>
    <x v="0"/>
    <s v="CLI010"/>
    <s v="Hotel Estrela"/>
    <s v="PROD022"/>
    <x v="12"/>
    <n v="1"/>
    <n v="980"/>
    <n v="980"/>
    <x v="0"/>
    <x v="2"/>
    <s v="N/A"/>
  </r>
  <r>
    <s v="T0604"/>
    <x v="256"/>
    <x v="1"/>
    <s v="FORN012"/>
    <s v="Fast Delivery"/>
    <s v="PROD100"/>
    <x v="100"/>
    <n v="29"/>
    <n v="180"/>
    <n v="5220"/>
    <x v="1"/>
    <x v="1"/>
    <d v="2025-10-30T00:00:00"/>
  </r>
  <r>
    <s v="T0605"/>
    <x v="256"/>
    <x v="1"/>
    <s v="FORN011"/>
    <s v="Energy Solution"/>
    <s v="PROD113"/>
    <x v="13"/>
    <n v="60"/>
    <n v="950"/>
    <n v="57000"/>
    <x v="2"/>
    <x v="1"/>
    <d v="2025-11-02T00:00:00"/>
  </r>
  <r>
    <s v="T0606"/>
    <x v="256"/>
    <x v="0"/>
    <s v="CLI003"/>
    <s v="Hospital Vida"/>
    <s v="PROD025"/>
    <x v="80"/>
    <n v="16"/>
    <n v="85"/>
    <n v="1360"/>
    <x v="2"/>
    <x v="0"/>
    <s v="N/A"/>
  </r>
  <r>
    <s v="T0607"/>
    <x v="256"/>
    <x v="0"/>
    <s v="CLI003"/>
    <s v="Hospital Vida"/>
    <s v="PROD035"/>
    <x v="85"/>
    <n v="29"/>
    <n v="600"/>
    <n v="17400"/>
    <x v="1"/>
    <x v="1"/>
    <s v="N/A"/>
  </r>
  <r>
    <s v="T0608"/>
    <x v="256"/>
    <x v="1"/>
    <s v="FORN006"/>
    <s v="Papelaria Central"/>
    <s v="PROD059"/>
    <x v="58"/>
    <n v="91"/>
    <n v="12"/>
    <n v="1092"/>
    <x v="0"/>
    <x v="1"/>
    <d v="2025-10-31T00:00:00"/>
  </r>
  <r>
    <s v="T0609"/>
    <x v="256"/>
    <x v="1"/>
    <s v="FORN006"/>
    <s v="Papelaria Central"/>
    <s v="PROD128"/>
    <x v="24"/>
    <n v="87"/>
    <n v="18"/>
    <n v="1566"/>
    <x v="1"/>
    <x v="1"/>
    <d v="2025-10-31T00:00:00"/>
  </r>
  <r>
    <s v="T0610"/>
    <x v="257"/>
    <x v="0"/>
    <s v="CLI009"/>
    <s v="Farma Plus"/>
    <s v="PROD199"/>
    <x v="36"/>
    <n v="72"/>
    <n v="25"/>
    <n v="1800"/>
    <x v="1"/>
    <x v="0"/>
    <s v="N/A"/>
  </r>
  <r>
    <s v="T0611"/>
    <x v="257"/>
    <x v="1"/>
    <s v="FORN018"/>
    <s v="Link Direct"/>
    <s v="PROD023"/>
    <x v="111"/>
    <n v="150"/>
    <n v="150"/>
    <n v="22500"/>
    <x v="2"/>
    <x v="2"/>
    <d v="2025-11-01T00:00:00"/>
  </r>
  <r>
    <s v="T0612"/>
    <x v="257"/>
    <x v="0"/>
    <s v="CLI012"/>
    <s v="Padaria Real"/>
    <s v="PROD080"/>
    <x v="142"/>
    <n v="90"/>
    <n v="110"/>
    <n v="9900"/>
    <x v="1"/>
    <x v="2"/>
    <s v="N/A"/>
  </r>
  <r>
    <s v="T0613"/>
    <x v="257"/>
    <x v="0"/>
    <s v="CLI001"/>
    <s v="Industrias Alpha"/>
    <s v="PROD142"/>
    <x v="75"/>
    <n v="15"/>
    <n v="85"/>
    <n v="1275"/>
    <x v="2"/>
    <x v="2"/>
    <s v="N/A"/>
  </r>
  <r>
    <s v="T0614"/>
    <x v="257"/>
    <x v="1"/>
    <s v="FORN018"/>
    <s v="Link Direct"/>
    <s v="PROD138"/>
    <x v="192"/>
    <n v="8"/>
    <n v="850"/>
    <n v="6800"/>
    <x v="1"/>
    <x v="1"/>
    <d v="2025-11-01T00:00:00"/>
  </r>
  <r>
    <s v="T0615"/>
    <x v="258"/>
    <x v="0"/>
    <s v="CLI006"/>
    <s v="Construtora Forte"/>
    <s v="PROD035"/>
    <x v="85"/>
    <n v="3"/>
    <n v="600"/>
    <n v="1800"/>
    <x v="0"/>
    <x v="0"/>
    <s v="N/A"/>
  </r>
  <r>
    <s v="T0616"/>
    <x v="258"/>
    <x v="1"/>
    <s v="FORN002"/>
    <s v="SoftPrime Licencas"/>
    <s v="PROD054"/>
    <x v="52"/>
    <n v="231"/>
    <n v="8"/>
    <n v="1848"/>
    <x v="2"/>
    <x v="1"/>
    <d v="2025-11-01T00:00:00"/>
  </r>
  <r>
    <s v="T0617"/>
    <x v="258"/>
    <x v="0"/>
    <s v="CLI011"/>
    <s v="Academia Fit"/>
    <s v="PROD148"/>
    <x v="153"/>
    <n v="173"/>
    <n v="35"/>
    <n v="6055"/>
    <x v="2"/>
    <x v="1"/>
    <s v="N/A"/>
  </r>
  <r>
    <s v="T0618"/>
    <x v="259"/>
    <x v="0"/>
    <s v="CLI014"/>
    <s v="Moda Fashion"/>
    <s v="PROD062"/>
    <x v="60"/>
    <n v="39"/>
    <n v="4.5"/>
    <n v="175.5"/>
    <x v="0"/>
    <x v="2"/>
    <s v="N/A"/>
  </r>
  <r>
    <s v="T0619"/>
    <x v="259"/>
    <x v="0"/>
    <s v="CLI006"/>
    <s v="Construtora Forte"/>
    <s v="PROD105"/>
    <x v="177"/>
    <n v="52"/>
    <n v="2600"/>
    <n v="135200"/>
    <x v="0"/>
    <x v="2"/>
    <s v="N/A"/>
  </r>
  <r>
    <s v="T0620"/>
    <x v="259"/>
    <x v="1"/>
    <s v="FORN012"/>
    <s v="Fast Delivery"/>
    <s v="PROD127"/>
    <x v="193"/>
    <n v="71"/>
    <n v="350"/>
    <n v="24850"/>
    <x v="1"/>
    <x v="1"/>
    <d v="2025-11-02T00:00:00"/>
  </r>
  <r>
    <s v="T0621"/>
    <x v="259"/>
    <x v="0"/>
    <s v="CLI006"/>
    <s v="Construtora Forte"/>
    <s v="PROD170"/>
    <x v="66"/>
    <n v="72"/>
    <n v="55"/>
    <n v="3960"/>
    <x v="2"/>
    <x v="2"/>
    <s v="N/A"/>
  </r>
  <r>
    <s v="T0622"/>
    <x v="260"/>
    <x v="1"/>
    <s v="FORN016"/>
    <s v="Steel Case"/>
    <s v="PROD062"/>
    <x v="60"/>
    <n v="7"/>
    <n v="4.5"/>
    <n v="31.5"/>
    <x v="0"/>
    <x v="2"/>
    <d v="2025-11-14T00:00:00"/>
  </r>
  <r>
    <s v="T0623"/>
    <x v="260"/>
    <x v="0"/>
    <s v="CLI015"/>
    <s v="Pet Shop Amigo"/>
    <s v="PROD181"/>
    <x v="99"/>
    <n v="20"/>
    <n v="6500"/>
    <n v="130000"/>
    <x v="2"/>
    <x v="2"/>
    <s v="N/A"/>
  </r>
  <r>
    <s v="T0624"/>
    <x v="261"/>
    <x v="0"/>
    <s v="CLI018"/>
    <s v="Clinica Sorriso"/>
    <s v="PROD071"/>
    <x v="120"/>
    <n v="67"/>
    <n v="8.5"/>
    <n v="569.5"/>
    <x v="1"/>
    <x v="2"/>
    <s v="N/A"/>
  </r>
  <r>
    <s v="T0625"/>
    <x v="261"/>
    <x v="1"/>
    <s v="FORN018"/>
    <s v="Link Direct"/>
    <s v="PROD138"/>
    <x v="192"/>
    <n v="61"/>
    <n v="850"/>
    <n v="51850"/>
    <x v="0"/>
    <x v="0"/>
    <d v="2025-11-05T00:00:00"/>
  </r>
  <r>
    <s v="T0626"/>
    <x v="261"/>
    <x v="0"/>
    <s v="CLI011"/>
    <s v="Academia Fit"/>
    <s v="PROD017"/>
    <x v="156"/>
    <n v="4"/>
    <n v="130"/>
    <n v="520"/>
    <x v="2"/>
    <x v="2"/>
    <s v="N/A"/>
  </r>
  <r>
    <s v="T0627"/>
    <x v="262"/>
    <x v="1"/>
    <s v="FORN012"/>
    <s v="Fast Delivery"/>
    <s v="PROD099"/>
    <x v="139"/>
    <n v="90"/>
    <n v="750"/>
    <n v="67500"/>
    <x v="2"/>
    <x v="0"/>
    <d v="2025-11-05T00:00:00"/>
  </r>
  <r>
    <s v="T0628"/>
    <x v="262"/>
    <x v="0"/>
    <s v="CLI016"/>
    <s v="Auto Pecas Jato"/>
    <s v="PROD042"/>
    <x v="5"/>
    <n v="12"/>
    <n v="890"/>
    <n v="10680"/>
    <x v="1"/>
    <x v="1"/>
    <s v="N/A"/>
  </r>
  <r>
    <s v="T0629"/>
    <x v="262"/>
    <x v="1"/>
    <s v="FORN012"/>
    <s v="Fast Delivery"/>
    <s v="PROD047"/>
    <x v="30"/>
    <n v="9"/>
    <n v="420"/>
    <n v="3780"/>
    <x v="1"/>
    <x v="1"/>
    <d v="2025-11-05T00:00:00"/>
  </r>
  <r>
    <s v="T0630"/>
    <x v="262"/>
    <x v="0"/>
    <s v="CLI009"/>
    <s v="Farma Plus"/>
    <s v="PROD031"/>
    <x v="92"/>
    <n v="2"/>
    <n v="1450"/>
    <n v="2900"/>
    <x v="2"/>
    <x v="0"/>
    <s v="N/A"/>
  </r>
  <r>
    <s v="T0631"/>
    <x v="262"/>
    <x v="1"/>
    <s v="FORN002"/>
    <s v="SoftPrime Licencas"/>
    <s v="PROD069"/>
    <x v="124"/>
    <n v="125"/>
    <n v="15"/>
    <n v="1875"/>
    <x v="2"/>
    <x v="0"/>
    <d v="2025-11-05T00:00:00"/>
  </r>
  <r>
    <s v="T0632"/>
    <x v="263"/>
    <x v="0"/>
    <s v="CLI008"/>
    <s v="Supermercado Sol"/>
    <s v="PROD105"/>
    <x v="177"/>
    <n v="2"/>
    <n v="2600"/>
    <n v="5200"/>
    <x v="0"/>
    <x v="0"/>
    <s v="N/A"/>
  </r>
  <r>
    <s v="T0633"/>
    <x v="263"/>
    <x v="0"/>
    <s v="CLI001"/>
    <s v="Industrias Alpha"/>
    <s v="PROD160"/>
    <x v="77"/>
    <n v="220"/>
    <n v="9"/>
    <n v="1980"/>
    <x v="0"/>
    <x v="2"/>
    <s v="N/A"/>
  </r>
  <r>
    <s v="T0634"/>
    <x v="263"/>
    <x v="0"/>
    <s v="CLI019"/>
    <s v="Consultoria Meta"/>
    <s v="PROD177"/>
    <x v="67"/>
    <n v="6"/>
    <n v="280"/>
    <n v="1680"/>
    <x v="0"/>
    <x v="0"/>
    <s v="N/A"/>
  </r>
  <r>
    <s v="T0635"/>
    <x v="263"/>
    <x v="0"/>
    <s v="CLI012"/>
    <s v="Padaria Real"/>
    <s v="PROD047"/>
    <x v="30"/>
    <n v="12"/>
    <n v="420"/>
    <n v="5040"/>
    <x v="0"/>
    <x v="1"/>
    <s v="N/A"/>
  </r>
  <r>
    <s v="T0636"/>
    <x v="264"/>
    <x v="1"/>
    <s v="FORN002"/>
    <s v="SoftPrime Licencas"/>
    <s v="PROD042"/>
    <x v="5"/>
    <n v="26"/>
    <n v="890"/>
    <n v="23140"/>
    <x v="0"/>
    <x v="2"/>
    <d v="2025-11-07T00:00:00"/>
  </r>
  <r>
    <s v="T0637"/>
    <x v="264"/>
    <x v="0"/>
    <s v="CLI004"/>
    <s v="Escola Saber"/>
    <s v="PROD054"/>
    <x v="52"/>
    <n v="105"/>
    <n v="8"/>
    <n v="840"/>
    <x v="2"/>
    <x v="2"/>
    <s v="N/A"/>
  </r>
  <r>
    <s v="T0638"/>
    <x v="265"/>
    <x v="0"/>
    <s v="CLI015"/>
    <s v="Pet Shop Amigo"/>
    <s v="PROD195"/>
    <x v="20"/>
    <n v="11"/>
    <n v="120"/>
    <n v="1320"/>
    <x v="2"/>
    <x v="2"/>
    <s v="N/A"/>
  </r>
  <r>
    <s v="T0639"/>
    <x v="265"/>
    <x v="1"/>
    <s v="FORN013"/>
    <s v="Network Master"/>
    <s v="PROD070"/>
    <x v="32"/>
    <n v="72"/>
    <n v="7.5"/>
    <n v="540"/>
    <x v="1"/>
    <x v="0"/>
    <d v="2025-11-13T00:00:00"/>
  </r>
  <r>
    <s v="T0640"/>
    <x v="266"/>
    <x v="0"/>
    <s v="CLI009"/>
    <s v="Farma Plus"/>
    <s v="PROD180"/>
    <x v="148"/>
    <n v="2"/>
    <n v="450"/>
    <n v="900"/>
    <x v="0"/>
    <x v="2"/>
    <s v="N/A"/>
  </r>
  <r>
    <s v="T0641"/>
    <x v="266"/>
    <x v="0"/>
    <s v="CLI016"/>
    <s v="Auto Pecas Jato"/>
    <s v="PROD082"/>
    <x v="129"/>
    <n v="57"/>
    <n v="1800"/>
    <n v="102600"/>
    <x v="1"/>
    <x v="2"/>
    <s v="N/A"/>
  </r>
  <r>
    <s v="T0642"/>
    <x v="266"/>
    <x v="0"/>
    <s v="CLI007"/>
    <s v="Tecno Logica"/>
    <s v="PROD062"/>
    <x v="60"/>
    <n v="99"/>
    <n v="4.5"/>
    <n v="445.5"/>
    <x v="2"/>
    <x v="1"/>
    <s v="N/A"/>
  </r>
  <r>
    <s v="T0643"/>
    <x v="267"/>
    <x v="0"/>
    <s v="CLI018"/>
    <s v="Clinica Sorriso"/>
    <s v="PROD002"/>
    <x v="10"/>
    <n v="6"/>
    <n v="350"/>
    <n v="2100"/>
    <x v="0"/>
    <x v="0"/>
    <s v="N/A"/>
  </r>
  <r>
    <s v="T0644"/>
    <x v="267"/>
    <x v="0"/>
    <s v="CLI017"/>
    <s v="Restaurante Sabor"/>
    <s v="PROD176"/>
    <x v="76"/>
    <n v="117"/>
    <n v="35"/>
    <n v="4095"/>
    <x v="1"/>
    <x v="0"/>
    <s v="N/A"/>
  </r>
  <r>
    <s v="T0645"/>
    <x v="267"/>
    <x v="1"/>
    <s v="FORN011"/>
    <s v="Energy Solution"/>
    <s v="PROD170"/>
    <x v="66"/>
    <n v="53"/>
    <n v="55"/>
    <n v="2915"/>
    <x v="0"/>
    <x v="2"/>
    <d v="2025-11-13T00:00:00"/>
  </r>
  <r>
    <s v="T0646"/>
    <x v="268"/>
    <x v="1"/>
    <s v="FORN012"/>
    <s v="Fast Delivery"/>
    <s v="PROD028"/>
    <x v="175"/>
    <n v="6"/>
    <n v="25"/>
    <n v="150"/>
    <x v="2"/>
    <x v="2"/>
    <d v="2025-11-11T00:00:00"/>
  </r>
  <r>
    <s v="T0647"/>
    <x v="268"/>
    <x v="1"/>
    <s v="FORN004"/>
    <s v="LogiBrasil Transportes"/>
    <s v="PROD197"/>
    <x v="114"/>
    <n v="22"/>
    <n v="280"/>
    <n v="6160"/>
    <x v="1"/>
    <x v="2"/>
    <d v="2025-11-13T00:00:00"/>
  </r>
  <r>
    <s v="T0648"/>
    <x v="268"/>
    <x v="0"/>
    <s v="CLI006"/>
    <s v="Construtora Forte"/>
    <s v="PROD172"/>
    <x v="155"/>
    <n v="60"/>
    <n v="120"/>
    <n v="7200"/>
    <x v="2"/>
    <x v="0"/>
    <s v="N/A"/>
  </r>
  <r>
    <s v="T0649"/>
    <x v="269"/>
    <x v="0"/>
    <s v="CLI004"/>
    <s v="Escola Saber"/>
    <s v="PROD134"/>
    <x v="122"/>
    <n v="46"/>
    <n v="155"/>
    <n v="7130"/>
    <x v="1"/>
    <x v="1"/>
    <s v="N/A"/>
  </r>
  <r>
    <s v="T0650"/>
    <x v="269"/>
    <x v="0"/>
    <s v="CLI003"/>
    <s v="Hospital Vida"/>
    <s v="PROD108"/>
    <x v="29"/>
    <n v="7"/>
    <n v="1200"/>
    <n v="8400"/>
    <x v="2"/>
    <x v="0"/>
    <s v="N/A"/>
  </r>
  <r>
    <s v="T0651"/>
    <x v="269"/>
    <x v="0"/>
    <s v="CLI003"/>
    <s v="Hospital Vida"/>
    <s v="PROD064"/>
    <x v="48"/>
    <n v="73"/>
    <n v="14"/>
    <n v="1022"/>
    <x v="0"/>
    <x v="0"/>
    <s v="N/A"/>
  </r>
  <r>
    <s v="T0652"/>
    <x v="269"/>
    <x v="0"/>
    <s v="CLI001"/>
    <s v="Industrias Alpha"/>
    <s v="PROD189"/>
    <x v="17"/>
    <n v="2"/>
    <n v="22000"/>
    <n v="44000"/>
    <x v="0"/>
    <x v="0"/>
    <s v="N/A"/>
  </r>
  <r>
    <s v="T0653"/>
    <x v="269"/>
    <x v="0"/>
    <s v="CLI006"/>
    <s v="Construtora Forte"/>
    <s v="PROD092"/>
    <x v="43"/>
    <n v="1"/>
    <n v="950"/>
    <n v="950"/>
    <x v="2"/>
    <x v="0"/>
    <s v="N/A"/>
  </r>
  <r>
    <s v="T0654"/>
    <x v="269"/>
    <x v="0"/>
    <s v="CLI020"/>
    <s v="Oficina Mecanica"/>
    <s v="PROD173"/>
    <x v="94"/>
    <n v="59"/>
    <n v="15"/>
    <n v="885"/>
    <x v="2"/>
    <x v="1"/>
    <s v="N/A"/>
  </r>
  <r>
    <s v="T0655"/>
    <x v="270"/>
    <x v="1"/>
    <s v="FORN012"/>
    <s v="Fast Delivery"/>
    <s v="PROD047"/>
    <x v="30"/>
    <n v="33"/>
    <n v="420"/>
    <n v="13860"/>
    <x v="2"/>
    <x v="0"/>
    <d v="2025-11-14T00:00:00"/>
  </r>
  <r>
    <s v="T0656"/>
    <x v="270"/>
    <x v="0"/>
    <s v="CLI015"/>
    <s v="Pet Shop Amigo"/>
    <s v="PROD128"/>
    <x v="24"/>
    <n v="42"/>
    <n v="18"/>
    <n v="756"/>
    <x v="2"/>
    <x v="0"/>
    <s v="N/A"/>
  </r>
  <r>
    <s v="T0657"/>
    <x v="271"/>
    <x v="1"/>
    <s v="FORN001"/>
    <s v="TechFlow Solucoes"/>
    <s v="PROD086"/>
    <x v="96"/>
    <n v="44"/>
    <n v="320"/>
    <n v="14080"/>
    <x v="0"/>
    <x v="0"/>
    <d v="2025-11-19T00:00:00"/>
  </r>
  <r>
    <s v="T0658"/>
    <x v="271"/>
    <x v="0"/>
    <s v="CLI003"/>
    <s v="Hospital Vida"/>
    <s v="PROD088"/>
    <x v="180"/>
    <n v="58"/>
    <n v="65"/>
    <n v="3770"/>
    <x v="2"/>
    <x v="1"/>
    <s v="N/A"/>
  </r>
  <r>
    <s v="T0659"/>
    <x v="271"/>
    <x v="0"/>
    <s v="CLI001"/>
    <s v="Industrias Alpha"/>
    <s v="PROD116"/>
    <x v="147"/>
    <n v="12"/>
    <n v="85"/>
    <n v="1020"/>
    <x v="1"/>
    <x v="0"/>
    <s v="N/A"/>
  </r>
  <r>
    <s v="T0660"/>
    <x v="271"/>
    <x v="1"/>
    <s v="FORN004"/>
    <s v="LogiBrasil Transportes"/>
    <s v="PROD010"/>
    <x v="4"/>
    <n v="33"/>
    <n v="320"/>
    <n v="10560"/>
    <x v="2"/>
    <x v="1"/>
    <d v="2025-11-17T00:00:00"/>
  </r>
  <r>
    <s v="T0661"/>
    <x v="271"/>
    <x v="0"/>
    <s v="CLI003"/>
    <s v="Hospital Vida"/>
    <s v="PROD046"/>
    <x v="106"/>
    <n v="11"/>
    <n v="15"/>
    <n v="165"/>
    <x v="1"/>
    <x v="2"/>
    <s v="N/A"/>
  </r>
  <r>
    <s v="T0662"/>
    <x v="272"/>
    <x v="0"/>
    <s v="CLI001"/>
    <s v="Industrias Alpha"/>
    <s v="PROD165"/>
    <x v="162"/>
    <n v="69"/>
    <n v="18"/>
    <n v="1242"/>
    <x v="2"/>
    <x v="1"/>
    <s v="N/A"/>
  </r>
  <r>
    <s v="T0663"/>
    <x v="272"/>
    <x v="1"/>
    <s v="FORN016"/>
    <s v="Steel Case"/>
    <s v="PROD075"/>
    <x v="158"/>
    <n v="48"/>
    <n v="38"/>
    <n v="1824"/>
    <x v="2"/>
    <x v="0"/>
    <d v="2025-11-27T00:00:00"/>
  </r>
  <r>
    <s v="T0664"/>
    <x v="272"/>
    <x v="0"/>
    <s v="CLI004"/>
    <s v="Escola Saber"/>
    <s v="PROD118"/>
    <x v="152"/>
    <n v="19"/>
    <n v="55"/>
    <n v="1045"/>
    <x v="2"/>
    <x v="0"/>
    <s v="N/A"/>
  </r>
  <r>
    <s v="T0665"/>
    <x v="273"/>
    <x v="0"/>
    <s v="CLI001"/>
    <s v="Industrias Alpha"/>
    <s v="PROD166"/>
    <x v="82"/>
    <n v="83"/>
    <n v="12"/>
    <n v="996"/>
    <x v="0"/>
    <x v="0"/>
    <s v="N/A"/>
  </r>
  <r>
    <s v="T0666"/>
    <x v="273"/>
    <x v="0"/>
    <s v="CLI008"/>
    <s v="Supermercado Sol"/>
    <s v="PROD192"/>
    <x v="47"/>
    <n v="2"/>
    <n v="85"/>
    <n v="170"/>
    <x v="0"/>
    <x v="2"/>
    <s v="N/A"/>
  </r>
  <r>
    <s v="T0667"/>
    <x v="273"/>
    <x v="0"/>
    <s v="CLI009"/>
    <s v="Farma Plus"/>
    <s v="PROD034"/>
    <x v="143"/>
    <n v="26"/>
    <n v="4200"/>
    <n v="109200"/>
    <x v="2"/>
    <x v="0"/>
    <s v="N/A"/>
  </r>
  <r>
    <s v="T0668"/>
    <x v="274"/>
    <x v="1"/>
    <s v="FORN007"/>
    <s v="CyberSecurity SA"/>
    <s v="PROD166"/>
    <x v="82"/>
    <n v="65"/>
    <n v="12"/>
    <n v="780"/>
    <x v="2"/>
    <x v="1"/>
    <d v="2025-11-24T00:00:00"/>
  </r>
  <r>
    <s v="T0669"/>
    <x v="274"/>
    <x v="1"/>
    <s v="FORN012"/>
    <s v="Fast Delivery"/>
    <s v="PROD094"/>
    <x v="159"/>
    <n v="84"/>
    <n v="220"/>
    <n v="18480"/>
    <x v="2"/>
    <x v="1"/>
    <d v="2025-11-18T00:00:00"/>
  </r>
  <r>
    <s v="T0670"/>
    <x v="275"/>
    <x v="1"/>
    <s v="FORN001"/>
    <s v="TechFlow Solucoes"/>
    <s v="PROD017"/>
    <x v="156"/>
    <n v="83"/>
    <n v="130"/>
    <n v="10790"/>
    <x v="2"/>
    <x v="1"/>
    <d v="2025-11-23T00:00:00"/>
  </r>
  <r>
    <s v="T0671"/>
    <x v="275"/>
    <x v="0"/>
    <s v="CLI017"/>
    <s v="Restaurante Sabor"/>
    <s v="PROD173"/>
    <x v="94"/>
    <n v="42"/>
    <n v="15"/>
    <n v="630"/>
    <x v="0"/>
    <x v="2"/>
    <s v="N/A"/>
  </r>
  <r>
    <s v="T0672"/>
    <x v="275"/>
    <x v="0"/>
    <s v="CLI014"/>
    <s v="Moda Fashion"/>
    <s v="PROD005"/>
    <x v="2"/>
    <n v="10"/>
    <n v="3500"/>
    <n v="35000"/>
    <x v="1"/>
    <x v="2"/>
    <s v="N/A"/>
  </r>
  <r>
    <s v="T0673"/>
    <x v="275"/>
    <x v="1"/>
    <s v="FORN016"/>
    <s v="Steel Case"/>
    <s v="PROD179"/>
    <x v="194"/>
    <n v="49"/>
    <n v="1800"/>
    <n v="88200"/>
    <x v="1"/>
    <x v="1"/>
    <d v="2025-11-30T00:00:00"/>
  </r>
  <r>
    <s v="T0674"/>
    <x v="276"/>
    <x v="0"/>
    <s v="CLI012"/>
    <s v="Padaria Real"/>
    <s v="PROD029"/>
    <x v="133"/>
    <n v="109"/>
    <n v="320"/>
    <n v="34880"/>
    <x v="0"/>
    <x v="1"/>
    <s v="N/A"/>
  </r>
  <r>
    <s v="T0675"/>
    <x v="276"/>
    <x v="0"/>
    <s v="CLI020"/>
    <s v="Oficina Mecanica"/>
    <s v="PROD003"/>
    <x v="3"/>
    <n v="1"/>
    <n v="120"/>
    <n v="120"/>
    <x v="2"/>
    <x v="1"/>
    <s v="N/A"/>
  </r>
  <r>
    <s v="T0676"/>
    <x v="276"/>
    <x v="1"/>
    <s v="FORN011"/>
    <s v="Energy Solution"/>
    <s v="PROD176"/>
    <x v="76"/>
    <n v="38"/>
    <n v="35"/>
    <n v="1330"/>
    <x v="1"/>
    <x v="2"/>
    <d v="2025-11-23T00:00:00"/>
  </r>
  <r>
    <s v="T0677"/>
    <x v="276"/>
    <x v="1"/>
    <s v="FORN010"/>
    <s v="DataCenter Pro"/>
    <s v="PROD200"/>
    <x v="130"/>
    <n v="52"/>
    <n v="1200"/>
    <n v="62400"/>
    <x v="0"/>
    <x v="2"/>
    <d v="2025-11-21T00:00:00"/>
  </r>
  <r>
    <s v="T0678"/>
    <x v="276"/>
    <x v="0"/>
    <s v="CLI004"/>
    <s v="Escola Saber"/>
    <s v="PROD032"/>
    <x v="46"/>
    <n v="42"/>
    <n v="110"/>
    <n v="4620"/>
    <x v="1"/>
    <x v="0"/>
    <s v="N/A"/>
  </r>
  <r>
    <s v="T0679"/>
    <x v="277"/>
    <x v="1"/>
    <s v="FORN005"/>
    <s v="CloudNexus Data"/>
    <s v="PROD083"/>
    <x v="73"/>
    <n v="87"/>
    <n v="1450"/>
    <n v="126150"/>
    <x v="0"/>
    <x v="1"/>
    <d v="2025-11-21T00:00:00"/>
  </r>
  <r>
    <s v="T0680"/>
    <x v="277"/>
    <x v="0"/>
    <s v="CLI008"/>
    <s v="Supermercado Sol"/>
    <s v="PROD059"/>
    <x v="58"/>
    <n v="153"/>
    <n v="12"/>
    <n v="1836"/>
    <x v="0"/>
    <x v="1"/>
    <s v="N/A"/>
  </r>
  <r>
    <s v="T0681"/>
    <x v="278"/>
    <x v="0"/>
    <s v="CLI018"/>
    <s v="Clinica Sorriso"/>
    <s v="PROD139"/>
    <x v="61"/>
    <n v="12"/>
    <n v="480"/>
    <n v="5760"/>
    <x v="1"/>
    <x v="0"/>
    <s v="N/A"/>
  </r>
  <r>
    <s v="T0682"/>
    <x v="279"/>
    <x v="0"/>
    <s v="CLI011"/>
    <s v="Academia Fit"/>
    <s v="PROD039"/>
    <x v="166"/>
    <n v="11"/>
    <n v="40"/>
    <n v="440"/>
    <x v="0"/>
    <x v="1"/>
    <s v="N/A"/>
  </r>
  <r>
    <s v="T0683"/>
    <x v="279"/>
    <x v="0"/>
    <s v="CLI006"/>
    <s v="Construtora Forte"/>
    <s v="PROD163"/>
    <x v="186"/>
    <n v="102"/>
    <n v="18"/>
    <n v="1836"/>
    <x v="0"/>
    <x v="1"/>
    <s v="N/A"/>
  </r>
  <r>
    <s v="T0684"/>
    <x v="280"/>
    <x v="0"/>
    <s v="CLI002"/>
    <s v="Varejo Total"/>
    <s v="PROD054"/>
    <x v="52"/>
    <n v="49"/>
    <n v="8"/>
    <n v="392"/>
    <x v="1"/>
    <x v="0"/>
    <s v="N/A"/>
  </r>
  <r>
    <s v="T0685"/>
    <x v="280"/>
    <x v="0"/>
    <s v="CLI004"/>
    <s v="Escola Saber"/>
    <s v="PROD199"/>
    <x v="36"/>
    <n v="31"/>
    <n v="25"/>
    <n v="775"/>
    <x v="1"/>
    <x v="0"/>
    <s v="N/A"/>
  </r>
  <r>
    <s v="T0686"/>
    <x v="281"/>
    <x v="0"/>
    <s v="CLI013"/>
    <s v="Advocacia Associada"/>
    <s v="PROD078"/>
    <x v="28"/>
    <n v="18"/>
    <n v="15"/>
    <n v="270"/>
    <x v="2"/>
    <x v="1"/>
    <s v="N/A"/>
  </r>
  <r>
    <s v="T0687"/>
    <x v="282"/>
    <x v="1"/>
    <s v="FORN020"/>
    <s v="AI Systems"/>
    <s v="PROD161"/>
    <x v="187"/>
    <n v="57"/>
    <n v="15"/>
    <n v="855"/>
    <x v="1"/>
    <x v="0"/>
    <d v="2025-11-27T00:00:00"/>
  </r>
  <r>
    <s v="T0688"/>
    <x v="282"/>
    <x v="0"/>
    <s v="CLI013"/>
    <s v="Advocacia Associada"/>
    <s v="PROD113"/>
    <x v="13"/>
    <n v="21"/>
    <n v="950"/>
    <n v="19950"/>
    <x v="1"/>
    <x v="2"/>
    <s v="N/A"/>
  </r>
  <r>
    <s v="T0689"/>
    <x v="283"/>
    <x v="0"/>
    <s v="CLI011"/>
    <s v="Academia Fit"/>
    <s v="PROD147"/>
    <x v="41"/>
    <n v="13"/>
    <n v="65"/>
    <n v="845"/>
    <x v="0"/>
    <x v="1"/>
    <s v="N/A"/>
  </r>
  <r>
    <s v="T0690"/>
    <x v="283"/>
    <x v="1"/>
    <s v="FORN009"/>
    <s v="Movel Tech"/>
    <s v="PROD185"/>
    <x v="34"/>
    <n v="44"/>
    <n v="380"/>
    <n v="16720"/>
    <x v="0"/>
    <x v="0"/>
    <d v="2025-12-07T00:00:00"/>
  </r>
  <r>
    <s v="T0691"/>
    <x v="284"/>
    <x v="0"/>
    <s v="CLI001"/>
    <s v="Industrias Alpha"/>
    <s v="PROD155"/>
    <x v="95"/>
    <n v="10"/>
    <n v="12"/>
    <n v="120"/>
    <x v="0"/>
    <x v="2"/>
    <s v="N/A"/>
  </r>
  <r>
    <s v="T0692"/>
    <x v="284"/>
    <x v="1"/>
    <s v="FORN015"/>
    <s v="Print Smart"/>
    <s v="PROD134"/>
    <x v="122"/>
    <n v="47"/>
    <n v="155"/>
    <n v="7285"/>
    <x v="2"/>
    <x v="0"/>
    <d v="2025-12-01T00:00:00"/>
  </r>
  <r>
    <s v="T0693"/>
    <x v="284"/>
    <x v="1"/>
    <s v="FORN011"/>
    <s v="Energy Solution"/>
    <s v="PROD057"/>
    <x v="27"/>
    <n v="245"/>
    <n v="1.5"/>
    <n v="367.5"/>
    <x v="0"/>
    <x v="2"/>
    <d v="2025-12-02T00:00:00"/>
  </r>
  <r>
    <s v="T0694"/>
    <x v="285"/>
    <x v="0"/>
    <s v="CLI002"/>
    <s v="Varejo Total"/>
    <s v="PROD050"/>
    <x v="167"/>
    <n v="10"/>
    <n v="230"/>
    <n v="2300"/>
    <x v="0"/>
    <x v="2"/>
    <s v="N/A"/>
  </r>
  <r>
    <s v="T0695"/>
    <x v="285"/>
    <x v="1"/>
    <s v="FORN014"/>
    <s v="DevTools Inc"/>
    <s v="PROD068"/>
    <x v="157"/>
    <n v="65"/>
    <n v="180"/>
    <n v="11700"/>
    <x v="2"/>
    <x v="0"/>
    <d v="2025-11-30T00:00:00"/>
  </r>
  <r>
    <s v="T0696"/>
    <x v="286"/>
    <x v="0"/>
    <s v="CLI017"/>
    <s v="Restaurante Sabor"/>
    <s v="PROD063"/>
    <x v="116"/>
    <n v="15"/>
    <n v="18"/>
    <n v="270"/>
    <x v="0"/>
    <x v="0"/>
    <s v="N/A"/>
  </r>
  <r>
    <s v="T0697"/>
    <x v="286"/>
    <x v="1"/>
    <s v="FORN006"/>
    <s v="Papelaria Central"/>
    <s v="PROD133"/>
    <x v="125"/>
    <n v="9"/>
    <n v="110"/>
    <n v="990"/>
    <x v="0"/>
    <x v="0"/>
    <d v="2025-12-03T00:00:00"/>
  </r>
  <r>
    <s v="T0698"/>
    <x v="287"/>
    <x v="1"/>
    <s v="FORN002"/>
    <s v="SoftPrime Licencas"/>
    <s v="PROD188"/>
    <x v="86"/>
    <n v="69"/>
    <n v="1550"/>
    <n v="106950"/>
    <x v="0"/>
    <x v="0"/>
    <d v="2025-12-03T00:00:00"/>
  </r>
  <r>
    <s v="T0699"/>
    <x v="287"/>
    <x v="0"/>
    <s v="CLI011"/>
    <s v="Academia Fit"/>
    <s v="PROD070"/>
    <x v="32"/>
    <n v="20"/>
    <n v="7.5"/>
    <n v="150"/>
    <x v="1"/>
    <x v="0"/>
    <s v="N/A"/>
  </r>
  <r>
    <s v="T0700"/>
    <x v="287"/>
    <x v="1"/>
    <s v="FORN018"/>
    <s v="Link Direct"/>
    <s v="PROD091"/>
    <x v="53"/>
    <n v="41"/>
    <n v="28000"/>
    <n v="1148000"/>
    <x v="2"/>
    <x v="0"/>
    <d v="2025-12-04T00:00:00"/>
  </r>
  <r>
    <s v="T0701"/>
    <x v="287"/>
    <x v="0"/>
    <s v="CLI002"/>
    <s v="Varejo Total"/>
    <s v="PROD052"/>
    <x v="35"/>
    <n v="16"/>
    <n v="6.5"/>
    <n v="104"/>
    <x v="0"/>
    <x v="1"/>
    <s v="N/A"/>
  </r>
  <r>
    <s v="T0702"/>
    <x v="287"/>
    <x v="0"/>
    <s v="CLI004"/>
    <s v="Escola Saber"/>
    <s v="PROD020"/>
    <x v="113"/>
    <n v="26"/>
    <n v="400"/>
    <n v="10400"/>
    <x v="2"/>
    <x v="2"/>
    <s v="N/A"/>
  </r>
  <r>
    <s v="T0703"/>
    <x v="288"/>
    <x v="0"/>
    <s v="CLI006"/>
    <s v="Construtora Forte"/>
    <s v="PROD142"/>
    <x v="75"/>
    <n v="86"/>
    <n v="85"/>
    <n v="7310"/>
    <x v="0"/>
    <x v="0"/>
    <s v="N/A"/>
  </r>
  <r>
    <s v="T0704"/>
    <x v="288"/>
    <x v="1"/>
    <s v="FORN018"/>
    <s v="Link Direct"/>
    <s v="PROD029"/>
    <x v="133"/>
    <n v="40"/>
    <n v="320"/>
    <n v="12800"/>
    <x v="0"/>
    <x v="0"/>
    <d v="2025-12-05T00:00:00"/>
  </r>
  <r>
    <s v="T0705"/>
    <x v="289"/>
    <x v="0"/>
    <s v="CLI008"/>
    <s v="Supermercado Sol"/>
    <s v="PROD101"/>
    <x v="163"/>
    <n v="23"/>
    <n v="2200"/>
    <n v="50600"/>
    <x v="1"/>
    <x v="0"/>
    <s v="N/A"/>
  </r>
  <r>
    <s v="T0706"/>
    <x v="289"/>
    <x v="0"/>
    <s v="CLI001"/>
    <s v="Industrias Alpha"/>
    <s v="PROD197"/>
    <x v="114"/>
    <n v="30"/>
    <n v="280"/>
    <n v="8400"/>
    <x v="0"/>
    <x v="2"/>
    <s v="N/A"/>
  </r>
  <r>
    <s v="T0707"/>
    <x v="289"/>
    <x v="1"/>
    <s v="FORN004"/>
    <s v="LogiBrasil Transportes"/>
    <s v="PROD022"/>
    <x v="12"/>
    <n v="168"/>
    <n v="980"/>
    <n v="164640"/>
    <x v="1"/>
    <x v="2"/>
    <d v="2025-12-07T00:00:00"/>
  </r>
  <r>
    <s v="T0708"/>
    <x v="290"/>
    <x v="1"/>
    <s v="FORN012"/>
    <s v="Fast Delivery"/>
    <s v="PROD067"/>
    <x v="182"/>
    <n v="117"/>
    <n v="4.5"/>
    <n v="526.5"/>
    <x v="1"/>
    <x v="1"/>
    <d v="2025-12-06T00:00:00"/>
  </r>
  <r>
    <s v="T0709"/>
    <x v="291"/>
    <x v="0"/>
    <s v="CLI018"/>
    <s v="Clinica Sorriso"/>
    <s v="PROD168"/>
    <x v="83"/>
    <n v="2"/>
    <n v="45"/>
    <n v="90"/>
    <x v="0"/>
    <x v="2"/>
    <s v="N/A"/>
  </r>
  <r>
    <s v="T0710"/>
    <x v="291"/>
    <x v="0"/>
    <s v="CLI011"/>
    <s v="Academia Fit"/>
    <s v="PROD099"/>
    <x v="139"/>
    <n v="1"/>
    <n v="750"/>
    <n v="750"/>
    <x v="1"/>
    <x v="1"/>
    <s v="N/A"/>
  </r>
  <r>
    <s v="T0711"/>
    <x v="292"/>
    <x v="0"/>
    <s v="CLI016"/>
    <s v="Auto Pecas Jato"/>
    <s v="PROD116"/>
    <x v="147"/>
    <n v="84"/>
    <n v="85"/>
    <n v="7140"/>
    <x v="0"/>
    <x v="1"/>
    <s v="N/A"/>
  </r>
  <r>
    <s v="T0712"/>
    <x v="293"/>
    <x v="1"/>
    <s v="FORN003"/>
    <s v="Office Express"/>
    <s v="PROD169"/>
    <x v="195"/>
    <n v="181"/>
    <n v="12"/>
    <n v="2172"/>
    <x v="0"/>
    <x v="0"/>
    <d v="2025-12-10T00:00:00"/>
  </r>
  <r>
    <s v="T0713"/>
    <x v="294"/>
    <x v="1"/>
    <s v="FORN015"/>
    <s v="Print Smart"/>
    <s v="PROD080"/>
    <x v="142"/>
    <n v="80"/>
    <n v="110"/>
    <n v="8800"/>
    <x v="2"/>
    <x v="0"/>
    <d v="2025-12-13T00:00:00"/>
  </r>
  <r>
    <s v="T0714"/>
    <x v="295"/>
    <x v="1"/>
    <s v="FORN017"/>
    <s v="BitSafe"/>
    <s v="PROD139"/>
    <x v="61"/>
    <n v="61"/>
    <n v="480"/>
    <n v="29280"/>
    <x v="2"/>
    <x v="0"/>
    <d v="2025-12-14T00:00:00"/>
  </r>
  <r>
    <s v="T0715"/>
    <x v="295"/>
    <x v="0"/>
    <s v="CLI006"/>
    <s v="Construtora Forte"/>
    <s v="PROD147"/>
    <x v="41"/>
    <n v="21"/>
    <n v="65"/>
    <n v="1365"/>
    <x v="0"/>
    <x v="1"/>
    <s v="N/A"/>
  </r>
  <r>
    <s v="T0716"/>
    <x v="295"/>
    <x v="0"/>
    <s v="CLI008"/>
    <s v="Supermercado Sol"/>
    <s v="PROD043"/>
    <x v="189"/>
    <n v="109"/>
    <n v="22"/>
    <n v="2398"/>
    <x v="0"/>
    <x v="1"/>
    <s v="N/A"/>
  </r>
  <r>
    <s v="T0717"/>
    <x v="295"/>
    <x v="0"/>
    <s v="CLI018"/>
    <s v="Clinica Sorriso"/>
    <s v="PROD019"/>
    <x v="184"/>
    <n v="50"/>
    <n v="220"/>
    <n v="11000"/>
    <x v="2"/>
    <x v="1"/>
    <s v="N/A"/>
  </r>
  <r>
    <s v="T0718"/>
    <x v="295"/>
    <x v="1"/>
    <s v="FORN016"/>
    <s v="Steel Case"/>
    <s v="PROD162"/>
    <x v="173"/>
    <n v="79"/>
    <n v="55"/>
    <n v="4345"/>
    <x v="2"/>
    <x v="0"/>
    <d v="2025-12-23T00:00:00"/>
  </r>
  <r>
    <s v="T0719"/>
    <x v="296"/>
    <x v="1"/>
    <s v="FORN003"/>
    <s v="Office Express"/>
    <s v="PROD107"/>
    <x v="79"/>
    <n v="39"/>
    <n v="680"/>
    <n v="26520"/>
    <x v="1"/>
    <x v="0"/>
    <d v="2025-12-14T00:00:00"/>
  </r>
  <r>
    <s v="T0720"/>
    <x v="296"/>
    <x v="0"/>
    <s v="CLI020"/>
    <s v="Oficina Mecanica"/>
    <s v="PROD191"/>
    <x v="190"/>
    <n v="7"/>
    <n v="145"/>
    <n v="1015"/>
    <x v="2"/>
    <x v="2"/>
    <s v="N/A"/>
  </r>
  <r>
    <s v="T0721"/>
    <x v="297"/>
    <x v="0"/>
    <s v="CLI007"/>
    <s v="Tecno Logica"/>
    <s v="PROD015"/>
    <x v="97"/>
    <n v="27"/>
    <n v="1200"/>
    <n v="32400"/>
    <x v="1"/>
    <x v="1"/>
    <s v="N/A"/>
  </r>
  <r>
    <s v="T0722"/>
    <x v="297"/>
    <x v="1"/>
    <s v="FORN013"/>
    <s v="Network Master"/>
    <s v="PROD101"/>
    <x v="163"/>
    <n v="31"/>
    <n v="2200"/>
    <n v="68200"/>
    <x v="0"/>
    <x v="0"/>
    <d v="2025-12-19T00:00:00"/>
  </r>
  <r>
    <s v="T0723"/>
    <x v="298"/>
    <x v="0"/>
    <s v="CLI004"/>
    <s v="Escola Saber"/>
    <s v="PROD034"/>
    <x v="143"/>
    <n v="5"/>
    <n v="4200"/>
    <n v="21000"/>
    <x v="1"/>
    <x v="0"/>
    <s v="N/A"/>
  </r>
  <r>
    <s v="T0724"/>
    <x v="298"/>
    <x v="1"/>
    <s v="FORN005"/>
    <s v="CloudNexus Data"/>
    <s v="PROD032"/>
    <x v="46"/>
    <n v="50"/>
    <n v="110"/>
    <n v="5500"/>
    <x v="1"/>
    <x v="2"/>
    <d v="2025-12-15T00:00:00"/>
  </r>
  <r>
    <s v="T0725"/>
    <x v="298"/>
    <x v="0"/>
    <s v="CLI010"/>
    <s v="Hotel Estrela"/>
    <s v="PROD158"/>
    <x v="121"/>
    <n v="75"/>
    <n v="7"/>
    <n v="525"/>
    <x v="0"/>
    <x v="1"/>
    <s v="N/A"/>
  </r>
  <r>
    <s v="T0726"/>
    <x v="298"/>
    <x v="1"/>
    <s v="FORN018"/>
    <s v="Link Direct"/>
    <s v="PROD068"/>
    <x v="157"/>
    <n v="68"/>
    <n v="180"/>
    <n v="12240"/>
    <x v="2"/>
    <x v="2"/>
    <d v="2025-12-16T00:00:00"/>
  </r>
  <r>
    <s v="T0727"/>
    <x v="299"/>
    <x v="0"/>
    <s v="CLI003"/>
    <s v="Hospital Vida"/>
    <s v="PROD103"/>
    <x v="51"/>
    <n v="4"/>
    <n v="240"/>
    <n v="960"/>
    <x v="0"/>
    <x v="2"/>
    <s v="N/A"/>
  </r>
  <r>
    <s v="T0728"/>
    <x v="300"/>
    <x v="1"/>
    <s v="FORN012"/>
    <s v="Fast Delivery"/>
    <s v="PROD186"/>
    <x v="126"/>
    <n v="35"/>
    <n v="6800"/>
    <n v="238000"/>
    <x v="2"/>
    <x v="0"/>
    <d v="2025-12-17T00:00:00"/>
  </r>
  <r>
    <s v="T0729"/>
    <x v="301"/>
    <x v="0"/>
    <s v="CLI004"/>
    <s v="Escola Saber"/>
    <s v="PROD174"/>
    <x v="45"/>
    <n v="1"/>
    <n v="65"/>
    <n v="65"/>
    <x v="1"/>
    <x v="2"/>
    <s v="N/A"/>
  </r>
  <r>
    <s v="T0730"/>
    <x v="301"/>
    <x v="0"/>
    <s v="CLI014"/>
    <s v="Moda Fashion"/>
    <s v="PROD015"/>
    <x v="97"/>
    <n v="5"/>
    <n v="1200"/>
    <n v="6000"/>
    <x v="0"/>
    <x v="1"/>
    <s v="N/A"/>
  </r>
  <r>
    <s v="T0731"/>
    <x v="302"/>
    <x v="1"/>
    <s v="FORN001"/>
    <s v="TechFlow Solucoes"/>
    <s v="PROD072"/>
    <x v="196"/>
    <n v="61"/>
    <n v="45"/>
    <n v="2745"/>
    <x v="1"/>
    <x v="0"/>
    <d v="2025-12-23T00:00:00"/>
  </r>
  <r>
    <s v="T0732"/>
    <x v="303"/>
    <x v="1"/>
    <s v="FORN001"/>
    <s v="TechFlow Solucoes"/>
    <s v="PROD180"/>
    <x v="148"/>
    <n v="10"/>
    <n v="450"/>
    <n v="4500"/>
    <x v="0"/>
    <x v="2"/>
    <d v="2025-12-24T00:00:00"/>
  </r>
  <r>
    <s v="T0733"/>
    <x v="303"/>
    <x v="0"/>
    <s v="CLI018"/>
    <s v="Clinica Sorriso"/>
    <s v="PROD109"/>
    <x v="56"/>
    <n v="26"/>
    <n v="75"/>
    <n v="1950"/>
    <x v="0"/>
    <x v="0"/>
    <s v="N/A"/>
  </r>
  <r>
    <s v="T0734"/>
    <x v="304"/>
    <x v="1"/>
    <s v="FORN005"/>
    <s v="CloudNexus Data"/>
    <s v="PROD154"/>
    <x v="81"/>
    <n v="81"/>
    <n v="18"/>
    <n v="1458"/>
    <x v="1"/>
    <x v="0"/>
    <d v="2025-12-21T00:00:00"/>
  </r>
  <r>
    <s v="T0735"/>
    <x v="304"/>
    <x v="1"/>
    <s v="FORN018"/>
    <s v="Link Direct"/>
    <s v="PROD092"/>
    <x v="43"/>
    <n v="96"/>
    <n v="950"/>
    <n v="91200"/>
    <x v="1"/>
    <x v="2"/>
    <d v="2025-12-22T00:00:00"/>
  </r>
  <r>
    <s v="T0736"/>
    <x v="304"/>
    <x v="0"/>
    <s v="CLI009"/>
    <s v="Farma Plus"/>
    <s v="PROD188"/>
    <x v="86"/>
    <n v="99"/>
    <n v="1550"/>
    <n v="153450"/>
    <x v="2"/>
    <x v="2"/>
    <s v="N/A"/>
  </r>
  <r>
    <s v="T0737"/>
    <x v="304"/>
    <x v="0"/>
    <s v="CLI015"/>
    <s v="Pet Shop Amigo"/>
    <s v="PROD027"/>
    <x v="91"/>
    <n v="5"/>
    <n v="75"/>
    <n v="375"/>
    <x v="1"/>
    <x v="0"/>
    <s v="N/A"/>
  </r>
  <r>
    <s v="T0738"/>
    <x v="305"/>
    <x v="1"/>
    <s v="FORN006"/>
    <s v="Papelaria Central"/>
    <s v="PROD195"/>
    <x v="20"/>
    <n v="76"/>
    <n v="120"/>
    <n v="9120"/>
    <x v="2"/>
    <x v="1"/>
    <d v="2025-12-23T00:00:00"/>
  </r>
  <r>
    <s v="T0739"/>
    <x v="305"/>
    <x v="0"/>
    <s v="CLI018"/>
    <s v="Clinica Sorriso"/>
    <s v="PROD099"/>
    <x v="139"/>
    <n v="81"/>
    <n v="750"/>
    <n v="60750"/>
    <x v="2"/>
    <x v="1"/>
    <s v="N/A"/>
  </r>
  <r>
    <s v="T0740"/>
    <x v="306"/>
    <x v="1"/>
    <s v="FORN010"/>
    <s v="DataCenter Pro"/>
    <s v="PROD168"/>
    <x v="83"/>
    <n v="120"/>
    <n v="45"/>
    <n v="5400"/>
    <x v="1"/>
    <x v="0"/>
    <d v="2025-12-24T00:00:00"/>
  </r>
  <r>
    <s v="T0741"/>
    <x v="306"/>
    <x v="1"/>
    <s v="FORN010"/>
    <s v="DataCenter Pro"/>
    <s v="PROD046"/>
    <x v="106"/>
    <n v="123"/>
    <n v="15"/>
    <n v="1845"/>
    <x v="1"/>
    <x v="1"/>
    <d v="2025-12-24T00:00:00"/>
  </r>
  <r>
    <s v="T0742"/>
    <x v="307"/>
    <x v="0"/>
    <s v="CLI002"/>
    <s v="Varejo Total"/>
    <s v="PROD168"/>
    <x v="83"/>
    <n v="102"/>
    <n v="45"/>
    <n v="4590"/>
    <x v="1"/>
    <x v="1"/>
    <s v="N/A"/>
  </r>
  <r>
    <s v="T0743"/>
    <x v="308"/>
    <x v="0"/>
    <s v="CLI010"/>
    <s v="Hotel Estrela"/>
    <s v="PROD176"/>
    <x v="76"/>
    <n v="12"/>
    <n v="35"/>
    <n v="420"/>
    <x v="0"/>
    <x v="2"/>
    <s v="N/A"/>
  </r>
  <r>
    <s v="T0744"/>
    <x v="308"/>
    <x v="1"/>
    <s v="FORN011"/>
    <s v="Energy Solution"/>
    <s v="PROD026"/>
    <x v="71"/>
    <n v="122"/>
    <n v="85"/>
    <n v="10370"/>
    <x v="2"/>
    <x v="0"/>
    <d v="2025-12-28T00:00:00"/>
  </r>
  <r>
    <s v="T0745"/>
    <x v="309"/>
    <x v="0"/>
    <s v="CLI012"/>
    <s v="Padaria Real"/>
    <s v="PROD048"/>
    <x v="74"/>
    <n v="79"/>
    <n v="55"/>
    <n v="4345"/>
    <x v="0"/>
    <x v="1"/>
    <s v="N/A"/>
  </r>
  <r>
    <s v="T0746"/>
    <x v="309"/>
    <x v="0"/>
    <s v="CLI018"/>
    <s v="Clinica Sorriso"/>
    <s v="PROD071"/>
    <x v="120"/>
    <n v="164"/>
    <n v="8.5"/>
    <n v="1394"/>
    <x v="1"/>
    <x v="0"/>
    <s v="N/A"/>
  </r>
  <r>
    <s v="T0747"/>
    <x v="309"/>
    <x v="0"/>
    <s v="CLI018"/>
    <s v="Clinica Sorriso"/>
    <s v="PROD194"/>
    <x v="105"/>
    <n v="82"/>
    <n v="35"/>
    <n v="2870"/>
    <x v="1"/>
    <x v="1"/>
    <s v="N/A"/>
  </r>
  <r>
    <s v="T0748"/>
    <x v="309"/>
    <x v="1"/>
    <s v="FORN007"/>
    <s v="CyberSecurity SA"/>
    <s v="PROD014"/>
    <x v="40"/>
    <n v="6"/>
    <n v="650"/>
    <n v="3900"/>
    <x v="2"/>
    <x v="0"/>
    <d v="2026-01-01T00:00:00"/>
  </r>
  <r>
    <s v="T0749"/>
    <x v="310"/>
    <x v="0"/>
    <s v="CLI010"/>
    <s v="Hotel Estrela"/>
    <s v="PROD152"/>
    <x v="87"/>
    <n v="2"/>
    <n v="12"/>
    <n v="24"/>
    <x v="2"/>
    <x v="1"/>
    <s v="N/A"/>
  </r>
  <r>
    <s v="T0750"/>
    <x v="311"/>
    <x v="1"/>
    <s v="FORN003"/>
    <s v="Office Express"/>
    <s v="PROD136"/>
    <x v="42"/>
    <n v="43"/>
    <n v="350"/>
    <n v="15050"/>
    <x v="0"/>
    <x v="0"/>
    <d v="2025-12-29T00:00:00"/>
  </r>
  <r>
    <s v="T0751"/>
    <x v="312"/>
    <x v="0"/>
    <s v="CLI012"/>
    <s v="Padaria Real"/>
    <s v="PROD195"/>
    <x v="20"/>
    <n v="51"/>
    <n v="120"/>
    <n v="6120"/>
    <x v="1"/>
    <x v="1"/>
    <s v="N/A"/>
  </r>
  <r>
    <s v="T0752"/>
    <x v="312"/>
    <x v="1"/>
    <s v="FORN002"/>
    <s v="SoftPrime Licencas"/>
    <s v="PROD090"/>
    <x v="31"/>
    <n v="93"/>
    <n v="140"/>
    <n v="13020"/>
    <x v="2"/>
    <x v="2"/>
    <d v="2025-12-29T00:00:00"/>
  </r>
  <r>
    <s v="T0753"/>
    <x v="312"/>
    <x v="1"/>
    <s v="FORN008"/>
    <s v="Global Chips"/>
    <s v="PROD130"/>
    <x v="149"/>
    <n v="95"/>
    <n v="380"/>
    <n v="36100"/>
    <x v="2"/>
    <x v="2"/>
    <d v="2026-01-12T00:00:00"/>
  </r>
  <r>
    <s v="T0754"/>
    <x v="313"/>
    <x v="1"/>
    <s v="FORN007"/>
    <s v="CyberSecurity SA"/>
    <s v="PROD143"/>
    <x v="131"/>
    <n v="78"/>
    <n v="35"/>
    <n v="2730"/>
    <x v="0"/>
    <x v="0"/>
    <d v="2026-01-05T00:00:00"/>
  </r>
  <r>
    <s v="T0755"/>
    <x v="314"/>
    <x v="0"/>
    <s v="CLI013"/>
    <s v="Advocacia Associada"/>
    <s v="PROD037"/>
    <x v="183"/>
    <n v="4"/>
    <n v="1400"/>
    <n v="5600"/>
    <x v="1"/>
    <x v="2"/>
    <s v="N/A"/>
  </r>
  <r>
    <s v="T0756"/>
    <x v="314"/>
    <x v="0"/>
    <s v="CLI006"/>
    <s v="Construtora Forte"/>
    <s v="PROD176"/>
    <x v="76"/>
    <n v="9"/>
    <n v="35"/>
    <n v="315"/>
    <x v="0"/>
    <x v="1"/>
    <s v="N/A"/>
  </r>
  <r>
    <s v="T0757"/>
    <x v="315"/>
    <x v="1"/>
    <s v="FORN009"/>
    <s v="Movel Tech"/>
    <s v="PROD152"/>
    <x v="87"/>
    <n v="10"/>
    <n v="12"/>
    <n v="120"/>
    <x v="2"/>
    <x v="1"/>
    <d v="2026-01-10T00:00:00"/>
  </r>
  <r>
    <s v="T0758"/>
    <x v="315"/>
    <x v="0"/>
    <s v="CLI008"/>
    <s v="Supermercado Sol"/>
    <s v="PROD004"/>
    <x v="64"/>
    <n v="1"/>
    <n v="1200"/>
    <n v="1200"/>
    <x v="1"/>
    <x v="1"/>
    <s v="N/A"/>
  </r>
  <r>
    <s v="T0759"/>
    <x v="315"/>
    <x v="0"/>
    <s v="CLI019"/>
    <s v="Consultoria Meta"/>
    <s v="PROD142"/>
    <x v="75"/>
    <n v="12"/>
    <n v="85"/>
    <n v="1020"/>
    <x v="1"/>
    <x v="2"/>
    <s v="N/A"/>
  </r>
  <r>
    <s v="T0760"/>
    <x v="316"/>
    <x v="0"/>
    <s v="CLI011"/>
    <s v="Academia Fit"/>
    <s v="PROD128"/>
    <x v="24"/>
    <n v="23"/>
    <n v="18"/>
    <n v="414"/>
    <x v="0"/>
    <x v="2"/>
    <s v="N/A"/>
  </r>
  <r>
    <s v="T0761"/>
    <x v="316"/>
    <x v="0"/>
    <s v="CLI003"/>
    <s v="Hospital Vida"/>
    <s v="PROD026"/>
    <x v="71"/>
    <n v="80"/>
    <n v="85"/>
    <n v="6800"/>
    <x v="1"/>
    <x v="2"/>
    <s v="N/A"/>
  </r>
  <r>
    <s v="T0762"/>
    <x v="316"/>
    <x v="1"/>
    <s v="FORN010"/>
    <s v="DataCenter Pro"/>
    <s v="PROD001"/>
    <x v="1"/>
    <n v="44"/>
    <n v="850"/>
    <n v="37400"/>
    <x v="2"/>
    <x v="1"/>
    <d v="2026-01-03T00:00:00"/>
  </r>
  <r>
    <s v="T0763"/>
    <x v="316"/>
    <x v="1"/>
    <s v="FORN006"/>
    <s v="Papelaria Central"/>
    <s v="PROD151"/>
    <x v="135"/>
    <n v="105"/>
    <n v="45"/>
    <n v="4725"/>
    <x v="2"/>
    <x v="0"/>
    <d v="2026-01-03T00:00:00"/>
  </r>
  <r>
    <s v="T0764"/>
    <x v="317"/>
    <x v="0"/>
    <s v="CLI007"/>
    <s v="Tecno Logica"/>
    <s v="PROD006"/>
    <x v="0"/>
    <n v="1"/>
    <n v="5500"/>
    <n v="5500"/>
    <x v="1"/>
    <x v="1"/>
    <s v="N/A"/>
  </r>
  <r>
    <s v="T0765"/>
    <x v="318"/>
    <x v="0"/>
    <s v="CLI015"/>
    <s v="Pet Shop Amigo"/>
    <s v="PROD058"/>
    <x v="33"/>
    <n v="104"/>
    <n v="1.5"/>
    <n v="156"/>
    <x v="0"/>
    <x v="0"/>
    <s v="N/A"/>
  </r>
  <r>
    <s v="T0766"/>
    <x v="318"/>
    <x v="0"/>
    <s v="CLI007"/>
    <s v="Tecno Logica"/>
    <s v="PROD126"/>
    <x v="146"/>
    <n v="2"/>
    <n v="280"/>
    <n v="560"/>
    <x v="0"/>
    <x v="1"/>
    <s v="N/A"/>
  </r>
  <r>
    <s v="T0767"/>
    <x v="318"/>
    <x v="0"/>
    <s v="CLI010"/>
    <s v="Hotel Estrela"/>
    <s v="PROD129"/>
    <x v="144"/>
    <n v="2"/>
    <n v="650"/>
    <n v="1300"/>
    <x v="0"/>
    <x v="0"/>
    <s v="N/A"/>
  </r>
  <r>
    <s v="T0768"/>
    <x v="319"/>
    <x v="0"/>
    <s v="CLI019"/>
    <s v="Consultoria Meta"/>
    <s v="PROD127"/>
    <x v="193"/>
    <n v="45"/>
    <n v="350"/>
    <n v="15750"/>
    <x v="2"/>
    <x v="2"/>
    <s v="N/A"/>
  </r>
  <r>
    <s v="T0769"/>
    <x v="319"/>
    <x v="0"/>
    <s v="CLI011"/>
    <s v="Academia Fit"/>
    <s v="PROD123"/>
    <x v="165"/>
    <n v="93"/>
    <n v="950"/>
    <n v="88350"/>
    <x v="2"/>
    <x v="0"/>
    <s v="N/A"/>
  </r>
  <r>
    <s v="T0770"/>
    <x v="319"/>
    <x v="1"/>
    <s v="FORN005"/>
    <s v="CloudNexus Data"/>
    <s v="PROD062"/>
    <x v="60"/>
    <n v="47"/>
    <n v="4.5"/>
    <n v="211.5"/>
    <x v="2"/>
    <x v="0"/>
    <d v="2026-01-05T00:00:00"/>
  </r>
  <r>
    <s v="T0771"/>
    <x v="320"/>
    <x v="1"/>
    <s v="FORN020"/>
    <s v="AI Systems"/>
    <s v="PROD145"/>
    <x v="197"/>
    <n v="26"/>
    <n v="25"/>
    <n v="650"/>
    <x v="0"/>
    <x v="0"/>
    <d v="2026-01-06T00:00:00"/>
  </r>
  <r>
    <s v="T0772"/>
    <x v="320"/>
    <x v="0"/>
    <s v="CLI008"/>
    <s v="Supermercado Sol"/>
    <s v="PROD147"/>
    <x v="41"/>
    <n v="12"/>
    <n v="65"/>
    <n v="780"/>
    <x v="1"/>
    <x v="0"/>
    <s v="N/A"/>
  </r>
  <r>
    <s v="T0773"/>
    <x v="321"/>
    <x v="1"/>
    <s v="FORN003"/>
    <s v="Office Express"/>
    <s v="PROD178"/>
    <x v="172"/>
    <n v="80"/>
    <n v="850"/>
    <n v="68000"/>
    <x v="0"/>
    <x v="2"/>
    <d v="2026-01-08T00:00:00"/>
  </r>
  <r>
    <s v="T0774"/>
    <x v="321"/>
    <x v="0"/>
    <s v="CLI004"/>
    <s v="Escola Saber"/>
    <s v="PROD012"/>
    <x v="8"/>
    <n v="5"/>
    <n v="450"/>
    <n v="2250"/>
    <x v="0"/>
    <x v="2"/>
    <s v="N/A"/>
  </r>
  <r>
    <s v="T0775"/>
    <x v="321"/>
    <x v="0"/>
    <s v="CLI019"/>
    <s v="Consultoria Meta"/>
    <s v="PROD140"/>
    <x v="72"/>
    <n v="73"/>
    <n v="45"/>
    <n v="3285"/>
    <x v="0"/>
    <x v="1"/>
    <s v="N/A"/>
  </r>
  <r>
    <s v="T0776"/>
    <x v="322"/>
    <x v="0"/>
    <s v="CLI007"/>
    <s v="Tecno Logica"/>
    <s v="PROD112"/>
    <x v="127"/>
    <n v="44"/>
    <n v="1100"/>
    <n v="48400"/>
    <x v="2"/>
    <x v="1"/>
    <s v="N/A"/>
  </r>
  <r>
    <s v="T0777"/>
    <x v="322"/>
    <x v="0"/>
    <s v="CLI016"/>
    <s v="Auto Pecas Jato"/>
    <s v="PROD023"/>
    <x v="111"/>
    <n v="149"/>
    <n v="150"/>
    <n v="22350"/>
    <x v="1"/>
    <x v="0"/>
    <s v="N/A"/>
  </r>
  <r>
    <s v="T0778"/>
    <x v="322"/>
    <x v="0"/>
    <s v="CLI009"/>
    <s v="Farma Plus"/>
    <s v="PROD162"/>
    <x v="173"/>
    <n v="65"/>
    <n v="55"/>
    <n v="3575"/>
    <x v="0"/>
    <x v="1"/>
    <s v="N/A"/>
  </r>
  <r>
    <s v="T0779"/>
    <x v="322"/>
    <x v="1"/>
    <s v="FORN011"/>
    <s v="Energy Solution"/>
    <s v="PROD187"/>
    <x v="198"/>
    <n v="26"/>
    <n v="250"/>
    <n v="6500"/>
    <x v="1"/>
    <x v="0"/>
    <d v="2026-01-11T00:00:00"/>
  </r>
  <r>
    <s v="T0780"/>
    <x v="322"/>
    <x v="1"/>
    <s v="FORN019"/>
    <s v="Mega Storage"/>
    <s v="PROD015"/>
    <x v="97"/>
    <n v="84"/>
    <n v="1200"/>
    <n v="100800"/>
    <x v="2"/>
    <x v="2"/>
    <d v="2026-01-15T00:00:00"/>
  </r>
  <r>
    <s v="T0781"/>
    <x v="323"/>
    <x v="0"/>
    <s v="CLI020"/>
    <s v="Oficina Mecanica"/>
    <s v="PROD113"/>
    <x v="13"/>
    <n v="13"/>
    <n v="950"/>
    <n v="12350"/>
    <x v="1"/>
    <x v="0"/>
    <s v="N/A"/>
  </r>
  <r>
    <s v="T0782"/>
    <x v="323"/>
    <x v="0"/>
    <s v="CLI017"/>
    <s v="Restaurante Sabor"/>
    <s v="PROD115"/>
    <x v="93"/>
    <n v="25"/>
    <n v="980"/>
    <n v="24500"/>
    <x v="1"/>
    <x v="1"/>
    <s v="N/A"/>
  </r>
  <r>
    <s v="T0783"/>
    <x v="324"/>
    <x v="0"/>
    <s v="CLI003"/>
    <s v="Hospital Vida"/>
    <s v="PROD156"/>
    <x v="171"/>
    <n v="27"/>
    <n v="85"/>
    <n v="2295"/>
    <x v="2"/>
    <x v="0"/>
    <s v="N/A"/>
  </r>
  <r>
    <s v="T0784"/>
    <x v="324"/>
    <x v="0"/>
    <s v="CLI012"/>
    <s v="Padaria Real"/>
    <s v="PROD156"/>
    <x v="171"/>
    <n v="11"/>
    <n v="85"/>
    <n v="935"/>
    <x v="1"/>
    <x v="2"/>
    <s v="N/A"/>
  </r>
  <r>
    <s v="T0785"/>
    <x v="325"/>
    <x v="0"/>
    <s v="CLI014"/>
    <s v="Moda Fashion"/>
    <s v="PROD036"/>
    <x v="161"/>
    <n v="45"/>
    <n v="2100"/>
    <n v="94500"/>
    <x v="2"/>
    <x v="2"/>
    <s v="N/A"/>
  </r>
  <r>
    <s v="T0786"/>
    <x v="325"/>
    <x v="1"/>
    <s v="FORN011"/>
    <s v="Energy Solution"/>
    <s v="PROD058"/>
    <x v="33"/>
    <n v="143"/>
    <n v="1.5"/>
    <n v="214.5"/>
    <x v="0"/>
    <x v="0"/>
    <d v="2026-01-14T00:00:00"/>
  </r>
  <r>
    <s v="T0787"/>
    <x v="325"/>
    <x v="1"/>
    <s v="FORN008"/>
    <s v="Global Chips"/>
    <s v="PROD027"/>
    <x v="91"/>
    <n v="36"/>
    <n v="75"/>
    <n v="2700"/>
    <x v="1"/>
    <x v="2"/>
    <d v="2026-01-25T00:00:00"/>
  </r>
  <r>
    <s v="T0788"/>
    <x v="325"/>
    <x v="0"/>
    <s v="CLI002"/>
    <s v="Varejo Total"/>
    <s v="PROD030"/>
    <x v="138"/>
    <n v="68"/>
    <n v="250"/>
    <n v="17000"/>
    <x v="1"/>
    <x v="2"/>
    <s v="N/A"/>
  </r>
  <r>
    <s v="T0789"/>
    <x v="325"/>
    <x v="1"/>
    <s v="FORN017"/>
    <s v="BitSafe"/>
    <s v="PROD096"/>
    <x v="59"/>
    <n v="2"/>
    <n v="650"/>
    <n v="1300"/>
    <x v="1"/>
    <x v="0"/>
    <d v="2026-01-13T00:00:00"/>
  </r>
  <r>
    <s v="T0790"/>
    <x v="325"/>
    <x v="1"/>
    <s v="FORN011"/>
    <s v="Energy Solution"/>
    <s v="PROD006"/>
    <x v="0"/>
    <n v="43"/>
    <n v="5500"/>
    <n v="236500"/>
    <x v="0"/>
    <x v="2"/>
    <d v="2026-01-14T00:00:00"/>
  </r>
  <r>
    <s v="T0791"/>
    <x v="326"/>
    <x v="1"/>
    <s v="FORN012"/>
    <s v="Fast Delivery"/>
    <s v="PROD104"/>
    <x v="49"/>
    <n v="79"/>
    <n v="185"/>
    <n v="14615"/>
    <x v="2"/>
    <x v="1"/>
    <d v="2026-01-12T00:00:00"/>
  </r>
  <r>
    <s v="T0792"/>
    <x v="326"/>
    <x v="0"/>
    <s v="CLI014"/>
    <s v="Moda Fashion"/>
    <s v="PROD112"/>
    <x v="127"/>
    <n v="10"/>
    <n v="1100"/>
    <n v="11000"/>
    <x v="1"/>
    <x v="1"/>
    <s v="N/A"/>
  </r>
  <r>
    <s v="T0793"/>
    <x v="326"/>
    <x v="0"/>
    <s v="CLI017"/>
    <s v="Restaurante Sabor"/>
    <s v="PROD119"/>
    <x v="181"/>
    <n v="34"/>
    <n v="75"/>
    <n v="2550"/>
    <x v="2"/>
    <x v="1"/>
    <s v="N/A"/>
  </r>
  <r>
    <s v="T0794"/>
    <x v="327"/>
    <x v="0"/>
    <s v="CLI016"/>
    <s v="Auto Pecas Jato"/>
    <s v="PROD035"/>
    <x v="85"/>
    <n v="3"/>
    <n v="600"/>
    <n v="1800"/>
    <x v="0"/>
    <x v="0"/>
    <s v="N/A"/>
  </r>
  <r>
    <s v="T0795"/>
    <x v="327"/>
    <x v="0"/>
    <s v="CLI018"/>
    <s v="Clinica Sorriso"/>
    <s v="PROD178"/>
    <x v="172"/>
    <n v="74"/>
    <n v="850"/>
    <n v="62900"/>
    <x v="0"/>
    <x v="1"/>
    <s v="N/A"/>
  </r>
  <r>
    <s v="T0796"/>
    <x v="328"/>
    <x v="0"/>
    <s v="CLI014"/>
    <s v="Moda Fashion"/>
    <s v="PROD116"/>
    <x v="147"/>
    <n v="20"/>
    <n v="85"/>
    <n v="1700"/>
    <x v="2"/>
    <x v="1"/>
    <s v="N/A"/>
  </r>
  <r>
    <s v="T0797"/>
    <x v="328"/>
    <x v="0"/>
    <s v="CLI018"/>
    <s v="Clinica Sorriso"/>
    <s v="PROD014"/>
    <x v="40"/>
    <n v="2"/>
    <n v="650"/>
    <n v="1300"/>
    <x v="0"/>
    <x v="0"/>
    <s v="N/A"/>
  </r>
  <r>
    <s v="T0798"/>
    <x v="329"/>
    <x v="1"/>
    <s v="FORN011"/>
    <s v="Energy Solution"/>
    <s v="PROD060"/>
    <x v="132"/>
    <n v="22"/>
    <n v="5"/>
    <n v="110"/>
    <x v="1"/>
    <x v="1"/>
    <d v="2026-01-19T00:00:00"/>
  </r>
  <r>
    <s v="T0799"/>
    <x v="329"/>
    <x v="0"/>
    <s v="CLI008"/>
    <s v="Supermercado Sol"/>
    <s v="PROD070"/>
    <x v="32"/>
    <n v="16"/>
    <n v="7.5"/>
    <n v="120"/>
    <x v="2"/>
    <x v="0"/>
    <s v="N/A"/>
  </r>
  <r>
    <s v="T0800"/>
    <x v="329"/>
    <x v="1"/>
    <s v="FORN014"/>
    <s v="DevTools Inc"/>
    <s v="PROD079"/>
    <x v="70"/>
    <n v="94"/>
    <n v="65"/>
    <n v="6110"/>
    <x v="2"/>
    <x v="1"/>
    <d v="2026-01-16T00:00:00"/>
  </r>
  <r>
    <s v="T0801"/>
    <x v="329"/>
    <x v="1"/>
    <s v="FORN008"/>
    <s v="Global Chips"/>
    <s v="PROD037"/>
    <x v="183"/>
    <n v="59"/>
    <n v="1400"/>
    <n v="82600"/>
    <x v="0"/>
    <x v="1"/>
    <d v="2026-01-30T00:00:00"/>
  </r>
  <r>
    <s v="T0802"/>
    <x v="330"/>
    <x v="0"/>
    <s v="CLI005"/>
    <s v="Banco Futuro"/>
    <s v="PROD200"/>
    <x v="130"/>
    <n v="19"/>
    <n v="1200"/>
    <n v="22800"/>
    <x v="0"/>
    <x v="2"/>
    <s v="N/A"/>
  </r>
  <r>
    <s v="T0803"/>
    <x v="330"/>
    <x v="1"/>
    <s v="FORN015"/>
    <s v="Print Smart"/>
    <s v="PROD007"/>
    <x v="18"/>
    <n v="47"/>
    <n v="1800"/>
    <n v="84600"/>
    <x v="2"/>
    <x v="0"/>
    <d v="2026-01-19T00:00:00"/>
  </r>
  <r>
    <s v="T0804"/>
    <x v="330"/>
    <x v="0"/>
    <s v="CLI006"/>
    <s v="Construtora Forte"/>
    <s v="PROD130"/>
    <x v="149"/>
    <n v="10"/>
    <n v="380"/>
    <n v="3800"/>
    <x v="0"/>
    <x v="2"/>
    <s v="N/A"/>
  </r>
  <r>
    <s v="T0805"/>
    <x v="330"/>
    <x v="1"/>
    <s v="FORN007"/>
    <s v="CyberSecurity SA"/>
    <s v="PROD041"/>
    <x v="168"/>
    <n v="73"/>
    <n v="140"/>
    <n v="10220"/>
    <x v="2"/>
    <x v="2"/>
    <d v="2026-01-23T00:00:00"/>
  </r>
  <r>
    <s v="T0806"/>
    <x v="330"/>
    <x v="1"/>
    <s v="FORN005"/>
    <s v="CloudNexus Data"/>
    <s v="PROD095"/>
    <x v="185"/>
    <n v="94"/>
    <n v="2100"/>
    <n v="197400"/>
    <x v="1"/>
    <x v="1"/>
    <d v="2026-01-17T00:00:00"/>
  </r>
  <r>
    <s v="T0807"/>
    <x v="331"/>
    <x v="1"/>
    <s v="FORN010"/>
    <s v="DataCenter Pro"/>
    <s v="PROD155"/>
    <x v="95"/>
    <n v="88"/>
    <n v="12"/>
    <n v="1056"/>
    <x v="0"/>
    <x v="1"/>
    <d v="2026-01-19T00:00:00"/>
  </r>
  <r>
    <s v="T0808"/>
    <x v="331"/>
    <x v="1"/>
    <s v="FORN001"/>
    <s v="TechFlow Solucoes"/>
    <s v="PROD192"/>
    <x v="47"/>
    <n v="87"/>
    <n v="85"/>
    <n v="7395"/>
    <x v="1"/>
    <x v="0"/>
    <d v="2026-01-22T00:00:00"/>
  </r>
  <r>
    <s v="T0809"/>
    <x v="331"/>
    <x v="0"/>
    <s v="CLI014"/>
    <s v="Moda Fashion"/>
    <s v="PROD092"/>
    <x v="43"/>
    <n v="182"/>
    <n v="950"/>
    <n v="172900"/>
    <x v="0"/>
    <x v="0"/>
    <s v="N/A"/>
  </r>
  <r>
    <s v="T0810"/>
    <x v="331"/>
    <x v="0"/>
    <s v="CLI011"/>
    <s v="Academia Fit"/>
    <s v="PROD028"/>
    <x v="175"/>
    <n v="6"/>
    <n v="25"/>
    <n v="150"/>
    <x v="1"/>
    <x v="2"/>
    <s v="N/A"/>
  </r>
  <r>
    <s v="T0811"/>
    <x v="332"/>
    <x v="0"/>
    <s v="CLI008"/>
    <s v="Supermercado Sol"/>
    <s v="PROD061"/>
    <x v="141"/>
    <n v="1"/>
    <n v="2.5"/>
    <n v="2.5"/>
    <x v="2"/>
    <x v="2"/>
    <s v="N/A"/>
  </r>
  <r>
    <s v="T0812"/>
    <x v="332"/>
    <x v="1"/>
    <s v="FORN004"/>
    <s v="LogiBrasil Transportes"/>
    <s v="PROD124"/>
    <x v="150"/>
    <n v="43"/>
    <n v="250"/>
    <n v="10750"/>
    <x v="2"/>
    <x v="1"/>
    <d v="2026-01-21T00:00:00"/>
  </r>
  <r>
    <s v="T0813"/>
    <x v="332"/>
    <x v="0"/>
    <s v="CLI012"/>
    <s v="Padaria Real"/>
    <s v="PROD156"/>
    <x v="171"/>
    <n v="42"/>
    <n v="85"/>
    <n v="3570"/>
    <x v="0"/>
    <x v="2"/>
    <s v="N/A"/>
  </r>
  <r>
    <s v="T0814"/>
    <x v="332"/>
    <x v="1"/>
    <s v="FORN012"/>
    <s v="Fast Delivery"/>
    <s v="PROD199"/>
    <x v="36"/>
    <n v="6"/>
    <n v="25"/>
    <n v="150"/>
    <x v="2"/>
    <x v="0"/>
    <d v="2026-01-19T00:00:00"/>
  </r>
  <r>
    <s v="T0815"/>
    <x v="332"/>
    <x v="1"/>
    <s v="FORN009"/>
    <s v="Movel Tech"/>
    <s v="PROD038"/>
    <x v="54"/>
    <n v="30"/>
    <n v="145"/>
    <n v="4350"/>
    <x v="1"/>
    <x v="1"/>
    <d v="2026-01-28T00:00:00"/>
  </r>
  <r>
    <s v="T0816"/>
    <x v="332"/>
    <x v="0"/>
    <s v="CLI005"/>
    <s v="Banco Futuro"/>
    <s v="PROD069"/>
    <x v="124"/>
    <n v="101"/>
    <n v="15"/>
    <n v="1515"/>
    <x v="1"/>
    <x v="0"/>
    <s v="N/A"/>
  </r>
  <r>
    <s v="T0817"/>
    <x v="333"/>
    <x v="1"/>
    <s v="FORN012"/>
    <s v="Fast Delivery"/>
    <s v="PROD122"/>
    <x v="109"/>
    <n v="87"/>
    <n v="180"/>
    <n v="15660"/>
    <x v="1"/>
    <x v="2"/>
    <d v="2026-01-20T00:00:00"/>
  </r>
  <r>
    <s v="T0818"/>
    <x v="333"/>
    <x v="0"/>
    <s v="CLI018"/>
    <s v="Clinica Sorriso"/>
    <s v="PROD187"/>
    <x v="198"/>
    <n v="8"/>
    <n v="250"/>
    <n v="2000"/>
    <x v="2"/>
    <x v="1"/>
    <s v="N/A"/>
  </r>
  <r>
    <s v="T0819"/>
    <x v="334"/>
    <x v="0"/>
    <s v="CLI002"/>
    <s v="Varejo Total"/>
    <s v="PROD118"/>
    <x v="152"/>
    <n v="24"/>
    <n v="55"/>
    <n v="1320"/>
    <x v="1"/>
    <x v="1"/>
    <s v="N/A"/>
  </r>
  <r>
    <s v="T0820"/>
    <x v="334"/>
    <x v="0"/>
    <s v="CLI004"/>
    <s v="Escola Saber"/>
    <s v="PROD075"/>
    <x v="158"/>
    <n v="47"/>
    <n v="38"/>
    <n v="1786"/>
    <x v="2"/>
    <x v="1"/>
    <s v="N/A"/>
  </r>
  <r>
    <s v="T0821"/>
    <x v="335"/>
    <x v="0"/>
    <s v="CLI018"/>
    <s v="Clinica Sorriso"/>
    <s v="PROD173"/>
    <x v="94"/>
    <n v="26"/>
    <n v="15"/>
    <n v="390"/>
    <x v="0"/>
    <x v="2"/>
    <s v="N/A"/>
  </r>
  <r>
    <s v="T0822"/>
    <x v="336"/>
    <x v="0"/>
    <s v="CLI017"/>
    <s v="Restaurante Sabor"/>
    <s v="PROD150"/>
    <x v="26"/>
    <n v="14"/>
    <n v="55"/>
    <n v="770"/>
    <x v="1"/>
    <x v="0"/>
    <s v="N/A"/>
  </r>
  <r>
    <s v="T0823"/>
    <x v="337"/>
    <x v="0"/>
    <s v="CLI012"/>
    <s v="Padaria Real"/>
    <s v="PROD089"/>
    <x v="110"/>
    <n v="72"/>
    <n v="850"/>
    <n v="61200"/>
    <x v="2"/>
    <x v="2"/>
    <s v="N/A"/>
  </r>
  <r>
    <s v="T0824"/>
    <x v="337"/>
    <x v="0"/>
    <s v="CLI007"/>
    <s v="Tecno Logica"/>
    <s v="PROD095"/>
    <x v="185"/>
    <n v="54"/>
    <n v="2100"/>
    <n v="113400"/>
    <x v="0"/>
    <x v="0"/>
    <s v="N/A"/>
  </r>
  <r>
    <s v="T0825"/>
    <x v="337"/>
    <x v="0"/>
    <s v="CLI004"/>
    <s v="Escola Saber"/>
    <s v="PROD024"/>
    <x v="104"/>
    <n v="29"/>
    <n v="2400"/>
    <n v="69600"/>
    <x v="1"/>
    <x v="2"/>
    <s v="N/A"/>
  </r>
  <r>
    <s v="T0826"/>
    <x v="338"/>
    <x v="0"/>
    <s v="CLI006"/>
    <s v="Construtora Forte"/>
    <s v="PROD063"/>
    <x v="116"/>
    <n v="1"/>
    <n v="18"/>
    <n v="18"/>
    <x v="0"/>
    <x v="2"/>
    <s v="N/A"/>
  </r>
  <r>
    <s v="T0827"/>
    <x v="338"/>
    <x v="0"/>
    <s v="CLI004"/>
    <s v="Escola Saber"/>
    <s v="PROD069"/>
    <x v="124"/>
    <n v="15"/>
    <n v="15"/>
    <n v="225"/>
    <x v="0"/>
    <x v="1"/>
    <s v="N/A"/>
  </r>
  <r>
    <s v="T0828"/>
    <x v="339"/>
    <x v="1"/>
    <s v="FORN005"/>
    <s v="CloudNexus Data"/>
    <s v="PROD194"/>
    <x v="105"/>
    <n v="71"/>
    <n v="35"/>
    <n v="2485"/>
    <x v="0"/>
    <x v="1"/>
    <d v="2026-01-28T00:00:00"/>
  </r>
  <r>
    <s v="T0829"/>
    <x v="340"/>
    <x v="0"/>
    <s v="CLI014"/>
    <s v="Moda Fashion"/>
    <s v="PROD155"/>
    <x v="95"/>
    <n v="96"/>
    <n v="12"/>
    <n v="1152"/>
    <x v="2"/>
    <x v="0"/>
    <s v="N/A"/>
  </r>
  <r>
    <s v="T0830"/>
    <x v="341"/>
    <x v="1"/>
    <s v="FORN020"/>
    <s v="AI Systems"/>
    <s v="PROD065"/>
    <x v="101"/>
    <n v="10"/>
    <n v="12"/>
    <n v="120"/>
    <x v="2"/>
    <x v="2"/>
    <d v="2026-01-30T00:00:00"/>
  </r>
  <r>
    <s v="T0831"/>
    <x v="341"/>
    <x v="0"/>
    <s v="CLI008"/>
    <s v="Supermercado Sol"/>
    <s v="PROD144"/>
    <x v="98"/>
    <n v="37"/>
    <n v="55"/>
    <n v="2035"/>
    <x v="2"/>
    <x v="0"/>
    <s v="N/A"/>
  </r>
  <r>
    <s v="T0832"/>
    <x v="341"/>
    <x v="1"/>
    <s v="FORN003"/>
    <s v="Office Express"/>
    <s v="PROD002"/>
    <x v="10"/>
    <n v="18"/>
    <n v="350"/>
    <n v="6300"/>
    <x v="2"/>
    <x v="1"/>
    <d v="2026-01-31T00:00:00"/>
  </r>
  <r>
    <s v="T0833"/>
    <x v="341"/>
    <x v="0"/>
    <s v="CLI017"/>
    <s v="Restaurante Sabor"/>
    <s v="PROD015"/>
    <x v="97"/>
    <n v="74"/>
    <n v="1200"/>
    <n v="88800"/>
    <x v="1"/>
    <x v="1"/>
    <s v="N/A"/>
  </r>
  <r>
    <s v="T0834"/>
    <x v="342"/>
    <x v="0"/>
    <s v="CLI004"/>
    <s v="Escola Saber"/>
    <s v="PROD164"/>
    <x v="178"/>
    <n v="9"/>
    <n v="65"/>
    <n v="585"/>
    <x v="0"/>
    <x v="1"/>
    <s v="N/A"/>
  </r>
  <r>
    <s v="T0835"/>
    <x v="342"/>
    <x v="0"/>
    <s v="CLI010"/>
    <s v="Hotel Estrela"/>
    <s v="PROD176"/>
    <x v="76"/>
    <n v="9"/>
    <n v="35"/>
    <n v="315"/>
    <x v="0"/>
    <x v="0"/>
    <s v="N/A"/>
  </r>
  <r>
    <s v="T0836"/>
    <x v="343"/>
    <x v="0"/>
    <s v="CLI019"/>
    <s v="Consultoria Meta"/>
    <s v="PROD190"/>
    <x v="57"/>
    <n v="32"/>
    <n v="8500"/>
    <n v="272000"/>
    <x v="2"/>
    <x v="0"/>
    <s v="N/A"/>
  </r>
  <r>
    <s v="T0837"/>
    <x v="343"/>
    <x v="0"/>
    <s v="CLI018"/>
    <s v="Clinica Sorriso"/>
    <s v="PROD192"/>
    <x v="47"/>
    <n v="25"/>
    <n v="85"/>
    <n v="2125"/>
    <x v="0"/>
    <x v="1"/>
    <s v="N/A"/>
  </r>
  <r>
    <s v="T0838"/>
    <x v="344"/>
    <x v="0"/>
    <s v="CLI013"/>
    <s v="Advocacia Associada"/>
    <s v="PROD142"/>
    <x v="75"/>
    <n v="6"/>
    <n v="85"/>
    <n v="510"/>
    <x v="1"/>
    <x v="0"/>
    <s v="N/A"/>
  </r>
  <r>
    <s v="T0839"/>
    <x v="344"/>
    <x v="0"/>
    <s v="CLI001"/>
    <s v="Industrias Alpha"/>
    <s v="PROD078"/>
    <x v="28"/>
    <n v="134"/>
    <n v="15"/>
    <n v="2010"/>
    <x v="0"/>
    <x v="1"/>
    <s v="N/A"/>
  </r>
  <r>
    <s v="T0840"/>
    <x v="344"/>
    <x v="0"/>
    <s v="CLI017"/>
    <s v="Restaurante Sabor"/>
    <s v="PROD045"/>
    <x v="154"/>
    <n v="16"/>
    <n v="280"/>
    <n v="4480"/>
    <x v="0"/>
    <x v="1"/>
    <s v="N/A"/>
  </r>
  <r>
    <s v="T0841"/>
    <x v="344"/>
    <x v="0"/>
    <s v="CLI017"/>
    <s v="Restaurante Sabor"/>
    <s v="PROD030"/>
    <x v="138"/>
    <n v="1"/>
    <n v="250"/>
    <n v="250"/>
    <x v="0"/>
    <x v="0"/>
    <s v="N/A"/>
  </r>
  <r>
    <s v="T0842"/>
    <x v="345"/>
    <x v="0"/>
    <s v="CLI003"/>
    <s v="Hospital Vida"/>
    <s v="PROD163"/>
    <x v="186"/>
    <n v="10"/>
    <n v="18"/>
    <n v="180"/>
    <x v="2"/>
    <x v="0"/>
    <s v="N/A"/>
  </r>
  <r>
    <s v="T0843"/>
    <x v="345"/>
    <x v="0"/>
    <s v="CLI016"/>
    <s v="Auto Pecas Jato"/>
    <s v="PROD071"/>
    <x v="120"/>
    <n v="30"/>
    <n v="8.5"/>
    <n v="255"/>
    <x v="2"/>
    <x v="1"/>
    <s v="N/A"/>
  </r>
  <r>
    <s v="T0844"/>
    <x v="346"/>
    <x v="0"/>
    <s v="CLI014"/>
    <s v="Moda Fashion"/>
    <s v="PROD096"/>
    <x v="59"/>
    <n v="24"/>
    <n v="650"/>
    <n v="15600"/>
    <x v="0"/>
    <x v="1"/>
    <s v="N/A"/>
  </r>
  <r>
    <s v="T0845"/>
    <x v="346"/>
    <x v="1"/>
    <s v="FORN008"/>
    <s v="Global Chips"/>
    <s v="PROD001"/>
    <x v="1"/>
    <n v="75"/>
    <n v="850"/>
    <n v="63750"/>
    <x v="1"/>
    <x v="2"/>
    <d v="2026-02-18T00:00:00"/>
  </r>
  <r>
    <s v="T0846"/>
    <x v="346"/>
    <x v="1"/>
    <s v="FORN008"/>
    <s v="Global Chips"/>
    <s v="PROD200"/>
    <x v="130"/>
    <n v="60"/>
    <n v="1200"/>
    <n v="72000"/>
    <x v="0"/>
    <x v="1"/>
    <d v="2026-02-18T00:00:00"/>
  </r>
  <r>
    <s v="T0847"/>
    <x v="347"/>
    <x v="0"/>
    <s v="CLI009"/>
    <s v="Farma Plus"/>
    <s v="PROD188"/>
    <x v="86"/>
    <n v="7"/>
    <n v="1550"/>
    <n v="10850"/>
    <x v="2"/>
    <x v="0"/>
    <s v="N/A"/>
  </r>
  <r>
    <s v="T0848"/>
    <x v="347"/>
    <x v="0"/>
    <s v="CLI001"/>
    <s v="Industrias Alpha"/>
    <s v="PROD070"/>
    <x v="32"/>
    <n v="92"/>
    <n v="7.5"/>
    <n v="690"/>
    <x v="0"/>
    <x v="0"/>
    <s v="N/A"/>
  </r>
  <r>
    <s v="T0849"/>
    <x v="348"/>
    <x v="0"/>
    <s v="CLI006"/>
    <s v="Construtora Forte"/>
    <s v="PROD164"/>
    <x v="178"/>
    <n v="5"/>
    <n v="65"/>
    <n v="325"/>
    <x v="1"/>
    <x v="2"/>
    <s v="N/A"/>
  </r>
  <r>
    <s v="T0850"/>
    <x v="348"/>
    <x v="1"/>
    <s v="FORN008"/>
    <s v="Global Chips"/>
    <s v="PROD175"/>
    <x v="23"/>
    <n v="42"/>
    <n v="110"/>
    <n v="4620"/>
    <x v="0"/>
    <x v="1"/>
    <d v="2026-02-20T00:00:00"/>
  </r>
  <r>
    <s v="T0851"/>
    <x v="349"/>
    <x v="0"/>
    <s v="CLI003"/>
    <s v="Hospital Vida"/>
    <s v="PROD105"/>
    <x v="177"/>
    <n v="2"/>
    <n v="2600"/>
    <n v="5200"/>
    <x v="2"/>
    <x v="2"/>
    <s v="N/A"/>
  </r>
  <r>
    <s v="T0852"/>
    <x v="349"/>
    <x v="0"/>
    <s v="CLI019"/>
    <s v="Consultoria Meta"/>
    <s v="PROD184"/>
    <x v="119"/>
    <n v="4"/>
    <n v="45"/>
    <n v="180"/>
    <x v="0"/>
    <x v="1"/>
    <s v="N/A"/>
  </r>
  <r>
    <s v="T0853"/>
    <x v="349"/>
    <x v="0"/>
    <s v="CLI002"/>
    <s v="Varejo Total"/>
    <s v="PROD102"/>
    <x v="78"/>
    <n v="1"/>
    <n v="290"/>
    <n v="290"/>
    <x v="2"/>
    <x v="2"/>
    <s v="N/A"/>
  </r>
  <r>
    <s v="T0854"/>
    <x v="349"/>
    <x v="0"/>
    <s v="CLI010"/>
    <s v="Hotel Estrela"/>
    <s v="PROD187"/>
    <x v="198"/>
    <n v="18"/>
    <n v="250"/>
    <n v="4500"/>
    <x v="1"/>
    <x v="1"/>
    <s v="N/A"/>
  </r>
  <r>
    <s v="T0855"/>
    <x v="349"/>
    <x v="1"/>
    <s v="FORN020"/>
    <s v="AI Systems"/>
    <s v="PROD011"/>
    <x v="115"/>
    <n v="90"/>
    <n v="280"/>
    <n v="25200"/>
    <x v="1"/>
    <x v="1"/>
    <d v="2026-02-07T00:00:00"/>
  </r>
  <r>
    <s v="T0856"/>
    <x v="350"/>
    <x v="0"/>
    <s v="CLI013"/>
    <s v="Advocacia Associada"/>
    <s v="PROD087"/>
    <x v="84"/>
    <n v="4"/>
    <n v="450"/>
    <n v="1800"/>
    <x v="0"/>
    <x v="0"/>
    <s v="N/A"/>
  </r>
  <r>
    <s v="T0857"/>
    <x v="351"/>
    <x v="0"/>
    <s v="CLI001"/>
    <s v="Industrias Alpha"/>
    <s v="PROD030"/>
    <x v="138"/>
    <n v="2"/>
    <n v="250"/>
    <n v="500"/>
    <x v="1"/>
    <x v="1"/>
    <s v="N/A"/>
  </r>
  <r>
    <s v="T0858"/>
    <x v="351"/>
    <x v="0"/>
    <s v="CLI006"/>
    <s v="Construtora Forte"/>
    <s v="PROD178"/>
    <x v="172"/>
    <n v="10"/>
    <n v="850"/>
    <n v="8500"/>
    <x v="1"/>
    <x v="1"/>
    <s v="N/A"/>
  </r>
  <r>
    <s v="T0859"/>
    <x v="352"/>
    <x v="0"/>
    <s v="CLI013"/>
    <s v="Advocacia Associada"/>
    <s v="PROD014"/>
    <x v="40"/>
    <n v="53"/>
    <n v="650"/>
    <n v="34450"/>
    <x v="1"/>
    <x v="2"/>
    <s v="N/A"/>
  </r>
  <r>
    <s v="T0860"/>
    <x v="352"/>
    <x v="0"/>
    <s v="CLI006"/>
    <s v="Construtora Forte"/>
    <s v="PROD069"/>
    <x v="124"/>
    <n v="2"/>
    <n v="15"/>
    <n v="30"/>
    <x v="2"/>
    <x v="2"/>
    <s v="N/A"/>
  </r>
  <r>
    <s v="T0861"/>
    <x v="353"/>
    <x v="1"/>
    <s v="FORN006"/>
    <s v="Papelaria Central"/>
    <s v="PROD198"/>
    <x v="160"/>
    <n v="19"/>
    <n v="55"/>
    <n v="1045"/>
    <x v="2"/>
    <x v="2"/>
    <d v="2026-02-13T00:00:00"/>
  </r>
  <r>
    <s v="T0862"/>
    <x v="353"/>
    <x v="1"/>
    <s v="FORN009"/>
    <s v="Movel Tech"/>
    <s v="PROD090"/>
    <x v="31"/>
    <n v="3"/>
    <n v="140"/>
    <n v="420"/>
    <x v="1"/>
    <x v="0"/>
    <d v="2026-02-21T00:00:00"/>
  </r>
  <r>
    <s v="T0863"/>
    <x v="354"/>
    <x v="0"/>
    <s v="CLI015"/>
    <s v="Pet Shop Amigo"/>
    <s v="PROD157"/>
    <x v="21"/>
    <n v="23"/>
    <n v="28"/>
    <n v="644"/>
    <x v="1"/>
    <x v="0"/>
    <s v="N/A"/>
  </r>
  <r>
    <s v="T0864"/>
    <x v="354"/>
    <x v="0"/>
    <s v="CLI011"/>
    <s v="Academia Fit"/>
    <s v="PROD098"/>
    <x v="63"/>
    <n v="10"/>
    <n v="1550"/>
    <n v="15500"/>
    <x v="2"/>
    <x v="1"/>
    <s v="N/A"/>
  </r>
  <r>
    <s v="T0865"/>
    <x v="355"/>
    <x v="0"/>
    <s v="CLI003"/>
    <s v="Hospital Vida"/>
    <s v="PROD147"/>
    <x v="41"/>
    <n v="1"/>
    <n v="65"/>
    <n v="65"/>
    <x v="0"/>
    <x v="2"/>
    <s v="N/A"/>
  </r>
  <r>
    <s v="T0866"/>
    <x v="355"/>
    <x v="0"/>
    <s v="CLI006"/>
    <s v="Construtora Forte"/>
    <s v="PROD009"/>
    <x v="16"/>
    <n v="64"/>
    <n v="45"/>
    <n v="2880"/>
    <x v="0"/>
    <x v="0"/>
    <s v="N/A"/>
  </r>
  <r>
    <s v="T0867"/>
    <x v="355"/>
    <x v="0"/>
    <s v="CLI013"/>
    <s v="Advocacia Associada"/>
    <s v="PROD179"/>
    <x v="194"/>
    <n v="4"/>
    <n v="1800"/>
    <n v="7200"/>
    <x v="1"/>
    <x v="0"/>
    <s v="N/A"/>
  </r>
  <r>
    <s v="T0868"/>
    <x v="356"/>
    <x v="1"/>
    <s v="FORN011"/>
    <s v="Energy Solution"/>
    <s v="PROD048"/>
    <x v="74"/>
    <n v="33"/>
    <n v="55"/>
    <n v="1815"/>
    <x v="0"/>
    <x v="1"/>
    <d v="2026-02-21T00:00:00"/>
  </r>
  <r>
    <s v="T0869"/>
    <x v="356"/>
    <x v="0"/>
    <s v="CLI006"/>
    <s v="Construtora Forte"/>
    <s v="PROD045"/>
    <x v="154"/>
    <n v="3"/>
    <n v="280"/>
    <n v="840"/>
    <x v="1"/>
    <x v="2"/>
    <s v="N/A"/>
  </r>
  <r>
    <s v="T0870"/>
    <x v="357"/>
    <x v="1"/>
    <s v="FORN018"/>
    <s v="Link Direct"/>
    <s v="PROD186"/>
    <x v="126"/>
    <n v="17"/>
    <n v="6800"/>
    <n v="115600"/>
    <x v="0"/>
    <x v="0"/>
    <d v="2026-02-20T00:00:00"/>
  </r>
  <r>
    <s v="T0871"/>
    <x v="358"/>
    <x v="1"/>
    <s v="FORN007"/>
    <s v="CyberSecurity SA"/>
    <s v="PROD184"/>
    <x v="119"/>
    <n v="31"/>
    <n v="45"/>
    <n v="1395"/>
    <x v="1"/>
    <x v="2"/>
    <d v="2026-02-26T00:00:00"/>
  </r>
  <r>
    <s v="T0872"/>
    <x v="359"/>
    <x v="0"/>
    <s v="CLI016"/>
    <s v="Auto Pecas Jato"/>
    <s v="PROD119"/>
    <x v="181"/>
    <n v="13"/>
    <n v="75"/>
    <n v="975"/>
    <x v="2"/>
    <x v="1"/>
    <s v="N/A"/>
  </r>
  <r>
    <s v="T0873"/>
    <x v="359"/>
    <x v="0"/>
    <s v="CLI001"/>
    <s v="Industrias Alpha"/>
    <s v="PROD007"/>
    <x v="18"/>
    <n v="26"/>
    <n v="1800"/>
    <n v="46800"/>
    <x v="0"/>
    <x v="0"/>
    <s v="N/A"/>
  </r>
  <r>
    <s v="T0874"/>
    <x v="359"/>
    <x v="1"/>
    <s v="FORN012"/>
    <s v="Fast Delivery"/>
    <s v="PROD051"/>
    <x v="6"/>
    <n v="150"/>
    <n v="28"/>
    <n v="4200"/>
    <x v="0"/>
    <x v="2"/>
    <d v="2026-02-21T00:00:00"/>
  </r>
  <r>
    <s v="T0875"/>
    <x v="360"/>
    <x v="1"/>
    <s v="FORN016"/>
    <s v="Steel Case"/>
    <s v="PROD136"/>
    <x v="42"/>
    <n v="80"/>
    <n v="350"/>
    <n v="28000"/>
    <x v="1"/>
    <x v="2"/>
    <d v="2026-03-07T00:00:00"/>
  </r>
  <r>
    <s v="T0876"/>
    <x v="360"/>
    <x v="1"/>
    <s v="FORN007"/>
    <s v="CyberSecurity SA"/>
    <s v="PROD051"/>
    <x v="6"/>
    <n v="23"/>
    <n v="28"/>
    <n v="644"/>
    <x v="1"/>
    <x v="2"/>
    <d v="2026-03-02T00:00:00"/>
  </r>
  <r>
    <s v="T0877"/>
    <x v="360"/>
    <x v="0"/>
    <s v="CLI009"/>
    <s v="Farma Plus"/>
    <s v="PROD157"/>
    <x v="21"/>
    <n v="81"/>
    <n v="28"/>
    <n v="2268"/>
    <x v="2"/>
    <x v="1"/>
    <s v="N/A"/>
  </r>
  <r>
    <s v="T0878"/>
    <x v="361"/>
    <x v="1"/>
    <s v="FORN017"/>
    <s v="BitSafe"/>
    <s v="PROD095"/>
    <x v="185"/>
    <n v="3"/>
    <n v="2100"/>
    <n v="6300"/>
    <x v="1"/>
    <x v="1"/>
    <d v="2026-02-27T00:00:00"/>
  </r>
  <r>
    <s v="T0879"/>
    <x v="361"/>
    <x v="1"/>
    <s v="FORN001"/>
    <s v="TechFlow Solucoes"/>
    <s v="PROD077"/>
    <x v="37"/>
    <n v="99"/>
    <n v="28"/>
    <n v="2772"/>
    <x v="2"/>
    <x v="0"/>
    <d v="2026-03-01T00:00:00"/>
  </r>
  <r>
    <s v="T0880"/>
    <x v="361"/>
    <x v="0"/>
    <s v="CLI001"/>
    <s v="Industrias Alpha"/>
    <s v="PROD028"/>
    <x v="175"/>
    <n v="76"/>
    <n v="25"/>
    <n v="1900"/>
    <x v="0"/>
    <x v="0"/>
    <s v="N/A"/>
  </r>
  <r>
    <s v="T0881"/>
    <x v="361"/>
    <x v="1"/>
    <s v="FORN005"/>
    <s v="CloudNexus Data"/>
    <s v="PROD013"/>
    <x v="88"/>
    <n v="62"/>
    <n v="180"/>
    <n v="11160"/>
    <x v="1"/>
    <x v="0"/>
    <d v="2026-02-25T00:00:00"/>
  </r>
  <r>
    <s v="T0882"/>
    <x v="362"/>
    <x v="1"/>
    <s v="FORN001"/>
    <s v="TechFlow Solucoes"/>
    <s v="PROD147"/>
    <x v="41"/>
    <n v="72"/>
    <n v="65"/>
    <n v="4680"/>
    <x v="0"/>
    <x v="0"/>
    <d v="2026-03-05T00:00:00"/>
  </r>
  <r>
    <s v="T0883"/>
    <x v="362"/>
    <x v="0"/>
    <s v="CLI003"/>
    <s v="Hospital Vida"/>
    <s v="PROD181"/>
    <x v="99"/>
    <n v="3"/>
    <n v="6500"/>
    <n v="19500"/>
    <x v="2"/>
    <x v="2"/>
    <s v="N/A"/>
  </r>
  <r>
    <s v="T0884"/>
    <x v="362"/>
    <x v="0"/>
    <s v="CLI019"/>
    <s v="Consultoria Meta"/>
    <s v="PROD137"/>
    <x v="68"/>
    <n v="64"/>
    <n v="450"/>
    <n v="28800"/>
    <x v="2"/>
    <x v="1"/>
    <s v="N/A"/>
  </r>
  <r>
    <s v="T0885"/>
    <x v="363"/>
    <x v="0"/>
    <s v="CLI003"/>
    <s v="Hospital Vida"/>
    <s v="PROD027"/>
    <x v="91"/>
    <n v="4"/>
    <n v="75"/>
    <n v="300"/>
    <x v="0"/>
    <x v="1"/>
    <s v="N/A"/>
  </r>
  <r>
    <s v="T0886"/>
    <x v="363"/>
    <x v="1"/>
    <s v="FORN013"/>
    <s v="Network Master"/>
    <s v="PROD138"/>
    <x v="192"/>
    <n v="34"/>
    <n v="850"/>
    <n v="28900"/>
    <x v="0"/>
    <x v="2"/>
    <d v="2026-03-07T00:00:00"/>
  </r>
  <r>
    <s v="T0887"/>
    <x v="363"/>
    <x v="0"/>
    <s v="CLI006"/>
    <s v="Construtora Forte"/>
    <s v="PROD143"/>
    <x v="131"/>
    <n v="52"/>
    <n v="35"/>
    <n v="1820"/>
    <x v="0"/>
    <x v="2"/>
    <s v="N/A"/>
  </r>
  <r>
    <s v="T0888"/>
    <x v="363"/>
    <x v="1"/>
    <s v="FORN001"/>
    <s v="TechFlow Solucoes"/>
    <s v="PROD193"/>
    <x v="137"/>
    <n v="13"/>
    <n v="450"/>
    <n v="5850"/>
    <x v="1"/>
    <x v="2"/>
    <d v="2026-03-06T00:00:00"/>
  </r>
  <r>
    <s v="T0889"/>
    <x v="364"/>
    <x v="0"/>
    <s v="CLI014"/>
    <s v="Moda Fashion"/>
    <s v="PROD142"/>
    <x v="75"/>
    <n v="2"/>
    <n v="85"/>
    <n v="170"/>
    <x v="1"/>
    <x v="0"/>
    <s v="N/A"/>
  </r>
  <r>
    <s v="T0890"/>
    <x v="364"/>
    <x v="0"/>
    <s v="CLI015"/>
    <s v="Pet Shop Amigo"/>
    <s v="PROD197"/>
    <x v="114"/>
    <n v="9"/>
    <n v="280"/>
    <n v="2520"/>
    <x v="1"/>
    <x v="0"/>
    <s v="N/A"/>
  </r>
  <r>
    <s v="T0891"/>
    <x v="365"/>
    <x v="1"/>
    <s v="FORN013"/>
    <s v="Network Master"/>
    <s v="PROD063"/>
    <x v="116"/>
    <n v="61"/>
    <n v="18"/>
    <n v="1098"/>
    <x v="2"/>
    <x v="0"/>
    <d v="2026-03-09T00:00:00"/>
  </r>
  <r>
    <s v="T0892"/>
    <x v="365"/>
    <x v="0"/>
    <s v="CLI008"/>
    <s v="Supermercado Sol"/>
    <s v="PROD183"/>
    <x v="145"/>
    <n v="6"/>
    <n v="1200"/>
    <n v="7200"/>
    <x v="0"/>
    <x v="2"/>
    <s v="N/A"/>
  </r>
  <r>
    <s v="T0893"/>
    <x v="366"/>
    <x v="0"/>
    <s v="CLI007"/>
    <s v="Tecno Logica"/>
    <s v="PROD015"/>
    <x v="97"/>
    <n v="1"/>
    <n v="1200"/>
    <n v="1200"/>
    <x v="2"/>
    <x v="0"/>
    <s v="N/A"/>
  </r>
  <r>
    <s v="T0894"/>
    <x v="366"/>
    <x v="1"/>
    <s v="FORN013"/>
    <s v="Network Master"/>
    <s v="PROD111"/>
    <x v="199"/>
    <n v="71"/>
    <n v="420"/>
    <n v="29820"/>
    <x v="2"/>
    <x v="2"/>
    <d v="2026-03-10T00:00:00"/>
  </r>
  <r>
    <s v="T0895"/>
    <x v="367"/>
    <x v="0"/>
    <s v="CLI008"/>
    <s v="Supermercado Sol"/>
    <s v="PROD029"/>
    <x v="133"/>
    <n v="33"/>
    <n v="320"/>
    <n v="10560"/>
    <x v="0"/>
    <x v="1"/>
    <s v="N/A"/>
  </r>
  <r>
    <s v="T0896"/>
    <x v="368"/>
    <x v="0"/>
    <s v="CLI004"/>
    <s v="Escola Saber"/>
    <s v="PROD037"/>
    <x v="183"/>
    <n v="5"/>
    <n v="1400"/>
    <n v="7000"/>
    <x v="1"/>
    <x v="1"/>
    <s v="N/A"/>
  </r>
  <r>
    <s v="T0897"/>
    <x v="369"/>
    <x v="1"/>
    <s v="FORN019"/>
    <s v="Mega Storage"/>
    <s v="PROD100"/>
    <x v="100"/>
    <n v="72"/>
    <n v="180"/>
    <n v="12960"/>
    <x v="0"/>
    <x v="1"/>
    <d v="2026-03-15T00:00:00"/>
  </r>
  <r>
    <s v="T0898"/>
    <x v="369"/>
    <x v="0"/>
    <s v="CLI006"/>
    <s v="Construtora Forte"/>
    <s v="PROD190"/>
    <x v="57"/>
    <n v="17"/>
    <n v="8500"/>
    <n v="144500"/>
    <x v="1"/>
    <x v="2"/>
    <s v="N/A"/>
  </r>
  <r>
    <s v="T0899"/>
    <x v="370"/>
    <x v="1"/>
    <s v="FORN007"/>
    <s v="CyberSecurity SA"/>
    <s v="PROD066"/>
    <x v="170"/>
    <n v="79"/>
    <n v="95"/>
    <n v="7505"/>
    <x v="2"/>
    <x v="0"/>
    <d v="2026-03-16T00:00:00"/>
  </r>
  <r>
    <s v="T0900"/>
    <x v="371"/>
    <x v="0"/>
    <s v="CLI020"/>
    <s v="Oficina Mecanica"/>
    <s v="PROD029"/>
    <x v="133"/>
    <n v="4"/>
    <n v="320"/>
    <n v="1280"/>
    <x v="1"/>
    <x v="1"/>
    <s v="N/A"/>
  </r>
  <r>
    <s v="T0901"/>
    <x v="371"/>
    <x v="0"/>
    <s v="CLI009"/>
    <s v="Farma Plus"/>
    <s v="PROD193"/>
    <x v="137"/>
    <n v="7"/>
    <n v="450"/>
    <n v="3150"/>
    <x v="0"/>
    <x v="1"/>
    <s v="N/A"/>
  </r>
  <r>
    <s v="T0902"/>
    <x v="371"/>
    <x v="0"/>
    <s v="CLI012"/>
    <s v="Padaria Real"/>
    <s v="PROD040"/>
    <x v="69"/>
    <n v="10"/>
    <n v="5"/>
    <n v="50"/>
    <x v="0"/>
    <x v="0"/>
    <s v="N/A"/>
  </r>
  <r>
    <s v="T0903"/>
    <x v="372"/>
    <x v="1"/>
    <s v="FORN004"/>
    <s v="LogiBrasil Transportes"/>
    <s v="PROD065"/>
    <x v="101"/>
    <n v="25"/>
    <n v="12"/>
    <n v="300"/>
    <x v="1"/>
    <x v="1"/>
    <d v="2026-03-14T00:00:00"/>
  </r>
  <r>
    <s v="T0904"/>
    <x v="372"/>
    <x v="1"/>
    <s v="FORN008"/>
    <s v="Global Chips"/>
    <s v="PROD124"/>
    <x v="150"/>
    <n v="75"/>
    <n v="250"/>
    <n v="18750"/>
    <x v="0"/>
    <x v="0"/>
    <d v="2026-03-26T00:00:00"/>
  </r>
  <r>
    <s v="T0905"/>
    <x v="372"/>
    <x v="0"/>
    <s v="CLI010"/>
    <s v="Hotel Estrela"/>
    <s v="PROD164"/>
    <x v="178"/>
    <n v="1"/>
    <n v="65"/>
    <n v="65"/>
    <x v="0"/>
    <x v="0"/>
    <s v="N/A"/>
  </r>
  <r>
    <s v="T0906"/>
    <x v="372"/>
    <x v="1"/>
    <s v="FORN005"/>
    <s v="CloudNexus Data"/>
    <s v="PROD182"/>
    <x v="102"/>
    <n v="79"/>
    <n v="1850"/>
    <n v="146150"/>
    <x v="1"/>
    <x v="2"/>
    <d v="2026-03-12T00:00:00"/>
  </r>
  <r>
    <s v="T0907"/>
    <x v="372"/>
    <x v="1"/>
    <s v="FORN015"/>
    <s v="Print Smart"/>
    <s v="PROD188"/>
    <x v="86"/>
    <n v="36"/>
    <n v="1550"/>
    <n v="55800"/>
    <x v="0"/>
    <x v="1"/>
    <d v="2026-03-14T00:00:00"/>
  </r>
  <r>
    <s v="T0908"/>
    <x v="372"/>
    <x v="0"/>
    <s v="CLI012"/>
    <s v="Padaria Real"/>
    <s v="PROD114"/>
    <x v="188"/>
    <n v="7"/>
    <n v="1450"/>
    <n v="10150"/>
    <x v="1"/>
    <x v="0"/>
    <s v="N/A"/>
  </r>
  <r>
    <s v="T0909"/>
    <x v="372"/>
    <x v="1"/>
    <s v="FORN005"/>
    <s v="CloudNexus Data"/>
    <s v="PROD141"/>
    <x v="90"/>
    <n v="21"/>
    <n v="190"/>
    <n v="3990"/>
    <x v="1"/>
    <x v="1"/>
    <d v="2026-03-12T00:00:00"/>
  </r>
  <r>
    <s v="T0910"/>
    <x v="373"/>
    <x v="0"/>
    <s v="CLI017"/>
    <s v="Restaurante Sabor"/>
    <s v="PROD152"/>
    <x v="87"/>
    <n v="144"/>
    <n v="12"/>
    <n v="1728"/>
    <x v="1"/>
    <x v="0"/>
    <s v="N/A"/>
  </r>
  <r>
    <s v="T0911"/>
    <x v="374"/>
    <x v="0"/>
    <s v="CLI019"/>
    <s v="Consultoria Meta"/>
    <s v="PROD085"/>
    <x v="11"/>
    <n v="70"/>
    <n v="85"/>
    <n v="5950"/>
    <x v="2"/>
    <x v="0"/>
    <s v="N/A"/>
  </r>
  <r>
    <s v="T0912"/>
    <x v="374"/>
    <x v="0"/>
    <s v="CLI012"/>
    <s v="Padaria Real"/>
    <s v="PROD182"/>
    <x v="102"/>
    <n v="77"/>
    <n v="1850"/>
    <n v="142450"/>
    <x v="1"/>
    <x v="2"/>
    <s v="N/A"/>
  </r>
  <r>
    <s v="T0913"/>
    <x v="374"/>
    <x v="0"/>
    <s v="CLI019"/>
    <s v="Consultoria Meta"/>
    <s v="PROD024"/>
    <x v="104"/>
    <n v="63"/>
    <n v="2400"/>
    <n v="151200"/>
    <x v="1"/>
    <x v="2"/>
    <s v="N/A"/>
  </r>
  <r>
    <s v="T0914"/>
    <x v="374"/>
    <x v="0"/>
    <s v="CLI010"/>
    <s v="Hotel Estrela"/>
    <s v="PROD107"/>
    <x v="79"/>
    <n v="145"/>
    <n v="680"/>
    <n v="98600"/>
    <x v="0"/>
    <x v="1"/>
    <s v="N/A"/>
  </r>
  <r>
    <s v="T0915"/>
    <x v="374"/>
    <x v="0"/>
    <s v="CLI005"/>
    <s v="Banco Futuro"/>
    <s v="PROD057"/>
    <x v="27"/>
    <n v="505"/>
    <n v="1.5"/>
    <n v="757.5"/>
    <x v="2"/>
    <x v="2"/>
    <s v="N/A"/>
  </r>
  <r>
    <s v="T0916"/>
    <x v="375"/>
    <x v="0"/>
    <s v="CLI003"/>
    <s v="Hospital Vida"/>
    <s v="PROD143"/>
    <x v="131"/>
    <n v="12"/>
    <n v="35"/>
    <n v="420"/>
    <x v="1"/>
    <x v="0"/>
    <s v="N/A"/>
  </r>
  <r>
    <s v="T0917"/>
    <x v="376"/>
    <x v="0"/>
    <s v="CLI015"/>
    <s v="Pet Shop Amigo"/>
    <s v="PROD009"/>
    <x v="16"/>
    <n v="25"/>
    <n v="45"/>
    <n v="1125"/>
    <x v="1"/>
    <x v="0"/>
    <s v="N/A"/>
  </r>
  <r>
    <s v="T0918"/>
    <x v="376"/>
    <x v="1"/>
    <s v="FORN005"/>
    <s v="CloudNexus Data"/>
    <s v="PROD132"/>
    <x v="174"/>
    <n v="97"/>
    <n v="45"/>
    <n v="4365"/>
    <x v="0"/>
    <x v="0"/>
    <d v="2026-03-16T00:00:00"/>
  </r>
  <r>
    <s v="T0919"/>
    <x v="376"/>
    <x v="1"/>
    <s v="FORN010"/>
    <s v="DataCenter Pro"/>
    <s v="PROD179"/>
    <x v="194"/>
    <n v="31"/>
    <n v="1800"/>
    <n v="55800"/>
    <x v="2"/>
    <x v="1"/>
    <d v="2026-03-17T00:00:00"/>
  </r>
  <r>
    <s v="T0920"/>
    <x v="377"/>
    <x v="0"/>
    <s v="CLI003"/>
    <s v="Hospital Vida"/>
    <s v="PROD162"/>
    <x v="173"/>
    <n v="95"/>
    <n v="55"/>
    <n v="5225"/>
    <x v="1"/>
    <x v="2"/>
    <s v="N/A"/>
  </r>
  <r>
    <s v="T0921"/>
    <x v="378"/>
    <x v="1"/>
    <s v="FORN002"/>
    <s v="SoftPrime Licencas"/>
    <s v="PROD016"/>
    <x v="151"/>
    <n v="19"/>
    <n v="55"/>
    <n v="1045"/>
    <x v="2"/>
    <x v="2"/>
    <d v="2026-03-18T00:00:00"/>
  </r>
  <r>
    <s v="T0922"/>
    <x v="379"/>
    <x v="0"/>
    <s v="CLI009"/>
    <s v="Farma Plus"/>
    <s v="PROD162"/>
    <x v="173"/>
    <n v="28"/>
    <n v="55"/>
    <n v="1540"/>
    <x v="1"/>
    <x v="1"/>
    <s v="N/A"/>
  </r>
  <r>
    <s v="T0923"/>
    <x v="379"/>
    <x v="0"/>
    <s v="CLI005"/>
    <s v="Banco Futuro"/>
    <s v="PROD154"/>
    <x v="81"/>
    <n v="64"/>
    <n v="18"/>
    <n v="1152"/>
    <x v="1"/>
    <x v="1"/>
    <s v="N/A"/>
  </r>
  <r>
    <s v="T0924"/>
    <x v="379"/>
    <x v="0"/>
    <s v="CLI019"/>
    <s v="Consultoria Meta"/>
    <s v="PROD072"/>
    <x v="196"/>
    <n v="53"/>
    <n v="45"/>
    <n v="2385"/>
    <x v="1"/>
    <x v="1"/>
    <s v="N/A"/>
  </r>
  <r>
    <s v="T0925"/>
    <x v="380"/>
    <x v="0"/>
    <s v="CLI017"/>
    <s v="Restaurante Sabor"/>
    <s v="PROD112"/>
    <x v="127"/>
    <n v="27"/>
    <n v="1100"/>
    <n v="29700"/>
    <x v="0"/>
    <x v="0"/>
    <s v="N/A"/>
  </r>
  <r>
    <s v="T0926"/>
    <x v="380"/>
    <x v="0"/>
    <s v="CLI005"/>
    <s v="Banco Futuro"/>
    <s v="PROD033"/>
    <x v="14"/>
    <n v="16"/>
    <n v="65"/>
    <n v="1040"/>
    <x v="2"/>
    <x v="1"/>
    <s v="N/A"/>
  </r>
  <r>
    <s v="T0927"/>
    <x v="380"/>
    <x v="0"/>
    <s v="CLI001"/>
    <s v="Industrias Alpha"/>
    <s v="PROD025"/>
    <x v="80"/>
    <n v="2"/>
    <n v="85"/>
    <n v="170"/>
    <x v="0"/>
    <x v="0"/>
    <s v="N/A"/>
  </r>
  <r>
    <s v="T0928"/>
    <x v="381"/>
    <x v="0"/>
    <s v="CLI012"/>
    <s v="Padaria Real"/>
    <s v="PROD080"/>
    <x v="142"/>
    <n v="15"/>
    <n v="110"/>
    <n v="1650"/>
    <x v="0"/>
    <x v="1"/>
    <s v="N/A"/>
  </r>
  <r>
    <s v="T0929"/>
    <x v="382"/>
    <x v="0"/>
    <s v="CLI004"/>
    <s v="Escola Saber"/>
    <s v="PROD191"/>
    <x v="190"/>
    <n v="19"/>
    <n v="145"/>
    <n v="2755"/>
    <x v="2"/>
    <x v="1"/>
    <s v="N/A"/>
  </r>
  <r>
    <s v="T0930"/>
    <x v="382"/>
    <x v="1"/>
    <s v="FORN019"/>
    <s v="Mega Storage"/>
    <s v="PROD117"/>
    <x v="117"/>
    <n v="88"/>
    <n v="95"/>
    <n v="8360"/>
    <x v="2"/>
    <x v="0"/>
    <d v="2026-03-29T00:00:00"/>
  </r>
  <r>
    <s v="T0931"/>
    <x v="382"/>
    <x v="0"/>
    <s v="CLI015"/>
    <s v="Pet Shop Amigo"/>
    <s v="PROD077"/>
    <x v="37"/>
    <n v="116"/>
    <n v="28"/>
    <n v="3248"/>
    <x v="2"/>
    <x v="2"/>
    <s v="N/A"/>
  </r>
  <r>
    <s v="T0932"/>
    <x v="382"/>
    <x v="1"/>
    <s v="FORN005"/>
    <s v="CloudNexus Data"/>
    <s v="PROD147"/>
    <x v="41"/>
    <n v="8"/>
    <n v="65"/>
    <n v="520"/>
    <x v="1"/>
    <x v="0"/>
    <d v="2026-03-22T00:00:00"/>
  </r>
  <r>
    <s v="T0933"/>
    <x v="382"/>
    <x v="1"/>
    <s v="FORN017"/>
    <s v="BitSafe"/>
    <s v="PROD070"/>
    <x v="32"/>
    <n v="87"/>
    <n v="7.5"/>
    <n v="652.5"/>
    <x v="0"/>
    <x v="0"/>
    <d v="2026-03-24T00:00:00"/>
  </r>
  <r>
    <s v="T0934"/>
    <x v="383"/>
    <x v="1"/>
    <s v="FORN015"/>
    <s v="Print Smart"/>
    <s v="PROD180"/>
    <x v="148"/>
    <n v="44"/>
    <n v="450"/>
    <n v="19800"/>
    <x v="1"/>
    <x v="1"/>
    <d v="2026-03-25T00:00:00"/>
  </r>
  <r>
    <s v="T0935"/>
    <x v="383"/>
    <x v="0"/>
    <s v="CLI007"/>
    <s v="Tecno Logica"/>
    <s v="PROD012"/>
    <x v="8"/>
    <n v="4"/>
    <n v="450"/>
    <n v="1800"/>
    <x v="2"/>
    <x v="1"/>
    <s v="N/A"/>
  </r>
  <r>
    <s v="T0936"/>
    <x v="384"/>
    <x v="1"/>
    <s v="FORN018"/>
    <s v="Link Direct"/>
    <s v="PROD184"/>
    <x v="119"/>
    <n v="32"/>
    <n v="45"/>
    <n v="1440"/>
    <x v="1"/>
    <x v="0"/>
    <d v="2026-03-25T00:00:00"/>
  </r>
  <r>
    <s v="T0937"/>
    <x v="384"/>
    <x v="0"/>
    <s v="CLI017"/>
    <s v="Restaurante Sabor"/>
    <s v="PROD007"/>
    <x v="18"/>
    <n v="20"/>
    <n v="1800"/>
    <n v="36000"/>
    <x v="0"/>
    <x v="1"/>
    <s v="N/A"/>
  </r>
  <r>
    <s v="T0938"/>
    <x v="384"/>
    <x v="0"/>
    <s v="CLI019"/>
    <s v="Consultoria Meta"/>
    <s v="PROD102"/>
    <x v="78"/>
    <n v="16"/>
    <n v="290"/>
    <n v="4640"/>
    <x v="2"/>
    <x v="0"/>
    <s v="N/A"/>
  </r>
  <r>
    <s v="T0939"/>
    <x v="385"/>
    <x v="0"/>
    <s v="CLI009"/>
    <s v="Farma Plus"/>
    <s v="PROD152"/>
    <x v="87"/>
    <n v="15"/>
    <n v="12"/>
    <n v="180"/>
    <x v="2"/>
    <x v="1"/>
    <s v="N/A"/>
  </r>
  <r>
    <s v="T0940"/>
    <x v="386"/>
    <x v="0"/>
    <s v="CLI013"/>
    <s v="Advocacia Associada"/>
    <s v="PROD084"/>
    <x v="164"/>
    <n v="62"/>
    <n v="950"/>
    <n v="58900"/>
    <x v="2"/>
    <x v="2"/>
    <s v="N/A"/>
  </r>
  <r>
    <s v="T0941"/>
    <x v="386"/>
    <x v="1"/>
    <s v="FORN007"/>
    <s v="CyberSecurity SA"/>
    <s v="PROD197"/>
    <x v="114"/>
    <n v="60"/>
    <n v="280"/>
    <n v="16800"/>
    <x v="0"/>
    <x v="1"/>
    <d v="2026-04-02T00:00:00"/>
  </r>
  <r>
    <s v="T0942"/>
    <x v="387"/>
    <x v="0"/>
    <s v="CLI010"/>
    <s v="Hotel Estrela"/>
    <s v="PROD112"/>
    <x v="127"/>
    <n v="6"/>
    <n v="1100"/>
    <n v="6600"/>
    <x v="2"/>
    <x v="0"/>
    <s v="N/A"/>
  </r>
  <r>
    <s v="T0943"/>
    <x v="388"/>
    <x v="0"/>
    <s v="CLI003"/>
    <s v="Hospital Vida"/>
    <s v="PROD084"/>
    <x v="164"/>
    <n v="4"/>
    <n v="950"/>
    <n v="3800"/>
    <x v="0"/>
    <x v="0"/>
    <s v="N/A"/>
  </r>
  <r>
    <s v="T0944"/>
    <x v="389"/>
    <x v="0"/>
    <s v="CLI007"/>
    <s v="Tecno Logica"/>
    <s v="PROD078"/>
    <x v="28"/>
    <n v="11"/>
    <n v="15"/>
    <n v="165"/>
    <x v="1"/>
    <x v="2"/>
    <s v="N/A"/>
  </r>
  <r>
    <s v="T0945"/>
    <x v="389"/>
    <x v="1"/>
    <s v="FORN007"/>
    <s v="CyberSecurity SA"/>
    <s v="PROD131"/>
    <x v="15"/>
    <n v="44"/>
    <n v="145"/>
    <n v="6380"/>
    <x v="2"/>
    <x v="0"/>
    <d v="2026-04-05T00:00:00"/>
  </r>
  <r>
    <s v="T0946"/>
    <x v="389"/>
    <x v="1"/>
    <s v="FORN016"/>
    <s v="Steel Case"/>
    <s v="PROD142"/>
    <x v="75"/>
    <n v="38"/>
    <n v="85"/>
    <n v="3230"/>
    <x v="1"/>
    <x v="2"/>
    <d v="2026-04-10T00:00:00"/>
  </r>
  <r>
    <s v="T0947"/>
    <x v="390"/>
    <x v="1"/>
    <s v="FORN016"/>
    <s v="Steel Case"/>
    <s v="PROD178"/>
    <x v="172"/>
    <n v="20"/>
    <n v="850"/>
    <n v="17000"/>
    <x v="2"/>
    <x v="1"/>
    <d v="2026-04-11T00:00:00"/>
  </r>
  <r>
    <s v="T0948"/>
    <x v="390"/>
    <x v="1"/>
    <s v="FORN018"/>
    <s v="Link Direct"/>
    <s v="PROD164"/>
    <x v="178"/>
    <n v="44"/>
    <n v="65"/>
    <n v="2860"/>
    <x v="2"/>
    <x v="0"/>
    <d v="2026-04-01T00:00:00"/>
  </r>
  <r>
    <s v="T0949"/>
    <x v="390"/>
    <x v="1"/>
    <s v="FORN012"/>
    <s v="Fast Delivery"/>
    <s v="PROD150"/>
    <x v="26"/>
    <n v="97"/>
    <n v="55"/>
    <n v="5335"/>
    <x v="2"/>
    <x v="0"/>
    <d v="2026-03-31T00:00:00"/>
  </r>
  <r>
    <s v="T0950"/>
    <x v="391"/>
    <x v="0"/>
    <s v="CLI020"/>
    <s v="Oficina Mecanica"/>
    <s v="PROD082"/>
    <x v="129"/>
    <n v="66"/>
    <n v="1800"/>
    <n v="118800"/>
    <x v="1"/>
    <x v="1"/>
    <s v="N/A"/>
  </r>
  <r>
    <s v="T0951"/>
    <x v="391"/>
    <x v="0"/>
    <s v="CLI013"/>
    <s v="Advocacia Associada"/>
    <s v="PROD095"/>
    <x v="185"/>
    <n v="81"/>
    <n v="2100"/>
    <n v="170100"/>
    <x v="0"/>
    <x v="1"/>
    <s v="N/A"/>
  </r>
  <r>
    <s v="T0952"/>
    <x v="391"/>
    <x v="1"/>
    <s v="FORN007"/>
    <s v="CyberSecurity SA"/>
    <s v="PROD200"/>
    <x v="130"/>
    <n v="22"/>
    <n v="1200"/>
    <n v="26400"/>
    <x v="2"/>
    <x v="2"/>
    <d v="2026-04-07T00:00:00"/>
  </r>
  <r>
    <s v="T0953"/>
    <x v="391"/>
    <x v="0"/>
    <s v="CLI003"/>
    <s v="Hospital Vida"/>
    <s v="PROD059"/>
    <x v="58"/>
    <n v="43"/>
    <n v="12"/>
    <n v="516"/>
    <x v="1"/>
    <x v="1"/>
    <s v="N/A"/>
  </r>
  <r>
    <s v="T0954"/>
    <x v="392"/>
    <x v="0"/>
    <s v="CLI009"/>
    <s v="Farma Plus"/>
    <s v="PROD190"/>
    <x v="57"/>
    <n v="1"/>
    <n v="8500"/>
    <n v="8500"/>
    <x v="1"/>
    <x v="2"/>
    <s v="N/A"/>
  </r>
  <r>
    <s v="T0955"/>
    <x v="393"/>
    <x v="1"/>
    <s v="FORN017"/>
    <s v="BitSafe"/>
    <s v="PROD004"/>
    <x v="64"/>
    <n v="27"/>
    <n v="1200"/>
    <n v="32400"/>
    <x v="1"/>
    <x v="0"/>
    <d v="2026-04-05T00:00:00"/>
  </r>
  <r>
    <s v="T0956"/>
    <x v="393"/>
    <x v="1"/>
    <s v="FORN014"/>
    <s v="DevTools Inc"/>
    <s v="PROD003"/>
    <x v="3"/>
    <n v="38"/>
    <n v="120"/>
    <n v="4560"/>
    <x v="2"/>
    <x v="2"/>
    <d v="2026-04-03T00:00:00"/>
  </r>
  <r>
    <s v="T0957"/>
    <x v="393"/>
    <x v="1"/>
    <s v="FORN018"/>
    <s v="Link Direct"/>
    <s v="PROD056"/>
    <x v="62"/>
    <n v="35"/>
    <n v="25"/>
    <n v="875"/>
    <x v="1"/>
    <x v="1"/>
    <d v="2026-04-04T00:00:00"/>
  </r>
  <r>
    <s v="T0958"/>
    <x v="393"/>
    <x v="0"/>
    <s v="CLI009"/>
    <s v="Farma Plus"/>
    <s v="PROD168"/>
    <x v="83"/>
    <n v="23"/>
    <n v="45"/>
    <n v="1035"/>
    <x v="1"/>
    <x v="0"/>
    <s v="N/A"/>
  </r>
  <r>
    <s v="T0959"/>
    <x v="394"/>
    <x v="1"/>
    <s v="FORN007"/>
    <s v="CyberSecurity SA"/>
    <s v="PROD130"/>
    <x v="149"/>
    <n v="43"/>
    <n v="380"/>
    <n v="16340"/>
    <x v="1"/>
    <x v="2"/>
    <d v="2026-04-10T00:00:00"/>
  </r>
  <r>
    <s v="T0960"/>
    <x v="395"/>
    <x v="1"/>
    <s v="FORN020"/>
    <s v="AI Systems"/>
    <s v="PROD031"/>
    <x v="92"/>
    <n v="74"/>
    <n v="1450"/>
    <n v="107300"/>
    <x v="1"/>
    <x v="0"/>
    <d v="2026-04-05T00:00:00"/>
  </r>
  <r>
    <s v="T0961"/>
    <x v="395"/>
    <x v="0"/>
    <s v="CLI018"/>
    <s v="Clinica Sorriso"/>
    <s v="PROD166"/>
    <x v="82"/>
    <n v="32"/>
    <n v="12"/>
    <n v="384"/>
    <x v="0"/>
    <x v="2"/>
    <s v="N/A"/>
  </r>
  <r>
    <s v="T0962"/>
    <x v="396"/>
    <x v="0"/>
    <s v="CLI011"/>
    <s v="Academia Fit"/>
    <s v="PROD156"/>
    <x v="171"/>
    <n v="8"/>
    <n v="85"/>
    <n v="680"/>
    <x v="2"/>
    <x v="2"/>
    <s v="N/A"/>
  </r>
  <r>
    <s v="T0963"/>
    <x v="397"/>
    <x v="0"/>
    <s v="CLI003"/>
    <s v="Hospital Vida"/>
    <s v="PROD122"/>
    <x v="109"/>
    <n v="21"/>
    <n v="180"/>
    <n v="3780"/>
    <x v="0"/>
    <x v="0"/>
    <s v="N/A"/>
  </r>
  <r>
    <s v="T0964"/>
    <x v="398"/>
    <x v="1"/>
    <s v="FORN010"/>
    <s v="DataCenter Pro"/>
    <s v="PROD165"/>
    <x v="162"/>
    <n v="75"/>
    <n v="18"/>
    <n v="1350"/>
    <x v="1"/>
    <x v="0"/>
    <d v="2026-04-10T00:00:00"/>
  </r>
  <r>
    <s v="T0965"/>
    <x v="399"/>
    <x v="1"/>
    <s v="FORN016"/>
    <s v="Steel Case"/>
    <s v="PROD178"/>
    <x v="172"/>
    <n v="2"/>
    <n v="850"/>
    <n v="1700"/>
    <x v="1"/>
    <x v="2"/>
    <d v="2026-04-21T00:00:00"/>
  </r>
  <r>
    <s v="T0966"/>
    <x v="399"/>
    <x v="1"/>
    <s v="FORN005"/>
    <s v="CloudNexus Data"/>
    <s v="PROD179"/>
    <x v="194"/>
    <n v="14"/>
    <n v="1800"/>
    <n v="25200"/>
    <x v="2"/>
    <x v="1"/>
    <d v="2026-04-10T00:00:00"/>
  </r>
  <r>
    <s v="T0967"/>
    <x v="399"/>
    <x v="0"/>
    <s v="CLI004"/>
    <s v="Escola Saber"/>
    <s v="PROD007"/>
    <x v="18"/>
    <n v="2"/>
    <n v="1800"/>
    <n v="3600"/>
    <x v="0"/>
    <x v="1"/>
    <s v="N/A"/>
  </r>
  <r>
    <s v="T0968"/>
    <x v="400"/>
    <x v="0"/>
    <s v="CLI008"/>
    <s v="Supermercado Sol"/>
    <s v="PROD039"/>
    <x v="166"/>
    <n v="59"/>
    <n v="40"/>
    <n v="2360"/>
    <x v="0"/>
    <x v="2"/>
    <s v="N/A"/>
  </r>
  <r>
    <s v="T0969"/>
    <x v="400"/>
    <x v="0"/>
    <s v="CLI006"/>
    <s v="Construtora Forte"/>
    <s v="PROD150"/>
    <x v="26"/>
    <n v="15"/>
    <n v="55"/>
    <n v="825"/>
    <x v="2"/>
    <x v="2"/>
    <s v="N/A"/>
  </r>
  <r>
    <s v="T0970"/>
    <x v="400"/>
    <x v="1"/>
    <s v="FORN002"/>
    <s v="SoftPrime Licencas"/>
    <s v="PROD168"/>
    <x v="83"/>
    <n v="59"/>
    <n v="45"/>
    <n v="2655"/>
    <x v="2"/>
    <x v="2"/>
    <d v="2026-04-11T00:00:00"/>
  </r>
  <r>
    <s v="T0971"/>
    <x v="400"/>
    <x v="0"/>
    <s v="CLI005"/>
    <s v="Banco Futuro"/>
    <s v="PROD090"/>
    <x v="31"/>
    <n v="12"/>
    <n v="140"/>
    <n v="1680"/>
    <x v="0"/>
    <x v="0"/>
    <s v="N/A"/>
  </r>
  <r>
    <s v="T0972"/>
    <x v="400"/>
    <x v="0"/>
    <s v="CLI013"/>
    <s v="Advocacia Associada"/>
    <s v="PROD036"/>
    <x v="161"/>
    <n v="16"/>
    <n v="2100"/>
    <n v="33600"/>
    <x v="2"/>
    <x v="1"/>
    <s v="N/A"/>
  </r>
  <r>
    <s v="T0973"/>
    <x v="401"/>
    <x v="0"/>
    <s v="CLI020"/>
    <s v="Oficina Mecanica"/>
    <s v="PROD073"/>
    <x v="118"/>
    <n v="65"/>
    <n v="2.5"/>
    <n v="162.5"/>
    <x v="2"/>
    <x v="0"/>
    <s v="N/A"/>
  </r>
  <r>
    <s v="T0974"/>
    <x v="402"/>
    <x v="0"/>
    <s v="CLI005"/>
    <s v="Banco Futuro"/>
    <s v="PROD168"/>
    <x v="83"/>
    <n v="38"/>
    <n v="45"/>
    <n v="1710"/>
    <x v="1"/>
    <x v="1"/>
    <s v="N/A"/>
  </r>
  <r>
    <s v="T0975"/>
    <x v="403"/>
    <x v="0"/>
    <s v="CLI009"/>
    <s v="Farma Plus"/>
    <s v="PROD136"/>
    <x v="42"/>
    <n v="88"/>
    <n v="350"/>
    <n v="30800"/>
    <x v="0"/>
    <x v="0"/>
    <s v="N/A"/>
  </r>
  <r>
    <s v="T0976"/>
    <x v="403"/>
    <x v="0"/>
    <s v="CLI010"/>
    <s v="Hotel Estrela"/>
    <s v="PROD177"/>
    <x v="67"/>
    <n v="2"/>
    <n v="280"/>
    <n v="560"/>
    <x v="0"/>
    <x v="0"/>
    <s v="N/A"/>
  </r>
  <r>
    <s v="T0977"/>
    <x v="404"/>
    <x v="1"/>
    <s v="FORN006"/>
    <s v="Papelaria Central"/>
    <s v="PROD166"/>
    <x v="82"/>
    <n v="6"/>
    <n v="12"/>
    <n v="72"/>
    <x v="1"/>
    <x v="1"/>
    <d v="2026-04-16T00:00:00"/>
  </r>
  <r>
    <s v="T0978"/>
    <x v="405"/>
    <x v="0"/>
    <s v="CLI019"/>
    <s v="Consultoria Meta"/>
    <s v="PROD013"/>
    <x v="88"/>
    <n v="170"/>
    <n v="180"/>
    <n v="30600"/>
    <x v="1"/>
    <x v="1"/>
    <s v="N/A"/>
  </r>
  <r>
    <s v="T0979"/>
    <x v="406"/>
    <x v="0"/>
    <s v="CLI001"/>
    <s v="Industrias Alpha"/>
    <s v="PROD050"/>
    <x v="167"/>
    <n v="62"/>
    <n v="230"/>
    <n v="14260"/>
    <x v="2"/>
    <x v="2"/>
    <s v="N/A"/>
  </r>
  <r>
    <s v="T0980"/>
    <x v="406"/>
    <x v="1"/>
    <s v="FORN005"/>
    <s v="CloudNexus Data"/>
    <s v="PROD058"/>
    <x v="33"/>
    <n v="61"/>
    <n v="1.5"/>
    <n v="91.5"/>
    <x v="0"/>
    <x v="2"/>
    <d v="2026-04-18T00:00:00"/>
  </r>
  <r>
    <s v="T0981"/>
    <x v="406"/>
    <x v="0"/>
    <s v="CLI010"/>
    <s v="Hotel Estrela"/>
    <s v="PROD086"/>
    <x v="96"/>
    <n v="13"/>
    <n v="320"/>
    <n v="4160"/>
    <x v="0"/>
    <x v="2"/>
    <s v="N/A"/>
  </r>
  <r>
    <s v="T0982"/>
    <x v="407"/>
    <x v="0"/>
    <s v="CLI011"/>
    <s v="Academia Fit"/>
    <s v="PROD164"/>
    <x v="178"/>
    <n v="12"/>
    <n v="65"/>
    <n v="780"/>
    <x v="1"/>
    <x v="1"/>
    <s v="N/A"/>
  </r>
  <r>
    <s v="T0983"/>
    <x v="407"/>
    <x v="0"/>
    <s v="CLI005"/>
    <s v="Banco Futuro"/>
    <s v="PROD006"/>
    <x v="0"/>
    <n v="30"/>
    <n v="5500"/>
    <n v="165000"/>
    <x v="1"/>
    <x v="2"/>
    <s v="N/A"/>
  </r>
  <r>
    <s v="T0984"/>
    <x v="407"/>
    <x v="0"/>
    <s v="CLI003"/>
    <s v="Hospital Vida"/>
    <s v="PROD157"/>
    <x v="21"/>
    <n v="2"/>
    <n v="28"/>
    <n v="56"/>
    <x v="0"/>
    <x v="0"/>
    <s v="N/A"/>
  </r>
  <r>
    <s v="T0985"/>
    <x v="407"/>
    <x v="0"/>
    <s v="CLI013"/>
    <s v="Advocacia Associada"/>
    <s v="PROD078"/>
    <x v="28"/>
    <n v="11"/>
    <n v="15"/>
    <n v="165"/>
    <x v="1"/>
    <x v="2"/>
    <s v="N/A"/>
  </r>
  <r>
    <s v="T0986"/>
    <x v="408"/>
    <x v="1"/>
    <s v="FORN004"/>
    <s v="LogiBrasil Transportes"/>
    <s v="PROD024"/>
    <x v="104"/>
    <n v="59"/>
    <n v="2400"/>
    <n v="141600"/>
    <x v="1"/>
    <x v="0"/>
    <d v="2026-04-22T00:00:00"/>
  </r>
  <r>
    <s v="T0987"/>
    <x v="409"/>
    <x v="0"/>
    <s v="CLI003"/>
    <s v="Hospital Vida"/>
    <s v="PROD007"/>
    <x v="18"/>
    <n v="1"/>
    <n v="1800"/>
    <n v="1800"/>
    <x v="1"/>
    <x v="1"/>
    <s v="N/A"/>
  </r>
  <r>
    <s v="T0988"/>
    <x v="409"/>
    <x v="0"/>
    <s v="CLI005"/>
    <s v="Banco Futuro"/>
    <s v="PROD074"/>
    <x v="22"/>
    <n v="2"/>
    <n v="3.5"/>
    <n v="7"/>
    <x v="2"/>
    <x v="2"/>
    <s v="N/A"/>
  </r>
  <r>
    <s v="T0989"/>
    <x v="409"/>
    <x v="0"/>
    <s v="CLI002"/>
    <s v="Varejo Total"/>
    <s v="PROD160"/>
    <x v="77"/>
    <n v="4"/>
    <n v="9"/>
    <n v="36"/>
    <x v="0"/>
    <x v="2"/>
    <s v="N/A"/>
  </r>
  <r>
    <s v="T0990"/>
    <x v="409"/>
    <x v="0"/>
    <s v="CLI004"/>
    <s v="Escola Saber"/>
    <s v="PROD170"/>
    <x v="66"/>
    <n v="56"/>
    <n v="55"/>
    <n v="3080"/>
    <x v="0"/>
    <x v="1"/>
    <s v="N/A"/>
  </r>
  <r>
    <s v="T0991"/>
    <x v="409"/>
    <x v="0"/>
    <s v="CLI019"/>
    <s v="Consultoria Meta"/>
    <s v="PROD062"/>
    <x v="60"/>
    <n v="153"/>
    <n v="4.5"/>
    <n v="688.5"/>
    <x v="1"/>
    <x v="2"/>
    <s v="N/A"/>
  </r>
  <r>
    <s v="T0992"/>
    <x v="410"/>
    <x v="1"/>
    <s v="FORN015"/>
    <s v="Print Smart"/>
    <s v="PROD199"/>
    <x v="36"/>
    <n v="62"/>
    <n v="25"/>
    <n v="1550"/>
    <x v="1"/>
    <x v="2"/>
    <d v="2026-04-25T00:00:00"/>
  </r>
  <r>
    <s v="T0993"/>
    <x v="410"/>
    <x v="0"/>
    <s v="CLI018"/>
    <s v="Clinica Sorriso"/>
    <s v="PROD088"/>
    <x v="180"/>
    <n v="6"/>
    <n v="65"/>
    <n v="390"/>
    <x v="1"/>
    <x v="2"/>
    <s v="N/A"/>
  </r>
  <r>
    <s v="T0994"/>
    <x v="410"/>
    <x v="0"/>
    <s v="CLI011"/>
    <s v="Academia Fit"/>
    <s v="PROD151"/>
    <x v="135"/>
    <n v="36"/>
    <n v="45"/>
    <n v="1620"/>
    <x v="2"/>
    <x v="2"/>
    <s v="N/A"/>
  </r>
  <r>
    <s v="T0995"/>
    <x v="411"/>
    <x v="0"/>
    <s v="CLI017"/>
    <s v="Restaurante Sabor"/>
    <s v="PROD182"/>
    <x v="102"/>
    <n v="147"/>
    <n v="1850"/>
    <n v="271950"/>
    <x v="2"/>
    <x v="0"/>
    <s v="N/A"/>
  </r>
  <r>
    <s v="T0996"/>
    <x v="411"/>
    <x v="1"/>
    <s v="FORN011"/>
    <s v="Energy Solution"/>
    <s v="PROD082"/>
    <x v="129"/>
    <n v="21"/>
    <n v="1800"/>
    <n v="37800"/>
    <x v="0"/>
    <x v="2"/>
    <d v="2026-04-27T00:00:00"/>
  </r>
  <r>
    <s v="T0997"/>
    <x v="411"/>
    <x v="1"/>
    <s v="FORN019"/>
    <s v="Mega Storage"/>
    <s v="PROD182"/>
    <x v="102"/>
    <n v="4"/>
    <n v="1850"/>
    <n v="7400"/>
    <x v="1"/>
    <x v="0"/>
    <d v="2026-05-01T00:00:00"/>
  </r>
  <r>
    <s v="T0998"/>
    <x v="411"/>
    <x v="0"/>
    <s v="CLI016"/>
    <s v="Auto Pecas Jato"/>
    <s v="PROD142"/>
    <x v="75"/>
    <n v="22"/>
    <n v="85"/>
    <n v="1870"/>
    <x v="1"/>
    <x v="2"/>
    <s v="N/A"/>
  </r>
  <r>
    <s v="T0999"/>
    <x v="412"/>
    <x v="0"/>
    <s v="CLI011"/>
    <s v="Academia Fit"/>
    <s v="PROD118"/>
    <x v="152"/>
    <n v="23"/>
    <n v="55"/>
    <n v="1265"/>
    <x v="0"/>
    <x v="0"/>
    <s v="N/A"/>
  </r>
  <r>
    <s v="T1000"/>
    <x v="412"/>
    <x v="1"/>
    <s v="FORN004"/>
    <s v="LogiBrasil Transportes"/>
    <s v="PROD022"/>
    <x v="12"/>
    <n v="37"/>
    <n v="980"/>
    <n v="36260"/>
    <x v="2"/>
    <x v="2"/>
    <d v="2026-04-27T00:00:00"/>
  </r>
  <r>
    <s v="T1001"/>
    <x v="412"/>
    <x v="1"/>
    <s v="FORN012"/>
    <s v="Fast Delivery"/>
    <s v="PROD092"/>
    <x v="43"/>
    <n v="23"/>
    <n v="950"/>
    <n v="21850"/>
    <x v="1"/>
    <x v="0"/>
    <d v="2026-04-25T00:00:00"/>
  </r>
  <r>
    <s v="T1002"/>
    <x v="413"/>
    <x v="1"/>
    <s v="FORN014"/>
    <s v="DevTools Inc"/>
    <s v="PROD145"/>
    <x v="197"/>
    <n v="31"/>
    <n v="25"/>
    <n v="775"/>
    <x v="2"/>
    <x v="0"/>
    <d v="2026-04-26T00:00:00"/>
  </r>
  <r>
    <s v="T1003"/>
    <x v="414"/>
    <x v="1"/>
    <s v="FORN005"/>
    <s v="CloudNexus Data"/>
    <s v="PROD131"/>
    <x v="15"/>
    <n v="72"/>
    <n v="145"/>
    <n v="10440"/>
    <x v="2"/>
    <x v="1"/>
    <d v="2026-04-27T00:00:00"/>
  </r>
  <r>
    <s v="T1004"/>
    <x v="414"/>
    <x v="1"/>
    <s v="FORN009"/>
    <s v="Movel Tech"/>
    <s v="PROD058"/>
    <x v="33"/>
    <n v="19"/>
    <n v="1.5"/>
    <n v="28.5"/>
    <x v="1"/>
    <x v="1"/>
    <d v="2026-05-06T00:00:00"/>
  </r>
  <r>
    <s v="T1005"/>
    <x v="414"/>
    <x v="1"/>
    <s v="FORN004"/>
    <s v="LogiBrasil Transportes"/>
    <s v="PROD060"/>
    <x v="132"/>
    <n v="18"/>
    <n v="5"/>
    <n v="90"/>
    <x v="0"/>
    <x v="1"/>
    <d v="2026-04-29T00:00:00"/>
  </r>
  <r>
    <s v="T1006"/>
    <x v="415"/>
    <x v="0"/>
    <s v="CLI006"/>
    <s v="Construtora Forte"/>
    <s v="PROD056"/>
    <x v="62"/>
    <n v="98"/>
    <n v="25"/>
    <n v="2450"/>
    <x v="2"/>
    <x v="2"/>
    <s v="N/A"/>
  </r>
  <r>
    <s v="T1007"/>
    <x v="415"/>
    <x v="1"/>
    <s v="FORN007"/>
    <s v="CyberSecurity SA"/>
    <s v="PROD185"/>
    <x v="34"/>
    <n v="88"/>
    <n v="380"/>
    <n v="33440"/>
    <x v="2"/>
    <x v="0"/>
    <d v="2026-05-04T00:00:00"/>
  </r>
  <r>
    <s v="T1008"/>
    <x v="415"/>
    <x v="1"/>
    <s v="FORN009"/>
    <s v="Movel Tech"/>
    <s v="PROD160"/>
    <x v="77"/>
    <n v="148"/>
    <n v="9"/>
    <n v="1332"/>
    <x v="0"/>
    <x v="0"/>
    <d v="2026-05-07T00:00:00"/>
  </r>
  <r>
    <s v="T1009"/>
    <x v="416"/>
    <x v="0"/>
    <s v="CLI005"/>
    <s v="Banco Futuro"/>
    <s v="PROD167"/>
    <x v="134"/>
    <n v="123"/>
    <n v="18"/>
    <n v="2214"/>
    <x v="2"/>
    <x v="0"/>
    <s v="N/A"/>
  </r>
  <r>
    <s v="T1010"/>
    <x v="416"/>
    <x v="0"/>
    <s v="CLI015"/>
    <s v="Pet Shop Amigo"/>
    <s v="PROD131"/>
    <x v="15"/>
    <n v="88"/>
    <n v="145"/>
    <n v="12760"/>
    <x v="2"/>
    <x v="1"/>
    <s v="N/A"/>
  </r>
  <r>
    <s v="T1011"/>
    <x v="416"/>
    <x v="1"/>
    <s v="FORN018"/>
    <s v="Link Direct"/>
    <s v="PROD151"/>
    <x v="135"/>
    <n v="7"/>
    <n v="45"/>
    <n v="315"/>
    <x v="2"/>
    <x v="1"/>
    <d v="2026-04-30T00:00:00"/>
  </r>
  <r>
    <s v="T1012"/>
    <x v="416"/>
    <x v="0"/>
    <s v="CLI013"/>
    <s v="Advocacia Associada"/>
    <s v="PROD017"/>
    <x v="156"/>
    <n v="95"/>
    <n v="130"/>
    <n v="12350"/>
    <x v="2"/>
    <x v="2"/>
    <s v="N/A"/>
  </r>
  <r>
    <s v="T1013"/>
    <x v="416"/>
    <x v="0"/>
    <s v="CLI007"/>
    <s v="Tecno Logica"/>
    <s v="PROD132"/>
    <x v="174"/>
    <n v="127"/>
    <n v="45"/>
    <n v="5715"/>
    <x v="2"/>
    <x v="0"/>
    <s v="N/A"/>
  </r>
  <r>
    <s v="T1014"/>
    <x v="417"/>
    <x v="0"/>
    <s v="CLI009"/>
    <s v="Farma Plus"/>
    <s v="PROD159"/>
    <x v="179"/>
    <n v="128"/>
    <n v="12"/>
    <n v="1536"/>
    <x v="0"/>
    <x v="2"/>
    <s v="N/A"/>
  </r>
  <r>
    <s v="T1015"/>
    <x v="418"/>
    <x v="0"/>
    <s v="CLI009"/>
    <s v="Farma Plus"/>
    <s v="PROD041"/>
    <x v="168"/>
    <n v="52"/>
    <n v="140"/>
    <n v="7280"/>
    <x v="2"/>
    <x v="1"/>
    <s v="N/A"/>
  </r>
  <r>
    <s v="T1016"/>
    <x v="419"/>
    <x v="0"/>
    <s v="CLI015"/>
    <s v="Pet Shop Amigo"/>
    <s v="PROD050"/>
    <x v="167"/>
    <n v="14"/>
    <n v="230"/>
    <n v="3220"/>
    <x v="1"/>
    <x v="0"/>
    <s v="N/A"/>
  </r>
  <r>
    <s v="T1017"/>
    <x v="419"/>
    <x v="1"/>
    <s v="FORN004"/>
    <s v="LogiBrasil Transportes"/>
    <s v="PROD056"/>
    <x v="62"/>
    <n v="33"/>
    <n v="25"/>
    <n v="825"/>
    <x v="0"/>
    <x v="0"/>
    <d v="2026-05-04T00:00:00"/>
  </r>
  <r>
    <s v="T1018"/>
    <x v="420"/>
    <x v="1"/>
    <s v="FORN002"/>
    <s v="SoftPrime Licencas"/>
    <s v="PROD161"/>
    <x v="187"/>
    <n v="78"/>
    <n v="15"/>
    <n v="1170"/>
    <x v="2"/>
    <x v="2"/>
    <d v="2026-05-03T00:00:00"/>
  </r>
  <r>
    <s v="T1019"/>
    <x v="420"/>
    <x v="1"/>
    <s v="FORN001"/>
    <s v="TechFlow Solucoes"/>
    <s v="PROD066"/>
    <x v="170"/>
    <n v="34"/>
    <n v="95"/>
    <n v="3230"/>
    <x v="2"/>
    <x v="2"/>
    <d v="2026-05-07T00:00:00"/>
  </r>
  <r>
    <s v="T1020"/>
    <x v="420"/>
    <x v="0"/>
    <s v="CLI001"/>
    <s v="Industrias Alpha"/>
    <s v="PROD075"/>
    <x v="158"/>
    <n v="1"/>
    <n v="38"/>
    <n v="38"/>
    <x v="0"/>
    <x v="2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1D3ED-63BF-4C22-BA7F-5332AF1BDFA2}" name="Tabela Status Reposicao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J22:K25" firstHeaderRow="1" firstDataRow="1" firstDataCol="1"/>
  <pivotFields count="7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ntagem de ID_Produto" fld="0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8D8FF-8DBE-4E15-8BFE-B17474F4B71D}" name="Tabela Faturamento Mensal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H3:I16" firstHeaderRow="1" firstDataRow="1" firstDataCol="1" rowPageCount="1" colPageCount="1"/>
  <pivotFields count="16">
    <pivotField showAll="0"/>
    <pivotField axis="axisRow" numFmtId="14" showAll="0">
      <items count="4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Soma de Valor Total" fld="9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4D515-1654-4050-B483-8F7C476C2F61}" name="Tabela Fluxo Caixa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5:B9" firstHeaderRow="1" firstDataRow="1" firstDataCol="1" rowPageCount="1" colPageCount="1"/>
  <pivotFields count="16">
    <pivotField showAll="0"/>
    <pivotField numFmtId="14" showAll="0">
      <items count="4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axis="axisRow" showAll="0">
      <items count="4">
        <item sd="0" x="1"/>
        <item sd="0" x="0"/>
        <item sd="0" x="2"/>
        <item t="default" sd="0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oma de Valor Total" fld="9" baseField="0" baseItem="0" numFmtId="164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3F7A0-55F1-48E6-B778-FCEA92C85BB7}" name="Tabela Produtos Rentaveis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S5:T11" firstHeaderRow="1" firstDataRow="1" firstDataCol="1" rowPageCount="1" colPageCount="1"/>
  <pivotFields count="16">
    <pivotField showAll="0"/>
    <pivotField numFmtId="14" showAll="0">
      <items count="4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axis="axisRow" showAll="0" measureFilter="1" sortType="descending">
      <items count="201">
        <item x="109"/>
        <item x="127"/>
        <item x="8"/>
        <item x="53"/>
        <item x="198"/>
        <item x="75"/>
        <item x="96"/>
        <item x="38"/>
        <item x="29"/>
        <item x="82"/>
        <item x="41"/>
        <item x="116"/>
        <item x="112"/>
        <item x="20"/>
        <item x="85"/>
        <item x="78"/>
        <item x="10"/>
        <item x="93"/>
        <item x="17"/>
        <item x="97"/>
        <item x="122"/>
        <item x="184"/>
        <item x="49"/>
        <item x="158"/>
        <item x="181"/>
        <item x="36"/>
        <item x="50"/>
        <item x="61"/>
        <item x="4"/>
        <item x="131"/>
        <item x="114"/>
        <item x="80"/>
        <item x="99"/>
        <item x="108"/>
        <item x="59"/>
        <item x="176"/>
        <item x="40"/>
        <item x="60"/>
        <item x="110"/>
        <item x="142"/>
        <item x="157"/>
        <item x="197"/>
        <item x="47"/>
        <item x="147"/>
        <item x="143"/>
        <item x="187"/>
        <item x="186"/>
        <item x="28"/>
        <item x="25"/>
        <item x="23"/>
        <item x="192"/>
        <item x="183"/>
        <item x="145"/>
        <item x="164"/>
        <item x="171"/>
        <item x="14"/>
        <item x="125"/>
        <item x="34"/>
        <item x="84"/>
        <item x="105"/>
        <item x="166"/>
        <item x="39"/>
        <item x="134"/>
        <item x="83"/>
        <item x="135"/>
        <item x="6"/>
        <item x="140"/>
        <item x="173"/>
        <item x="106"/>
        <item x="0"/>
        <item x="2"/>
        <item x="177"/>
        <item x="92"/>
        <item x="107"/>
        <item x="71"/>
        <item x="3"/>
        <item x="51"/>
        <item x="146"/>
        <item x="163"/>
        <item x="1"/>
        <item x="138"/>
        <item x="137"/>
        <item x="161"/>
        <item x="154"/>
        <item x="144"/>
        <item x="194"/>
        <item x="73"/>
        <item x="115"/>
        <item x="199"/>
        <item x="32"/>
        <item x="182"/>
        <item x="149"/>
        <item x="70"/>
        <item x="7"/>
        <item x="37"/>
        <item x="12"/>
        <item x="9"/>
        <item x="89"/>
        <item x="167"/>
        <item x="72"/>
        <item x="58"/>
        <item x="26"/>
        <item x="95"/>
        <item x="103"/>
        <item x="126"/>
        <item x="189"/>
        <item x="123"/>
        <item x="100"/>
        <item x="79"/>
        <item x="18"/>
        <item x="193"/>
        <item x="91"/>
        <item x="88"/>
        <item x="13"/>
        <item x="139"/>
        <item x="129"/>
        <item x="19"/>
        <item x="180"/>
        <item x="63"/>
        <item x="155"/>
        <item x="65"/>
        <item x="132"/>
        <item x="148"/>
        <item x="42"/>
        <item x="44"/>
        <item x="102"/>
        <item x="68"/>
        <item x="74"/>
        <item x="94"/>
        <item x="43"/>
        <item x="21"/>
        <item x="101"/>
        <item x="57"/>
        <item x="90"/>
        <item x="151"/>
        <item x="45"/>
        <item x="160"/>
        <item x="150"/>
        <item x="121"/>
        <item x="159"/>
        <item x="30"/>
        <item x="81"/>
        <item x="67"/>
        <item x="130"/>
        <item x="113"/>
        <item x="62"/>
        <item x="76"/>
        <item x="179"/>
        <item x="5"/>
        <item x="153"/>
        <item x="118"/>
        <item x="22"/>
        <item x="54"/>
        <item x="174"/>
        <item x="128"/>
        <item x="185"/>
        <item x="48"/>
        <item x="35"/>
        <item x="86"/>
        <item x="152"/>
        <item x="168"/>
        <item x="178"/>
        <item x="33"/>
        <item x="27"/>
        <item x="133"/>
        <item x="191"/>
        <item x="136"/>
        <item x="170"/>
        <item x="66"/>
        <item x="169"/>
        <item x="52"/>
        <item x="64"/>
        <item x="119"/>
        <item x="11"/>
        <item x="16"/>
        <item x="56"/>
        <item x="175"/>
        <item x="24"/>
        <item x="141"/>
        <item x="87"/>
        <item x="120"/>
        <item x="15"/>
        <item x="69"/>
        <item x="46"/>
        <item x="31"/>
        <item x="165"/>
        <item x="104"/>
        <item x="195"/>
        <item x="172"/>
        <item x="98"/>
        <item x="124"/>
        <item x="111"/>
        <item x="190"/>
        <item x="162"/>
        <item x="55"/>
        <item x="77"/>
        <item x="196"/>
        <item x="117"/>
        <item x="156"/>
        <item x="1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 v="3"/>
    </i>
    <i>
      <x v="132"/>
    </i>
    <i>
      <x v="33"/>
    </i>
    <i>
      <x v="104"/>
    </i>
    <i>
      <x v="186"/>
    </i>
    <i t="grand">
      <x/>
    </i>
  </rowItems>
  <colItems count="1">
    <i/>
  </colItems>
  <pageFields count="1">
    <pageField fld="2" hier="-1"/>
  </pageFields>
  <dataFields count="1">
    <dataField name="Soma de Valor Total" fld="9" baseField="0" baseItem="0" numFmtId="164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16013-7F7E-40D4-90B8-A7023FACF759}" name="Tabela 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28:B32" firstHeaderRow="1" firstDataRow="1" firstDataCol="1"/>
  <pivotFields count="16">
    <pivotField dataField="1" showAll="0"/>
    <pivotField numFmtId="14" showAll="0">
      <items count="4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ID_Transacao" fld="0" subtotal="count" baseField="0" baseItem="0"/>
  </dataFields>
  <chartFormats count="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854D6D7D-5E28-414D-AB71-58A36AF6FC2F}" sourceName="Meses (Data)">
  <pivotTables>
    <pivotTable tabId="12" name="Tabela Fluxo Caixa"/>
    <pivotTable tabId="12" name="Tabela Faturamento Mensal"/>
    <pivotTable tabId="12" name="Tabela Produtos Rentaveis"/>
    <pivotTable tabId="12" name="Tabela "/>
  </pivotTables>
  <data>
    <tabular pivotCacheId="667618129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Fluxo" xr10:uid="{A137FB42-0BF8-4EFB-95A5-6F13E7ACFD5F}" sourceName="Tipo Fluxo">
  <pivotTables>
    <pivotTable tabId="12" name="Tabela Fluxo Caixa"/>
    <pivotTable tabId="12" name="Tabela Faturamento Mensal"/>
    <pivotTable tabId="12" name="Tabela Produtos Rentaveis"/>
    <pivotTable tabId="12" name="Tabela "/>
  </pivotTables>
  <data>
    <tabular pivotCacheId="66761812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)" xr10:uid="{B5EE05E3-A1D1-4777-80BA-31F60B6304EF}" cache="SegmentaçãodeDados_Meses__Data" caption="Meses (Data)" rowHeight="247650"/>
  <slicer name="Tipo Fluxo" xr10:uid="{EE27D304-3A31-434D-9F92-A145B5930E52}" cache="SegmentaçãodeDados_Tipo_Fluxo" caption="Tipo Fluxo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) 1" xr10:uid="{FFF9F336-C5F7-41FA-8B4B-6B6E4F0C080A}" cache="SegmentaçãodeDados_Meses__Data" caption="Meses (Data)" rowHeight="247650"/>
  <slicer name="Tipo Fluxo 1" xr10:uid="{E431FC5E-1986-4B4A-9635-DE9D87D8D290}" cache="SegmentaçãodeDados_Tipo_Fluxo" caption="Tipo Flux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17267C-7CFF-4199-B3B5-0ACE96DC54EB}" name="Tabela_Movimentacao_Geral" displayName="Tabela_Movimentacao_Geral" ref="A1:M1021" totalsRowShown="0">
  <autoFilter ref="A1:M1021" xr:uid="{B217267C-7CFF-4199-B3B5-0ACE96DC54EB}"/>
  <tableColumns count="13">
    <tableColumn id="1" xr3:uid="{C1CCA3BC-7DB1-4B7E-9235-9E912E8D5A74}" name="ID_Transacao" dataDxfId="56" totalsRowDxfId="55"/>
    <tableColumn id="2" xr3:uid="{3F5E31C8-0050-44C2-B03B-53C38CDEE0C0}" name="Data" dataDxfId="54" totalsRowDxfId="53"/>
    <tableColumn id="3" xr3:uid="{A7D435F3-6880-4428-BEAB-A47BB293818B}" name="Tipo Fluxo" dataDxfId="52" totalsRowDxfId="51"/>
    <tableColumn id="4" xr3:uid="{A6A7B9DC-B580-4D8E-BAA3-217FD5400F46}" name="ID Entidade" dataDxfId="50" totalsRowDxfId="49"/>
    <tableColumn id="12" xr3:uid="{B97854AE-1ECC-4DB4-B88D-6B75FAF65AFB}" name="Nome da Entidade" dataDxfId="48" totalsRowDxfId="47">
      <calculatedColumnFormula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calculatedColumnFormula>
    </tableColumn>
    <tableColumn id="5" xr3:uid="{465930E1-41EF-462B-8E1E-0327DC9EA9BF}" name="ID Produto" dataDxfId="46" totalsRowDxfId="45"/>
    <tableColumn id="14" xr3:uid="{580D4508-E32C-41B1-A5DB-3866BC675EB8}" name="Descrição do Produto" dataDxfId="44" totalsRowDxfId="43">
      <calculatedColumnFormula>_xlfn.XLOOKUP(Tabela_Movimentacao_Geral[[#This Row],[ID Produto]], Tabela_Produtos[ID_Produto],Tabela_Produtos[Descricao_Produto],"Produto não encontrado")</calculatedColumnFormula>
    </tableColumn>
    <tableColumn id="6" xr3:uid="{2FADD3DC-A5AE-4C9A-9D9B-9EA66E266A78}" name="Quantidade"/>
    <tableColumn id="13" xr3:uid="{EF956B18-1CDE-42A6-A6AB-632A9D34E51F}" name="Valor Unitário" dataDxfId="42">
      <calculatedColumnFormula>_xlfn.XLOOKUP(Tabela_Movimentacao_Geral[[#This Row],[ID Produto]], Tabela_Produtos[ID_Produto],Tabela_Produtos[Preco_Unitario_Venda])</calculatedColumnFormula>
    </tableColumn>
    <tableColumn id="7" xr3:uid="{866F67E4-0C87-4415-9E7B-6277B8C9D90C}" name="Valor Total" dataDxfId="41" dataCellStyle="Moeda"/>
    <tableColumn id="8" xr3:uid="{7DCC6085-C04F-4619-963D-41878F1991C8}" name="Status Financeiro" dataDxfId="40" totalsRowDxfId="39"/>
    <tableColumn id="9" xr3:uid="{6DF4B61F-90E2-4CFC-8267-E477DF64D9EB}" name="Status Logistico" dataDxfId="38" totalsRowDxfId="37"/>
    <tableColumn id="15" xr3:uid="{BDD8B575-4318-4228-9929-AD10D6C95FC6}" name="Previsão de Entrega" dataDxfId="36">
      <calculatedColumnFormula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915A9D-1106-46D2-BBAB-8A4F4A510991}" name="Tabela_Clientes" displayName="Tabela_Clientes" ref="A1:D21" totalsRowShown="0">
  <autoFilter ref="A1:D21" xr:uid="{F3915A9D-1106-46D2-BBAB-8A4F4A510991}"/>
  <tableColumns count="4">
    <tableColumn id="1" xr3:uid="{D9BA25F4-480C-45AD-9D5F-BB293CD09971}" name="ID_Cliente" dataDxfId="35"/>
    <tableColumn id="2" xr3:uid="{4F55CBED-D9BD-49BD-80E4-D08E3ED4E379}" name="Nome_Cliente" dataDxfId="34"/>
    <tableColumn id="3" xr3:uid="{F8196DFB-3B07-4D4A-8127-4FA967784398}" name="CPF_CNPJ" dataDxfId="33"/>
    <tableColumn id="4" xr3:uid="{B20D3AAE-EC37-44E1-8CFB-D8B1486ED6BD}" name="Limite_Credito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018243-1A29-4F69-AB4A-D9ECA692F3C7}" name="Tabela_Fornecedores" displayName="Tabela_Fornecedores" ref="F1:J21" totalsRowShown="0" headerRowDxfId="32" dataDxfId="30" headerRowBorderDxfId="31" tableBorderDxfId="29" totalsRowBorderDxfId="28">
  <autoFilter ref="F1:J21" xr:uid="{78018243-1A29-4F69-AB4A-D9ECA692F3C7}"/>
  <tableColumns count="5">
    <tableColumn id="1" xr3:uid="{278A2280-1BDB-4B98-9880-323DE39A51F6}" name="ID_Fornecedor" dataDxfId="27"/>
    <tableColumn id="2" xr3:uid="{07F2B6FF-D4C1-4A23-A09B-0D8A29644383}" name="Nome_Fantasia" dataDxfId="26"/>
    <tableColumn id="3" xr3:uid="{04FEB3FF-D9D9-4A21-867C-270197ACB14E}" name="CNPJ" dataDxfId="25"/>
    <tableColumn id="4" xr3:uid="{85283F81-B95A-431F-B0C8-A8F3F028769D}" name="Categoria" dataDxfId="24"/>
    <tableColumn id="5" xr3:uid="{907860C7-790D-4B50-88BA-C9CDCC8F4D16}" name="Lead_Time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05A765-685F-4017-9AFF-14D15DA752C3}" name="Tabela_Produtos" displayName="Tabela_Produtos" ref="L1:O201" totalsRowShown="0" headerRowDxfId="22" dataDxfId="20" headerRowBorderDxfId="21" tableBorderDxfId="19" totalsRowBorderDxfId="18">
  <autoFilter ref="L1:O201" xr:uid="{6A05A765-685F-4017-9AFF-14D15DA752C3}"/>
  <tableColumns count="4">
    <tableColumn id="1" xr3:uid="{BE4BB39A-2CE8-4A6E-ACCC-4F03B73F2113}" name="ID_Produto" dataDxfId="17"/>
    <tableColumn id="2" xr3:uid="{FD332E9D-3863-4093-8B9E-F3C66DDCBFF0}" name="Descricao_Produto" dataDxfId="16"/>
    <tableColumn id="3" xr3:uid="{ACD4AC05-35FA-45CE-A08C-23396057D993}" name="Preco_Unitario_Venda" dataDxfId="15"/>
    <tableColumn id="4" xr3:uid="{49C1C243-7208-4E54-A633-C1320883B597}" name="Estoque_Minimo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C6F6C60-D3D9-414C-8082-6FA04296754D}" name="Tabela_Controle_Estoque" displayName="Tabela_Controle_Estoque" ref="A1:G201" totalsRowShown="0" headerRowDxfId="13" dataDxfId="12" tableBorderDxfId="11">
  <autoFilter ref="A1:G201" xr:uid="{AC6F6C60-D3D9-414C-8082-6FA04296754D}"/>
  <tableColumns count="7">
    <tableColumn id="1" xr3:uid="{FB249F6F-36F5-4C17-9497-3EF6982B4CE8}" name="ID_Produto" dataDxfId="10"/>
    <tableColumn id="2" xr3:uid="{DE515AEF-0F60-4756-BD8C-DE83FB4D58AF}" name="Descricao_Produto" dataDxfId="9">
      <calculatedColumnFormula>_xlfn.XLOOKUP(Tabela_Controle_Estoque[[#This Row],[ID_Produto]],Tabela_Produtos[ID_Produto],Tabela_Produtos[Descricao_Produto],"N/A")</calculatedColumnFormula>
    </tableColumn>
    <tableColumn id="4" xr3:uid="{AF2274AA-43FA-434E-93AF-84F04B08DCF8}" name="Estoque_Minimo" dataDxfId="8">
      <calculatedColumnFormula>_xlfn.XLOOKUP(Tabela_Controle_Estoque[[#This Row],[ID_Produto]],Tabela_Produtos[ID_Produto],Tabela_Produtos[Estoque_Minimo],"N/A")</calculatedColumnFormula>
    </tableColumn>
    <tableColumn id="5" xr3:uid="{DF1833F5-9495-495D-A06E-2A8D369D0DC6}" name="Entradas" dataDxfId="7">
      <calculatedColumnFormula>SUMIFS(Tabela_Movimentacao_Geral[Quantidade],Tabela_Movimentacao_Geral[ID Produto],CONTROLE_ESTOQUE!$A2,Tabela_Movimentacao_Geral[Tipo Fluxo], "Entrada")</calculatedColumnFormula>
    </tableColumn>
    <tableColumn id="6" xr3:uid="{2DA3D6E8-8B70-461C-B7B5-D6AB867578FC}" name="Saídas" dataDxfId="6">
      <calculatedColumnFormula>SUMIFS(Tabela_Movimentacao_Geral[Quantidade], Tabela_Movimentacao_Geral[ID Produto],CONTROLE_ESTOQUE!$A2,Tabela_Movimentacao_Geral[Tipo Fluxo], "Saida")</calculatedColumnFormula>
    </tableColumn>
    <tableColumn id="7" xr3:uid="{1F8E3425-84EF-4831-99D5-BD7E6DD19482}" name="Saldo Atual" dataDxfId="5">
      <calculatedColumnFormula>CONTROLE_ESTOQUE!$D2 - CONTROLE_ESTOQUE!$E2</calculatedColumnFormula>
    </tableColumn>
    <tableColumn id="8" xr3:uid="{04008341-A62D-4947-8F39-3799E72ACBC4}" name="Status de Reposição" dataDxfId="4">
      <calculatedColumnFormula>IF(CONTROLE_ESTOQUE!$F2 &lt; CONTROLE_ESTOQUE!$C2, "COMPRAR URGENTE", "Estoque OK")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30B30B-1982-4054-8058-E336733DF692}" name="Dashboard" displayName="Dashboard" ref="C19:F20" totalsRowShown="0">
  <autoFilter ref="C19:F20" xr:uid="{7C30B30B-1982-4054-8058-E336733DF692}"/>
  <tableColumns count="4">
    <tableColumn id="1" xr3:uid="{9D162FF7-15A2-4675-A917-03E04DDBB733}" name="Faturamento " dataDxfId="64">
      <calculatedColumnFormula>SUMIFS(Tabela_Movimentacao_Geral[Valor Total],Tabela_Movimentacao_Geral[Tipo Fluxo], "Saida", Tabela_Movimentacao_Geral[Status Financeiro], "Pago")</calculatedColumnFormula>
    </tableColumn>
    <tableColumn id="2" xr3:uid="{D0A6FA88-DFBD-408D-9DE9-E46504D89C96}" name="Inadiplência" dataDxfId="63">
      <calculatedColumnFormula>SUMIFS(Tabela_Movimentacao_Geral[Valor Total], Tabela_Movimentacao_Geral[Tipo Fluxo], "Saida", Tabela_Movimentacao_Geral[Status Financeiro], "Atrasado")</calculatedColumnFormula>
    </tableColumn>
    <tableColumn id="3" xr3:uid="{B1F0D916-1625-4F0E-81F0-DFDC1CFFA8AA}" name="Contas a Receber" dataDxfId="62">
      <calculatedColumnFormula>SUMIFS(Tabela_Movimentacao_Geral[Valor Total], Tabela_Movimentacao_Geral[Tipo Fluxo], "Saida", Tabela_Movimentacao_Geral[Status Financeiro], "Pendente")</calculatedColumnFormula>
    </tableColumn>
    <tableColumn id="5" xr3:uid="{B2FA2CE4-204F-455E-958F-ABF628AB6390}" name="Total Saida" dataDxfId="61">
      <calculatedColumnFormula>SUM(Dashboard[[#This Row],[Faturamento ]:[Contas a Receber]])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7F42B-05E2-4F40-8D20-9A93BF0EB459}" name="Dashboard2" displayName="Dashboard2" ref="C21:F22" totalsRowShown="0">
  <autoFilter ref="C21:F22" xr:uid="{0097F42B-05E2-4F40-8D20-9A93BF0EB459}"/>
  <tableColumns count="4">
    <tableColumn id="1" xr3:uid="{F3E9D35C-4613-4789-8F8C-0E498DF1BD1B}" name="Faturamento" dataDxfId="60">
      <calculatedColumnFormula>SUMIFS(Tabela_Movimentacao_Geral[Valor Total],Tabela_Movimentacao_Geral[Tipo Fluxo], "Entrada", Tabela_Movimentacao_Geral[Status Financeiro], "Pago")</calculatedColumnFormula>
    </tableColumn>
    <tableColumn id="2" xr3:uid="{0BCEE69C-8B82-4C92-B3E3-E560714BD924}" name="Inadiplência" dataDxfId="59">
      <calculatedColumnFormula>SUMIFS(Tabela_Movimentacao_Geral[Valor Total], Tabela_Movimentacao_Geral[Tipo Fluxo], "Entrada", Tabela_Movimentacao_Geral[Status Financeiro], "Atrasado")</calculatedColumnFormula>
    </tableColumn>
    <tableColumn id="3" xr3:uid="{AC703E0C-FD41-497C-903F-6839777D903B}" name="Contas a Receber" dataDxfId="58">
      <calculatedColumnFormula>SUMIFS(Tabela_Movimentacao_Geral[Valor Total], Tabela_Movimentacao_Geral[Tipo Fluxo], "Entrada", Tabela_Movimentacao_Geral[Status Financeiro], "Pendente")</calculatedColumnFormula>
    </tableColumn>
    <tableColumn id="5" xr3:uid="{93474331-7C32-4AF0-B94F-2937DC4E13B8}" name="Total Saida" dataDxfId="57">
      <calculatedColumnFormula>SUM(Dashboard2[[#This Row],[Faturamento]:[Contas a Receber]])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FF48-2710-41B1-A350-41A3A42AD750}">
  <sheetPr codeName="Planilha1"/>
  <dimension ref="A1:V1023"/>
  <sheetViews>
    <sheetView topLeftCell="C17" zoomScale="85" zoomScaleNormal="85" workbookViewId="0">
      <selection activeCell="M22" sqref="M22"/>
    </sheetView>
  </sheetViews>
  <sheetFormatPr defaultRowHeight="14.4" x14ac:dyDescent="0.3"/>
  <cols>
    <col min="1" max="1" width="14.21875" bestFit="1" customWidth="1"/>
    <col min="2" max="2" width="11" style="1" bestFit="1" customWidth="1"/>
    <col min="3" max="3" width="12" bestFit="1" customWidth="1"/>
    <col min="4" max="4" width="13.21875" bestFit="1" customWidth="1"/>
    <col min="5" max="5" width="27.77734375" customWidth="1"/>
    <col min="6" max="6" width="12.33203125" bestFit="1" customWidth="1"/>
    <col min="7" max="7" width="26.6640625" bestFit="1" customWidth="1"/>
    <col min="8" max="8" width="13" style="5" bestFit="1" customWidth="1"/>
    <col min="9" max="9" width="16.44140625" style="6" bestFit="1" customWidth="1"/>
    <col min="10" max="10" width="20.5546875" bestFit="1" customWidth="1"/>
    <col min="11" max="11" width="19" bestFit="1" customWidth="1"/>
    <col min="12" max="12" width="17.77734375" bestFit="1" customWidth="1"/>
    <col min="13" max="13" width="21.109375" style="7" bestFit="1" customWidth="1"/>
    <col min="15" max="15" width="19.21875" bestFit="1" customWidth="1"/>
  </cols>
  <sheetData>
    <row r="1" spans="1:16" ht="14.4" customHeight="1" x14ac:dyDescent="0.3">
      <c r="A1" t="s">
        <v>547</v>
      </c>
      <c r="B1" s="1" t="s">
        <v>0</v>
      </c>
      <c r="C1" t="s">
        <v>572</v>
      </c>
      <c r="D1" t="s">
        <v>573</v>
      </c>
      <c r="E1" t="s">
        <v>570</v>
      </c>
      <c r="F1" t="s">
        <v>574</v>
      </c>
      <c r="G1" t="s">
        <v>589</v>
      </c>
      <c r="H1" t="s">
        <v>1</v>
      </c>
      <c r="I1" s="5" t="s">
        <v>571</v>
      </c>
      <c r="J1" s="6" t="s">
        <v>575</v>
      </c>
      <c r="K1" t="s">
        <v>576</v>
      </c>
      <c r="L1" t="s">
        <v>577</v>
      </c>
      <c r="M1" s="4" t="s">
        <v>581</v>
      </c>
      <c r="O1" s="23" t="s">
        <v>584</v>
      </c>
    </row>
    <row r="2" spans="1:16" x14ac:dyDescent="0.3">
      <c r="A2" t="s">
        <v>548</v>
      </c>
      <c r="B2" s="1">
        <v>45658</v>
      </c>
      <c r="C2" t="s">
        <v>549</v>
      </c>
      <c r="D2" t="s">
        <v>95</v>
      </c>
      <c r="E2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" t="s">
        <v>157</v>
      </c>
      <c r="G2" t="str">
        <f>_xlfn.XLOOKUP(Tabela_Movimentacao_Geral[[#This Row],[ID Produto]], Tabela_Produtos[ID_Produto],Tabela_Produtos[Descricao_Produto],"Produto não encontrado")</f>
        <v>Notebook i7 16GB 512GB SSD</v>
      </c>
      <c r="H2">
        <v>2</v>
      </c>
      <c r="I2" s="5">
        <f>_xlfn.XLOOKUP(Tabela_Movimentacao_Geral[[#This Row],[ID Produto]], Tabela_Produtos[ID_Produto],Tabela_Produtos[Preco_Unitario_Venda])</f>
        <v>5500</v>
      </c>
      <c r="J2" s="6">
        <f>Tabela_Movimentacao_Geral[[#This Row],[Quantidade]] * Tabela_Movimentacao_Geral[[#This Row],[Valor Unitário]]</f>
        <v>11000</v>
      </c>
      <c r="K2" t="s">
        <v>6</v>
      </c>
      <c r="L2" t="s">
        <v>7</v>
      </c>
      <c r="M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2" s="23"/>
    </row>
    <row r="3" spans="1:16" x14ac:dyDescent="0.3">
      <c r="A3" t="s">
        <v>550</v>
      </c>
      <c r="B3" s="1">
        <v>45659</v>
      </c>
      <c r="C3" t="s">
        <v>551</v>
      </c>
      <c r="D3" t="s">
        <v>11</v>
      </c>
      <c r="E3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3" t="s">
        <v>147</v>
      </c>
      <c r="G3" t="str">
        <f>_xlfn.XLOOKUP(Tabela_Movimentacao_Geral[[#This Row],[ID Produto]], Tabela_Produtos[ID_Produto],Tabela_Produtos[Descricao_Produto],"Produto não encontrado")</f>
        <v>Monitor 24 pol Full HD</v>
      </c>
      <c r="H3">
        <v>10</v>
      </c>
      <c r="I3" s="5">
        <f>_xlfn.XLOOKUP(Tabela_Movimentacao_Geral[[#This Row],[ID Produto]], Tabela_Produtos[ID_Produto],Tabela_Produtos[Preco_Unitario_Venda])</f>
        <v>850</v>
      </c>
      <c r="J3" s="6">
        <f>Tabela_Movimentacao_Geral[[#This Row],[Quantidade]] * Tabela_Movimentacao_Geral[[#This Row],[Valor Unitário]]</f>
        <v>8500</v>
      </c>
      <c r="K3" t="s">
        <v>2</v>
      </c>
      <c r="L3" t="s">
        <v>5</v>
      </c>
      <c r="M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45664</v>
      </c>
      <c r="O3" s="23"/>
    </row>
    <row r="4" spans="1:16" ht="14.4" customHeight="1" x14ac:dyDescent="0.3">
      <c r="A4" t="s">
        <v>552</v>
      </c>
      <c r="B4" s="1">
        <v>45660</v>
      </c>
      <c r="C4" t="s">
        <v>549</v>
      </c>
      <c r="D4" t="s">
        <v>83</v>
      </c>
      <c r="E4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4" t="s">
        <v>155</v>
      </c>
      <c r="G4" t="str">
        <f>_xlfn.XLOOKUP(Tabela_Movimentacao_Geral[[#This Row],[ID Produto]], Tabela_Produtos[ID_Produto],Tabela_Produtos[Descricao_Produto],"Produto não encontrado")</f>
        <v>Notebook i5 8GB 256GB SSD</v>
      </c>
      <c r="H4">
        <v>1</v>
      </c>
      <c r="I4" s="5">
        <f>_xlfn.XLOOKUP(Tabela_Movimentacao_Geral[[#This Row],[ID Produto]], Tabela_Produtos[ID_Produto],Tabela_Produtos[Preco_Unitario_Venda])</f>
        <v>3500</v>
      </c>
      <c r="J4" s="6">
        <f>Tabela_Movimentacao_Geral[[#This Row],[Quantidade]] * Tabela_Movimentacao_Geral[[#This Row],[Valor Unitário]]</f>
        <v>3500</v>
      </c>
      <c r="K4" t="s">
        <v>4</v>
      </c>
      <c r="L4" t="s">
        <v>7</v>
      </c>
      <c r="M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4" s="23"/>
      <c r="P4" s="16"/>
    </row>
    <row r="5" spans="1:16" x14ac:dyDescent="0.3">
      <c r="A5" t="s">
        <v>553</v>
      </c>
      <c r="B5" s="1">
        <v>45661</v>
      </c>
      <c r="C5" t="s">
        <v>549</v>
      </c>
      <c r="D5" t="s">
        <v>140</v>
      </c>
      <c r="E5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5" t="s">
        <v>151</v>
      </c>
      <c r="G5" t="str">
        <f>_xlfn.XLOOKUP(Tabela_Movimentacao_Geral[[#This Row],[ID Produto]], Tabela_Produtos[ID_Produto],Tabela_Produtos[Descricao_Produto],"Produto não encontrado")</f>
        <v>Mouse Sem Fio Optico</v>
      </c>
      <c r="H5">
        <v>5</v>
      </c>
      <c r="I5" s="5">
        <f>_xlfn.XLOOKUP(Tabela_Movimentacao_Geral[[#This Row],[ID Produto]], Tabela_Produtos[ID_Produto],Tabela_Produtos[Preco_Unitario_Venda])</f>
        <v>120</v>
      </c>
      <c r="J5" s="6">
        <f>Tabela_Movimentacao_Geral[[#This Row],[Quantidade]] * Tabela_Movimentacao_Geral[[#This Row],[Valor Unitário]]</f>
        <v>600</v>
      </c>
      <c r="K5" t="s">
        <v>6</v>
      </c>
      <c r="L5" t="s">
        <v>3</v>
      </c>
      <c r="M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5" s="23"/>
      <c r="P5" s="16"/>
    </row>
    <row r="6" spans="1:16" x14ac:dyDescent="0.3">
      <c r="A6" t="s">
        <v>554</v>
      </c>
      <c r="B6" s="1">
        <v>45662</v>
      </c>
      <c r="C6" t="s">
        <v>551</v>
      </c>
      <c r="D6" t="s">
        <v>40</v>
      </c>
      <c r="E6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6" t="s">
        <v>165</v>
      </c>
      <c r="G6" t="str">
        <f>_xlfn.XLOOKUP(Tabela_Movimentacao_Geral[[#This Row],[ID Produto]], Tabela_Produtos[ID_Produto],Tabela_Produtos[Descricao_Produto],"Produto não encontrado")</f>
        <v>SSD 480GB SATA3</v>
      </c>
      <c r="H6">
        <v>50</v>
      </c>
      <c r="I6" s="5">
        <f>_xlfn.XLOOKUP(Tabela_Movimentacao_Geral[[#This Row],[ID Produto]], Tabela_Produtos[ID_Produto],Tabela_Produtos[Preco_Unitario_Venda])</f>
        <v>320</v>
      </c>
      <c r="J6" s="6">
        <f>Tabela_Movimentacao_Geral[[#This Row],[Quantidade]] * Tabela_Movimentacao_Geral[[#This Row],[Valor Unitário]]</f>
        <v>16000</v>
      </c>
      <c r="K6" t="s">
        <v>6</v>
      </c>
      <c r="L6" t="s">
        <v>7</v>
      </c>
      <c r="M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45677</v>
      </c>
      <c r="O6" s="24"/>
      <c r="P6" s="16"/>
    </row>
    <row r="7" spans="1:16" ht="15" thickBot="1" x14ac:dyDescent="0.35">
      <c r="A7" t="s">
        <v>555</v>
      </c>
      <c r="B7" s="1">
        <v>45663</v>
      </c>
      <c r="C7" t="s">
        <v>549</v>
      </c>
      <c r="D7" t="s">
        <v>110</v>
      </c>
      <c r="E7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7" t="s">
        <v>229</v>
      </c>
      <c r="G7" t="str">
        <f>_xlfn.XLOOKUP(Tabela_Movimentacao_Geral[[#This Row],[ID Produto]], Tabela_Produtos[ID_Produto],Tabela_Produtos[Descricao_Produto],"Produto não encontrado")</f>
        <v>Docking Station Universal</v>
      </c>
      <c r="H7">
        <v>1</v>
      </c>
      <c r="I7" s="5">
        <f>_xlfn.XLOOKUP(Tabela_Movimentacao_Geral[[#This Row],[ID Produto]], Tabela_Produtos[ID_Produto],Tabela_Produtos[Preco_Unitario_Venda])</f>
        <v>890</v>
      </c>
      <c r="J7" s="6">
        <f>Tabela_Movimentacao_Geral[[#This Row],[Quantidade]] * Tabela_Movimentacao_Geral[[#This Row],[Valor Unitário]]</f>
        <v>890</v>
      </c>
      <c r="K7" t="s">
        <v>6</v>
      </c>
      <c r="L7" t="s">
        <v>7</v>
      </c>
      <c r="M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7" s="17" t="s">
        <v>583</v>
      </c>
    </row>
    <row r="8" spans="1:16" ht="15" thickBot="1" x14ac:dyDescent="0.35">
      <c r="A8" t="s">
        <v>556</v>
      </c>
      <c r="B8" s="1">
        <v>45664</v>
      </c>
      <c r="C8" t="s">
        <v>551</v>
      </c>
      <c r="D8" t="s">
        <v>61</v>
      </c>
      <c r="E8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8" t="s">
        <v>247</v>
      </c>
      <c r="G8" t="str">
        <f>_xlfn.XLOOKUP(Tabela_Movimentacao_Geral[[#This Row],[ID Produto]], Tabela_Produtos[ID_Produto],Tabela_Produtos[Descricao_Produto],"Produto não encontrado")</f>
        <v>Papel A4 Report 500fls</v>
      </c>
      <c r="H8">
        <v>100</v>
      </c>
      <c r="I8" s="5">
        <f>_xlfn.XLOOKUP(Tabela_Movimentacao_Geral[[#This Row],[ID Produto]], Tabela_Produtos[ID_Produto],Tabela_Produtos[Preco_Unitario_Venda])</f>
        <v>28</v>
      </c>
      <c r="J8" s="6">
        <f>Tabela_Movimentacao_Geral[[#This Row],[Quantidade]] * Tabela_Movimentacao_Geral[[#This Row],[Valor Unitário]]</f>
        <v>2800</v>
      </c>
      <c r="K8" t="s">
        <v>2</v>
      </c>
      <c r="L8" t="s">
        <v>5</v>
      </c>
      <c r="M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45667</v>
      </c>
    </row>
    <row r="9" spans="1:16" x14ac:dyDescent="0.3">
      <c r="A9" t="s">
        <v>557</v>
      </c>
      <c r="B9" s="1">
        <v>45665</v>
      </c>
      <c r="C9" t="s">
        <v>549</v>
      </c>
      <c r="D9" t="s">
        <v>89</v>
      </c>
      <c r="E9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" t="s">
        <v>357</v>
      </c>
      <c r="G9" t="str">
        <f>_xlfn.XLOOKUP(Tabela_Movimentacao_Geral[[#This Row],[ID Produto]], Tabela_Produtos[ID_Produto],Tabela_Produtos[Descricao_Produto],"Produto não encontrado")</f>
        <v>MacBook Air M2 13p</v>
      </c>
      <c r="H9">
        <v>1</v>
      </c>
      <c r="I9" s="5">
        <f>_xlfn.XLOOKUP(Tabela_Movimentacao_Geral[[#This Row],[ID Produto]], Tabela_Produtos[ID_Produto],Tabela_Produtos[Preco_Unitario_Venda])</f>
        <v>9500</v>
      </c>
      <c r="J9" s="6">
        <f>Tabela_Movimentacao_Geral[[#This Row],[Quantidade]] * Tabela_Movimentacao_Geral[[#This Row],[Valor Unitário]]</f>
        <v>9500</v>
      </c>
      <c r="K9" t="s">
        <v>6</v>
      </c>
      <c r="L9" t="s">
        <v>3</v>
      </c>
      <c r="M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9" s="25" t="s">
        <v>606</v>
      </c>
    </row>
    <row r="10" spans="1:16" x14ac:dyDescent="0.3">
      <c r="A10" t="s">
        <v>558</v>
      </c>
      <c r="B10" s="1">
        <v>45666</v>
      </c>
      <c r="C10" t="s">
        <v>549</v>
      </c>
      <c r="D10" t="s">
        <v>125</v>
      </c>
      <c r="E10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10" t="s">
        <v>169</v>
      </c>
      <c r="G10" t="str">
        <f>_xlfn.XLOOKUP(Tabela_Movimentacao_Geral[[#This Row],[ID Produto]], Tabela_Produtos[ID_Produto],Tabela_Produtos[Descricao_Produto],"Produto não encontrado")</f>
        <v>Webcam 1080p Business</v>
      </c>
      <c r="H10">
        <v>3</v>
      </c>
      <c r="I10" s="5">
        <f>_xlfn.XLOOKUP(Tabela_Movimentacao_Geral[[#This Row],[ID Produto]], Tabela_Produtos[ID_Produto],Tabela_Produtos[Preco_Unitario_Venda])</f>
        <v>450</v>
      </c>
      <c r="J10" s="6">
        <f>Tabela_Movimentacao_Geral[[#This Row],[Quantidade]] * Tabela_Movimentacao_Geral[[#This Row],[Valor Unitário]]</f>
        <v>1350</v>
      </c>
      <c r="K10" t="s">
        <v>4</v>
      </c>
      <c r="L10" t="s">
        <v>5</v>
      </c>
      <c r="M1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10" s="26"/>
    </row>
    <row r="11" spans="1:16" x14ac:dyDescent="0.3">
      <c r="A11" t="s">
        <v>559</v>
      </c>
      <c r="B11" s="1">
        <v>45667</v>
      </c>
      <c r="C11" t="s">
        <v>551</v>
      </c>
      <c r="D11" t="s">
        <v>76</v>
      </c>
      <c r="E11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11" t="s">
        <v>387</v>
      </c>
      <c r="G11" t="str">
        <f>_xlfn.XLOOKUP(Tabela_Movimentacao_Geral[[#This Row],[ID Produto]], Tabela_Produtos[ID_Produto],Tabela_Produtos[Descricao_Produto],"Produto não encontrado")</f>
        <v>Licenca SQL Server Standard</v>
      </c>
      <c r="H11">
        <v>1</v>
      </c>
      <c r="I11" s="5">
        <f>_xlfn.XLOOKUP(Tabela_Movimentacao_Geral[[#This Row],[ID Produto]], Tabela_Produtos[ID_Produto],Tabela_Produtos[Preco_Unitario_Venda])</f>
        <v>15000</v>
      </c>
      <c r="J11" s="6">
        <f>Tabela_Movimentacao_Geral[[#This Row],[Quantidade]] * Tabela_Movimentacao_Geral[[#This Row],[Valor Unitário]]</f>
        <v>15000</v>
      </c>
      <c r="K11" t="s">
        <v>6</v>
      </c>
      <c r="L11" t="s">
        <v>7</v>
      </c>
      <c r="M1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45668</v>
      </c>
      <c r="O11" s="26"/>
    </row>
    <row r="12" spans="1:16" x14ac:dyDescent="0.3">
      <c r="A12" t="s">
        <v>560</v>
      </c>
      <c r="B12" s="1">
        <v>45668</v>
      </c>
      <c r="C12" t="s">
        <v>549</v>
      </c>
      <c r="D12" t="s">
        <v>101</v>
      </c>
      <c r="E12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12" t="s">
        <v>149</v>
      </c>
      <c r="G12" t="str">
        <f>_xlfn.XLOOKUP(Tabela_Movimentacao_Geral[[#This Row],[ID Produto]], Tabela_Produtos[ID_Produto],Tabela_Produtos[Descricao_Produto],"Produto não encontrado")</f>
        <v>Teclado Mecanico RGB</v>
      </c>
      <c r="H12">
        <v>4</v>
      </c>
      <c r="I12" s="5">
        <f>_xlfn.XLOOKUP(Tabela_Movimentacao_Geral[[#This Row],[ID Produto]], Tabela_Produtos[ID_Produto],Tabela_Produtos[Preco_Unitario_Venda])</f>
        <v>350</v>
      </c>
      <c r="J12" s="6">
        <f>Tabela_Movimentacao_Geral[[#This Row],[Quantidade]] * Tabela_Movimentacao_Geral[[#This Row],[Valor Unitário]]</f>
        <v>1400</v>
      </c>
      <c r="K12" t="s">
        <v>2</v>
      </c>
      <c r="L12" t="s">
        <v>3</v>
      </c>
      <c r="M1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12" s="26"/>
    </row>
    <row r="13" spans="1:16" x14ac:dyDescent="0.3">
      <c r="A13" t="s">
        <v>561</v>
      </c>
      <c r="B13" s="1">
        <v>45669</v>
      </c>
      <c r="C13" t="s">
        <v>549</v>
      </c>
      <c r="D13" t="s">
        <v>107</v>
      </c>
      <c r="E13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13" t="s">
        <v>315</v>
      </c>
      <c r="G13" t="str">
        <f>_xlfn.XLOOKUP(Tabela_Movimentacao_Geral[[#This Row],[ID Produto]], Tabela_Produtos[ID_Produto],Tabela_Produtos[Descricao_Produto],"Produto não encontrado")</f>
        <v>Cabo Optico Patch Cord 3m</v>
      </c>
      <c r="H13">
        <v>20</v>
      </c>
      <c r="I13" s="5">
        <f>_xlfn.XLOOKUP(Tabela_Movimentacao_Geral[[#This Row],[ID Produto]], Tabela_Produtos[ID_Produto],Tabela_Produtos[Preco_Unitario_Venda])</f>
        <v>85</v>
      </c>
      <c r="J13" s="6">
        <f>Tabela_Movimentacao_Geral[[#This Row],[Quantidade]] * Tabela_Movimentacao_Geral[[#This Row],[Valor Unitário]]</f>
        <v>1700</v>
      </c>
      <c r="K13" t="s">
        <v>6</v>
      </c>
      <c r="L13" t="s">
        <v>7</v>
      </c>
      <c r="M1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13" s="26"/>
    </row>
    <row r="14" spans="1:16" x14ac:dyDescent="0.3">
      <c r="A14" t="s">
        <v>562</v>
      </c>
      <c r="B14" s="1">
        <v>45670</v>
      </c>
      <c r="C14" t="s">
        <v>551</v>
      </c>
      <c r="D14" t="s">
        <v>13</v>
      </c>
      <c r="E14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14" t="s">
        <v>189</v>
      </c>
      <c r="G14" t="str">
        <f>_xlfn.XLOOKUP(Tabela_Movimentacao_Geral[[#This Row],[ID Produto]], Tabela_Produtos[ID_Produto],Tabela_Produtos[Descricao_Produto],"Produto não encontrado")</f>
        <v>Licenca Windows 11 Pro</v>
      </c>
      <c r="H14">
        <v>10</v>
      </c>
      <c r="I14" s="5">
        <f>_xlfn.XLOOKUP(Tabela_Movimentacao_Geral[[#This Row],[ID Produto]], Tabela_Produtos[ID_Produto],Tabela_Produtos[Preco_Unitario_Venda])</f>
        <v>980</v>
      </c>
      <c r="J14" s="6">
        <f>Tabela_Movimentacao_Geral[[#This Row],[Quantidade]] * Tabela_Movimentacao_Geral[[#This Row],[Valor Unitário]]</f>
        <v>9800</v>
      </c>
      <c r="K14" t="s">
        <v>6</v>
      </c>
      <c r="L14" t="s">
        <v>7</v>
      </c>
      <c r="M1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45671</v>
      </c>
      <c r="O14" s="26"/>
    </row>
    <row r="15" spans="1:16" ht="15" thickBot="1" x14ac:dyDescent="0.35">
      <c r="A15" t="s">
        <v>563</v>
      </c>
      <c r="B15" s="1">
        <v>45671</v>
      </c>
      <c r="C15" t="s">
        <v>549</v>
      </c>
      <c r="D15" t="s">
        <v>134</v>
      </c>
      <c r="E15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15" t="s">
        <v>371</v>
      </c>
      <c r="G15" t="str">
        <f>_xlfn.XLOOKUP(Tabela_Movimentacao_Geral[[#This Row],[ID Produto]], Tabela_Produtos[ID_Produto],Tabela_Produtos[Descricao_Produto],"Produto não encontrado")</f>
        <v>Headphone Bluetooth NoiseC</v>
      </c>
      <c r="H15">
        <v>2</v>
      </c>
      <c r="I15" s="5">
        <f>_xlfn.XLOOKUP(Tabela_Movimentacao_Geral[[#This Row],[ID Produto]], Tabela_Produtos[ID_Produto],Tabela_Produtos[Preco_Unitario_Venda])</f>
        <v>950</v>
      </c>
      <c r="J15" s="6">
        <f>Tabela_Movimentacao_Geral[[#This Row],[Quantidade]] * Tabela_Movimentacao_Geral[[#This Row],[Valor Unitário]]</f>
        <v>1900</v>
      </c>
      <c r="K15" t="s">
        <v>2</v>
      </c>
      <c r="L15" t="s">
        <v>3</v>
      </c>
      <c r="M1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  <c r="O15" s="27"/>
    </row>
    <row r="16" spans="1:16" ht="15" thickBot="1" x14ac:dyDescent="0.35">
      <c r="A16" t="s">
        <v>564</v>
      </c>
      <c r="B16" s="1">
        <v>45672</v>
      </c>
      <c r="C16" t="s">
        <v>549</v>
      </c>
      <c r="D16" t="s">
        <v>86</v>
      </c>
      <c r="E16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16" t="s">
        <v>211</v>
      </c>
      <c r="G16" t="str">
        <f>_xlfn.XLOOKUP(Tabela_Movimentacao_Geral[[#This Row],[ID Produto]], Tabela_Produtos[ID_Produto],Tabela_Produtos[Descricao_Produto],"Produto não encontrado")</f>
        <v>Pendrive 64GB USB 3.1</v>
      </c>
      <c r="H16">
        <v>15</v>
      </c>
      <c r="I16" s="5">
        <f>_xlfn.XLOOKUP(Tabela_Movimentacao_Geral[[#This Row],[ID Produto]], Tabela_Produtos[ID_Produto],Tabela_Produtos[Preco_Unitario_Venda])</f>
        <v>65</v>
      </c>
      <c r="J16" s="6">
        <f>Tabela_Movimentacao_Geral[[#This Row],[Quantidade]] * Tabela_Movimentacao_Geral[[#This Row],[Valor Unitário]]</f>
        <v>975</v>
      </c>
      <c r="K16" t="s">
        <v>6</v>
      </c>
      <c r="L16" t="s">
        <v>7</v>
      </c>
      <c r="M1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7" spans="1:22" ht="16.2" thickBot="1" x14ac:dyDescent="0.35">
      <c r="A17" t="s">
        <v>565</v>
      </c>
      <c r="B17" s="1">
        <v>45673</v>
      </c>
      <c r="C17" t="s">
        <v>551</v>
      </c>
      <c r="D17" t="s">
        <v>49</v>
      </c>
      <c r="E17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17" t="s">
        <v>407</v>
      </c>
      <c r="G17" t="str">
        <f>_xlfn.XLOOKUP(Tabela_Movimentacao_Geral[[#This Row],[ID Produto]], Tabela_Produtos[ID_Produto],Tabela_Produtos[Descricao_Produto],"Produto não encontrado")</f>
        <v>Bateria Nobreak 12V 7Ah</v>
      </c>
      <c r="H17">
        <v>5</v>
      </c>
      <c r="I17" s="5">
        <f>_xlfn.XLOOKUP(Tabela_Movimentacao_Geral[[#This Row],[ID Produto]], Tabela_Produtos[ID_Produto],Tabela_Produtos[Preco_Unitario_Venda])</f>
        <v>145</v>
      </c>
      <c r="J17" s="6">
        <f>Tabela_Movimentacao_Geral[[#This Row],[Quantidade]] * Tabela_Movimentacao_Geral[[#This Row],[Valor Unitário]]</f>
        <v>725</v>
      </c>
      <c r="K17" t="s">
        <v>4</v>
      </c>
      <c r="L17" t="s">
        <v>5</v>
      </c>
      <c r="M1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45677</v>
      </c>
      <c r="O17" s="20" t="s">
        <v>607</v>
      </c>
      <c r="P17" s="21"/>
      <c r="Q17" s="21"/>
      <c r="R17" s="21"/>
      <c r="S17" s="21"/>
      <c r="T17" s="21"/>
      <c r="U17" s="21"/>
      <c r="V17" s="22"/>
    </row>
    <row r="18" spans="1:22" x14ac:dyDescent="0.3">
      <c r="A18" t="s">
        <v>566</v>
      </c>
      <c r="B18" s="1">
        <v>45674</v>
      </c>
      <c r="C18" t="s">
        <v>549</v>
      </c>
      <c r="D18" t="s">
        <v>92</v>
      </c>
      <c r="E18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18" t="s">
        <v>163</v>
      </c>
      <c r="G18" t="str">
        <f>_xlfn.XLOOKUP(Tabela_Movimentacao_Geral[[#This Row],[ID Produto]], Tabela_Produtos[ID_Produto],Tabela_Produtos[Descricao_Produto],"Produto não encontrado")</f>
        <v>Cabo HDMI 2.0 2m</v>
      </c>
      <c r="H18">
        <v>30</v>
      </c>
      <c r="I18" s="5">
        <f>_xlfn.XLOOKUP(Tabela_Movimentacao_Geral[[#This Row],[ID Produto]], Tabela_Produtos[ID_Produto],Tabela_Produtos[Preco_Unitario_Venda])</f>
        <v>45</v>
      </c>
      <c r="J18" s="6">
        <f>Tabela_Movimentacao_Geral[[#This Row],[Quantidade]] * Tabela_Movimentacao_Geral[[#This Row],[Valor Unitário]]</f>
        <v>1350</v>
      </c>
      <c r="K18" t="s">
        <v>6</v>
      </c>
      <c r="L18" t="s">
        <v>7</v>
      </c>
      <c r="M1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9" spans="1:22" x14ac:dyDescent="0.3">
      <c r="A19" t="s">
        <v>567</v>
      </c>
      <c r="B19" s="1">
        <v>45675</v>
      </c>
      <c r="C19" t="s">
        <v>551</v>
      </c>
      <c r="D19" t="s">
        <v>20</v>
      </c>
      <c r="E19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9" t="s">
        <v>523</v>
      </c>
      <c r="G19" t="str">
        <f>_xlfn.XLOOKUP(Tabela_Movimentacao_Geral[[#This Row],[ID Produto]], Tabela_Produtos[ID_Produto],Tabela_Produtos[Descricao_Produto],"Produto não encontrado")</f>
        <v>Switch Core Layer 3</v>
      </c>
      <c r="H19">
        <v>1</v>
      </c>
      <c r="I19" s="5">
        <f>_xlfn.XLOOKUP(Tabela_Movimentacao_Geral[[#This Row],[ID Produto]], Tabela_Produtos[ID_Produto],Tabela_Produtos[Preco_Unitario_Venda])</f>
        <v>22000</v>
      </c>
      <c r="J19" s="6">
        <f>Tabela_Movimentacao_Geral[[#This Row],[Quantidade]] * Tabela_Movimentacao_Geral[[#This Row],[Valor Unitário]]</f>
        <v>22000</v>
      </c>
      <c r="K19" t="s">
        <v>6</v>
      </c>
      <c r="L19" t="s">
        <v>7</v>
      </c>
      <c r="M1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45676</v>
      </c>
    </row>
    <row r="20" spans="1:22" x14ac:dyDescent="0.3">
      <c r="A20" t="s">
        <v>568</v>
      </c>
      <c r="B20" s="1">
        <v>45676</v>
      </c>
      <c r="C20" t="s">
        <v>549</v>
      </c>
      <c r="D20" t="s">
        <v>116</v>
      </c>
      <c r="E20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20" t="s">
        <v>159</v>
      </c>
      <c r="G20" t="str">
        <f>_xlfn.XLOOKUP(Tabela_Movimentacao_Geral[[#This Row],[ID Produto]], Tabela_Produtos[ID_Produto],Tabela_Produtos[Descricao_Produto],"Produto não encontrado")</f>
        <v>Impressora Laser Color</v>
      </c>
      <c r="H20">
        <v>1</v>
      </c>
      <c r="I20" s="5">
        <f>_xlfn.XLOOKUP(Tabela_Movimentacao_Geral[[#This Row],[ID Produto]], Tabela_Produtos[ID_Produto],Tabela_Produtos[Preco_Unitario_Venda])</f>
        <v>1800</v>
      </c>
      <c r="J20" s="6">
        <f>Tabela_Movimentacao_Geral[[#This Row],[Quantidade]] * Tabela_Movimentacao_Geral[[#This Row],[Valor Unitário]]</f>
        <v>1800</v>
      </c>
      <c r="K20" t="s">
        <v>6</v>
      </c>
      <c r="L20" t="s">
        <v>3</v>
      </c>
      <c r="M2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1" spans="1:22" x14ac:dyDescent="0.3">
      <c r="A21" t="s">
        <v>569</v>
      </c>
      <c r="B21" s="1">
        <v>45677</v>
      </c>
      <c r="C21" t="s">
        <v>549</v>
      </c>
      <c r="D21" t="s">
        <v>104</v>
      </c>
      <c r="E21" t="str">
        <f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21" t="s">
        <v>181</v>
      </c>
      <c r="G21" t="str">
        <f>_xlfn.XLOOKUP(Tabela_Movimentacao_Geral[[#This Row],[ID Produto]], Tabela_Produtos[ID_Produto],Tabela_Produtos[Descricao_Produto],"Produto não encontrado")</f>
        <v>HD Externo 1TB</v>
      </c>
      <c r="H21">
        <v>5</v>
      </c>
      <c r="I21" s="5">
        <f>_xlfn.XLOOKUP(Tabela_Movimentacao_Geral[[#This Row],[ID Produto]], Tabela_Produtos[ID_Produto],Tabela_Produtos[Preco_Unitario_Venda])</f>
        <v>380</v>
      </c>
      <c r="J21" s="6">
        <f>Tabela_Movimentacao_Geral[[#This Row],[Quantidade]] * Tabela_Movimentacao_Geral[[#This Row],[Valor Unitário]]</f>
        <v>1900</v>
      </c>
      <c r="K21" t="s">
        <v>2</v>
      </c>
      <c r="L21" t="s">
        <v>7</v>
      </c>
      <c r="M2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2" spans="1:22" x14ac:dyDescent="0.3">
      <c r="A22" t="str">
        <f>"T"&amp;TEXT(ROW(A22)-1,"0000")</f>
        <v>T0021</v>
      </c>
      <c r="B22" s="1">
        <v>45677</v>
      </c>
      <c r="C22" t="str" cm="1">
        <f t="array" aca="1" ref="C22" ca="1">IF($O$7="Desbloqueado",
  _xlfn.LET(
    _xlpm.saldo_atual, SUM(($C$2:$C21="Entrada")*($F$2:$F21=Tabela_Movimentacao_Geral[[#This Row],[ID Produto]])*($H$2:$H21) - ($C$2:$C21="Saida")*($F$2:$F21=Tabela_Movimentacao_Geral[[#This Row],[ID Produto]])*($H$2:$H21)),
    IF(_xlpm.saldo_atual &gt; 0, IF(RANDBETWEEN(0,10)&gt;3,"Saida","Entrada"), "Entrada")
  ),
  Tabela_Movimentacao_Geral[[#This Row],[Tipo Fluxo]]
)</f>
        <v>Entrada</v>
      </c>
      <c r="D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22" t="str">
        <f ca="1">IF(
  $O$7="Desbloqueado",
  "PROD"&amp;TEXT(RANDBETWEEN(1,200),"000"),
  Tabela_Movimentacao_Geral[[#This Row],[ID Produto]]
)</f>
        <v>PROD195</v>
      </c>
      <c r="G22" t="str">
        <f ca="1">_xlfn.XLOOKUP(Tabela_Movimentacao_Geral[[#This Row],[ID Produto]], Tabela_Produtos[ID_Produto],Tabela_Produtos[Descricao_Produto],"Produto não encontrado")</f>
        <v>Terminador Optico</v>
      </c>
      <c r="H22" cm="1">
        <f t="array" aca="1" ref="H22" ca="1">IF(
   $O$7="Desbloqueado",
   _xlfn.LET(
     _xlpm.saldo_atual, SUM(($C$2:$C21="Entrada")*($F$2:$F21=Tabela_Movimentacao_Geral[[#This Row],[ID Produto]])*($H$2:$H21) - ($C$2:$C21="Saida")*($F$2:$F21=Tabela_Movimentacao_Geral[[#This Row],[ID Produto]])*($H$2:$H21)),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22" s="5">
        <f ca="1">_xlfn.XLOOKUP(Tabela_Movimentacao_Geral[[#This Row],[ID Produto]], Tabela_Produtos[ID_Produto],Tabela_Produtos[Preco_Unitario_Venda])</f>
        <v>120</v>
      </c>
      <c r="J22" s="6">
        <f ca="1">Tabela_Movimentacao_Geral[[#This Row],[Quantidade]] * Tabela_Movimentacao_Geral[[#This Row],[Valor Unitário]]</f>
        <v>3480</v>
      </c>
      <c r="K22" t="str">
        <f ca="1">IF(
   $O$7="Desbloqueado",
   CHOOSE(RANDBETWEEN(1,3),"Pago","Pendente","Atrasado"),
   Tabela_Movimentacao_Geral[[#This Row],[Status Financeiro]]
)</f>
        <v>Atrasado</v>
      </c>
      <c r="L22" t="str">
        <f ca="1">IF(
   $O$7="Desbloqueado",
   CHOOSE(RANDBETWEEN(1,3),"Entregue","Em Rota","Aguardando"),
   Tabela_Movimentacao_Geral[[#This Row],[Status Logistico]]
)</f>
        <v>Em Rota</v>
      </c>
      <c r="M2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0</v>
      </c>
    </row>
    <row r="23" spans="1:22" x14ac:dyDescent="0.3">
      <c r="A23" t="str">
        <f t="shared" ref="A23:A86" si="0">"T"&amp;TEXT(ROW(A23)-1,"0000")</f>
        <v>T0022</v>
      </c>
      <c r="B23" s="1">
        <v>45677</v>
      </c>
      <c r="C23" t="str" cm="1">
        <f t="array" aca="1" ref="C23" ca="1">IF($O$7="Desbloqueado",
  _xlfn.LET(
    _xlpm.saldo_atual, SUM(($C$2:$C22="Entrada")*($F$2:$F22=Tabela_Movimentacao_Geral[[#This Row],[ID Produto]])*($H$2:$H22) - ($C$2:$C22="Saida")*($F$2:$F22=Tabela_Movimentacao_Geral[[#This Row],[ID Produto]])*($H$2:$H22)),
    IF(_xlpm.saldo_atual &gt; 0, IF(RANDBETWEEN(0,10)&gt;3,"Saida","Entrada"), "Entrada")
  ),
  Tabela_Movimentacao_Geral[[#This Row],[Tipo Fluxo]]
)</f>
        <v>Entrada</v>
      </c>
      <c r="D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23" t="str">
        <f ca="1">IF(
  $O$7="Desbloqueado",
  "PROD"&amp;TEXT(RANDBETWEEN(1,200),"000"),
  Tabela_Movimentacao_Geral[[#This Row],[ID Produto]]
)</f>
        <v>PROD157</v>
      </c>
      <c r="G23" t="str">
        <f ca="1">_xlfn.XLOOKUP(Tabela_Movimentacao_Geral[[#This Row],[ID Produto]], Tabela_Produtos[ID_Produto],Tabela_Produtos[Descricao_Produto],"Produto não encontrado")</f>
        <v>Fita Dupla Face 3M</v>
      </c>
      <c r="H23" cm="1">
        <f t="array" aca="1" ref="H23" ca="1">IF(
   $O$7="Desbloqueado",
   _xlfn.LET(
     _xlpm.saldo_atual, SUM(($C$2:$C22="Entrada")*($F$2:$F22=Tabela_Movimentacao_Geral[[#This Row],[ID Produto]])*($H$2:$H22) - ($C$2:$C22="Saida")*($F$2:$F22=Tabela_Movimentacao_Geral[[#This Row],[ID Produto]])*($H$2:$H22)),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95</v>
      </c>
      <c r="I23" s="5">
        <f ca="1">_xlfn.XLOOKUP(Tabela_Movimentacao_Geral[[#This Row],[ID Produto]], Tabela_Produtos[ID_Produto],Tabela_Produtos[Preco_Unitario_Venda])</f>
        <v>28</v>
      </c>
      <c r="J23" s="6">
        <f ca="1">Tabela_Movimentacao_Geral[[#This Row],[Quantidade]] * Tabela_Movimentacao_Geral[[#This Row],[Valor Unitário]]</f>
        <v>2660</v>
      </c>
      <c r="K23" t="str">
        <f ca="1">IF(
   $O$7="Desbloqueado",
   CHOOSE(RANDBETWEEN(1,3),"Pago","Pendente","Atrasado"),
   Tabela_Movimentacao_Geral[[#This Row],[Status Financeiro]]
)</f>
        <v>Pendente</v>
      </c>
      <c r="L23" t="str">
        <f ca="1">IF(
   $O$7="Desbloqueado",
   CHOOSE(RANDBETWEEN(1,3),"Entregue","Em Rota","Aguardando"),
   Tabela_Movimentacao_Geral[[#This Row],[Status Logistico]]
)</f>
        <v>Entregue</v>
      </c>
      <c r="M2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45684</v>
      </c>
    </row>
    <row r="24" spans="1:22" x14ac:dyDescent="0.3">
      <c r="A24" t="str">
        <f t="shared" si="0"/>
        <v>T0023</v>
      </c>
      <c r="B24" s="1">
        <v>45677</v>
      </c>
      <c r="C24" t="str" cm="1">
        <f t="array" aca="1" ref="C24" ca="1">IF($O$7="Desbloqueado",
  _xlfn.LET(
    _xlpm.saldo_atual, SUM(($C$2:$C23="Entrada")*($F$2:$F23=Tabela_Movimentacao_Geral[[#This Row],[ID Produto]])*($H$2:$H23) - ($C$2:$C23="Saida")*($F$2:$F23=Tabela_Movimentacao_Geral[[#This Row],[ID Produto]])*($H$2:$H23)),
    IF(_xlpm.saldo_atual &gt; 0, IF(RANDBETWEEN(0,10)&gt;3,"Saida","Entrada"), "Entrada")
  ),
  Tabela_Movimentacao_Geral[[#This Row],[Tipo Fluxo]]
)</f>
        <v>Entrada</v>
      </c>
      <c r="D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24" t="str">
        <f ca="1">IF(
  $O$7="Desbloqueado",
  "PROD"&amp;TEXT(RANDBETWEEN(1,200),"000"),
  Tabela_Movimentacao_Geral[[#This Row],[ID Produto]]
)</f>
        <v>PROD074</v>
      </c>
      <c r="G24" t="str">
        <f ca="1">_xlfn.XLOOKUP(Tabela_Movimentacao_Geral[[#This Row],[ID Produto]], Tabela_Produtos[ID_Produto],Tabela_Produtos[Descricao_Produto],"Produto não encontrado")</f>
        <v>Cordao para Cracha</v>
      </c>
      <c r="H24" cm="1">
        <f t="array" aca="1" ref="H24" ca="1">IF(
   $O$7="Desbloqueado",
   _xlfn.LET(
     _xlpm.saldo_atual, SUM(($C$2:$C23="Entrada")*($F$2:$F23=Tabela_Movimentacao_Geral[[#This Row],[ID Produto]])*($H$2:$H23) - ($C$2:$C23="Saida")*($F$2:$F23=Tabela_Movimentacao_Geral[[#This Row],[ID Produto]])*($H$2:$H23)),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372</v>
      </c>
      <c r="I24" s="5">
        <f ca="1">_xlfn.XLOOKUP(Tabela_Movimentacao_Geral[[#This Row],[ID Produto]], Tabela_Produtos[ID_Produto],Tabela_Produtos[Preco_Unitario_Venda])</f>
        <v>3.5</v>
      </c>
      <c r="J24" s="6">
        <f ca="1">Tabela_Movimentacao_Geral[[#This Row],[Quantidade]] * Tabela_Movimentacao_Geral[[#This Row],[Valor Unitário]]</f>
        <v>1302</v>
      </c>
      <c r="K24" t="str">
        <f ca="1">IF(
   $O$7="Desbloqueado",
   CHOOSE(RANDBETWEEN(1,3),"Pago","Pendente","Atrasado"),
   Tabela_Movimentacao_Geral[[#This Row],[Status Financeiro]]
)</f>
        <v>Pago</v>
      </c>
      <c r="L24" t="str">
        <f ca="1">IF(
   $O$7="Desbloqueado",
   CHOOSE(RANDBETWEEN(1,3),"Entregue","Em Rota","Aguardando"),
   Tabela_Movimentacao_Geral[[#This Row],[Status Logistico]]
)</f>
        <v>Em Rota</v>
      </c>
      <c r="M2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45682</v>
      </c>
    </row>
    <row r="25" spans="1:22" x14ac:dyDescent="0.3">
      <c r="A25" t="str">
        <f t="shared" si="0"/>
        <v>T0024</v>
      </c>
      <c r="B25" s="1">
        <v>45678</v>
      </c>
      <c r="C25" t="str" cm="1">
        <f t="array" aca="1" ref="C25" ca="1">IF($O$7="Desbloqueado",
  _xlfn.LET(
    _xlpm.saldo_atual, SUM(($C$2:$C24="Entrada")*($F$2:$F24=Tabela_Movimentacao_Geral[[#This Row],[ID Produto]])*($H$2:$H24) - ($C$2:$C24="Saida")*($F$2:$F24=Tabela_Movimentacao_Geral[[#This Row],[ID Produto]])*($H$2:$H24)),
    IF(_xlpm.saldo_atual &gt; 0, IF(RANDBETWEEN(0,10)&gt;3,"Saida","Entrada"), "Entrada")
  ),
  Tabela_Movimentacao_Geral[[#This Row],[Tipo Fluxo]]
)</f>
        <v>Entrada</v>
      </c>
      <c r="D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25" t="str">
        <f ca="1">IF(
  $O$7="Desbloqueado",
  "PROD"&amp;TEXT(RANDBETWEEN(1,200),"000"),
  Tabela_Movimentacao_Geral[[#This Row],[ID Produto]]
)</f>
        <v>PROD175</v>
      </c>
      <c r="G25" t="str">
        <f ca="1">_xlfn.XLOOKUP(Tabela_Movimentacao_Geral[[#This Row],[ID Produto]], Tabela_Produtos[ID_Produto],Tabela_Produtos[Descricao_Produto],"Produto não encontrado")</f>
        <v>Plastico Bolha 1.2x50m</v>
      </c>
      <c r="H25" cm="1">
        <f t="array" aca="1" ref="H25" ca="1">IF(
   $O$7="Desbloqueado",
   _xlfn.LET(
     _xlpm.saldo_atual, SUM(($C$2:$C24="Entrada")*($F$2:$F24=Tabela_Movimentacao_Geral[[#This Row],[ID Produto]])*($H$2:$H24) - ($C$2:$C24="Saida")*($F$2:$F24=Tabela_Movimentacao_Geral[[#This Row],[ID Produto]])*($H$2:$H24)),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99</v>
      </c>
      <c r="I25" s="5">
        <f ca="1">_xlfn.XLOOKUP(Tabela_Movimentacao_Geral[[#This Row],[ID Produto]], Tabela_Produtos[ID_Produto],Tabela_Produtos[Preco_Unitario_Venda])</f>
        <v>110</v>
      </c>
      <c r="J25" s="6">
        <f ca="1">Tabela_Movimentacao_Geral[[#This Row],[Quantidade]] * Tabela_Movimentacao_Geral[[#This Row],[Valor Unitário]]</f>
        <v>10890</v>
      </c>
      <c r="K25" t="str">
        <f ca="1">IF(
   $O$7="Desbloqueado",
   CHOOSE(RANDBETWEEN(1,3),"Pago","Pendente","Atrasado"),
   Tabela_Movimentacao_Geral[[#This Row],[Status Financeiro]]
)</f>
        <v>Pago</v>
      </c>
      <c r="L25" t="str">
        <f ca="1">IF(
   $O$7="Desbloqueado",
   CHOOSE(RANDBETWEEN(1,3),"Entregue","Em Rota","Aguardando"),
   Tabela_Movimentacao_Geral[[#This Row],[Status Logistico]]
)</f>
        <v>Em Rota</v>
      </c>
      <c r="M2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45688</v>
      </c>
    </row>
    <row r="26" spans="1:22" x14ac:dyDescent="0.3">
      <c r="A26" t="str">
        <f t="shared" si="0"/>
        <v>T0025</v>
      </c>
      <c r="B26" s="1">
        <v>45679</v>
      </c>
      <c r="C26" t="str" cm="1">
        <f t="array" aca="1" ref="C26" ca="1">IF($O$7="Desbloqueado",
  _xlfn.LET(
    _xlpm.saldo_atual, SUM(($C$2:$C25="Entrada")*($F$2:$F25=Tabela_Movimentacao_Geral[[#This Row],[ID Produto]])*($H$2:$H25) - ($C$2:$C25="Saida")*($F$2:$F25=Tabela_Movimentacao_Geral[[#This Row],[ID Produto]])*($H$2:$H25)),
    IF(_xlpm.saldo_atual &gt; 0, IF(RANDBETWEEN(0,10)&gt;3,"Saida","Entrada"), "Entrada")
  ),
  Tabela_Movimentacao_Geral[[#This Row],[Tipo Fluxo]]
)</f>
        <v>Entrada</v>
      </c>
      <c r="D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26" t="str">
        <f ca="1">IF(
  $O$7="Desbloqueado",
  "PROD"&amp;TEXT(RANDBETWEEN(1,200),"000"),
  Tabela_Movimentacao_Geral[[#This Row],[ID Produto]]
)</f>
        <v>PROD128</v>
      </c>
      <c r="G26" t="str">
        <f ca="1">_xlfn.XLOOKUP(Tabela_Movimentacao_Geral[[#This Row],[ID Produto]], Tabela_Produtos[ID_Produto],Tabela_Produtos[Descricao_Produto],"Produto não encontrado")</f>
        <v>Cabo de Rede Cat5e 5m</v>
      </c>
      <c r="H26" cm="1">
        <f t="array" aca="1" ref="H26" ca="1">IF(
   $O$7="Desbloqueado",
   _xlfn.LET(
     _xlpm.saldo_atual, SUM(($C$2:$C25="Entrada")*($F$2:$F25=Tabela_Movimentacao_Geral[[#This Row],[ID Produto]])*($H$2:$H25) - ($C$2:$C25="Saida")*($F$2:$F25=Tabela_Movimentacao_Geral[[#This Row],[ID Produto]])*($H$2:$H25)),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179</v>
      </c>
      <c r="I26" s="5">
        <f ca="1">_xlfn.XLOOKUP(Tabela_Movimentacao_Geral[[#This Row],[ID Produto]], Tabela_Produtos[ID_Produto],Tabela_Produtos[Preco_Unitario_Venda])</f>
        <v>18</v>
      </c>
      <c r="J26" s="6">
        <f ca="1">Tabela_Movimentacao_Geral[[#This Row],[Quantidade]] * Tabela_Movimentacao_Geral[[#This Row],[Valor Unitário]]</f>
        <v>3222</v>
      </c>
      <c r="K26" t="str">
        <f ca="1">IF(
   $O$7="Desbloqueado",
   CHOOSE(RANDBETWEEN(1,3),"Pago","Pendente","Atrasado"),
   Tabela_Movimentacao_Geral[[#This Row],[Status Financeiro]]
)</f>
        <v>Pendente</v>
      </c>
      <c r="L26" t="str">
        <f ca="1">IF(
   $O$7="Desbloqueado",
   CHOOSE(RANDBETWEEN(1,3),"Entregue","Em Rota","Aguardando"),
   Tabela_Movimentacao_Geral[[#This Row],[Status Logistico]]
)</f>
        <v>Aguardando</v>
      </c>
      <c r="M2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45684</v>
      </c>
    </row>
    <row r="27" spans="1:22" x14ac:dyDescent="0.3">
      <c r="A27" t="str">
        <f t="shared" si="0"/>
        <v>T0026</v>
      </c>
      <c r="B27" s="1">
        <v>45679</v>
      </c>
      <c r="C27" t="str" cm="1">
        <f t="array" aca="1" ref="C27" ca="1">IF($O$7="Desbloqueado",
  _xlfn.LET(
    _xlpm.saldo_atual, SUM(($C$2:$C26="Entrada")*($F$2:$F26=Tabela_Movimentacao_Geral[[#This Row],[ID Produto]])*($H$2:$H26) - ($C$2:$C26="Saida")*($F$2:$F26=Tabela_Movimentacao_Geral[[#This Row],[ID Produto]])*($H$2:$H26)),
    IF(_xlpm.saldo_atual &gt; 0, IF(RANDBETWEEN(0,10)&gt;3,"Saida","Entrada"), "Entrada")
  ),
  Tabela_Movimentacao_Geral[[#This Row],[Tipo Fluxo]]
)</f>
        <v>Entrada</v>
      </c>
      <c r="D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27" t="str">
        <f ca="1">IF(
  $O$7="Desbloqueado",
  "PROD"&amp;TEXT(RANDBETWEEN(1,200),"000"),
  Tabela_Movimentacao_Geral[[#This Row],[ID Produto]]
)</f>
        <v>PROD135</v>
      </c>
      <c r="G27" t="str">
        <f ca="1">_xlfn.XLOOKUP(Tabela_Movimentacao_Geral[[#This Row],[ID Produto]], Tabela_Produtos[ID_Produto],Tabela_Produtos[Descricao_Produto],"Produto não encontrado")</f>
        <v>Ponteira Laser Apresentador</v>
      </c>
      <c r="H27" cm="1">
        <f t="array" aca="1" ref="H27" ca="1">IF(
   $O$7="Desbloqueado",
   _xlfn.LET(
     _xlpm.saldo_atual, SUM(($C$2:$C26="Entrada")*($F$2:$F26=Tabela_Movimentacao_Geral[[#This Row],[ID Produto]])*($H$2:$H26) - ($C$2:$C26="Saida")*($F$2:$F26=Tabela_Movimentacao_Geral[[#This Row],[ID Produto]])*($H$2:$H26)),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27" s="5">
        <f ca="1">_xlfn.XLOOKUP(Tabela_Movimentacao_Geral[[#This Row],[ID Produto]], Tabela_Produtos[ID_Produto],Tabela_Produtos[Preco_Unitario_Venda])</f>
        <v>120</v>
      </c>
      <c r="J27" s="6">
        <f ca="1">Tabela_Movimentacao_Geral[[#This Row],[Quantidade]] * Tabela_Movimentacao_Geral[[#This Row],[Valor Unitário]]</f>
        <v>5040</v>
      </c>
      <c r="K27" t="str">
        <f ca="1">IF(
   $O$7="Desbloqueado",
   CHOOSE(RANDBETWEEN(1,3),"Pago","Pendente","Atrasado"),
   Tabela_Movimentacao_Geral[[#This Row],[Status Financeiro]]
)</f>
        <v>Pago</v>
      </c>
      <c r="L27" t="str">
        <f ca="1">IF(
   $O$7="Desbloqueado",
   CHOOSE(RANDBETWEEN(1,3),"Entregue","Em Rota","Aguardando"),
   Tabela_Movimentacao_Geral[[#This Row],[Status Logistico]]
)</f>
        <v>Em Rota</v>
      </c>
      <c r="M2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45681</v>
      </c>
    </row>
    <row r="28" spans="1:22" x14ac:dyDescent="0.3">
      <c r="A28" t="str">
        <f t="shared" si="0"/>
        <v>T0027</v>
      </c>
      <c r="B28" s="1">
        <v>45679</v>
      </c>
      <c r="C28" t="str" cm="1">
        <f t="array" aca="1" ref="C28" ca="1">IF($O$7="Desbloqueado",
  _xlfn.LET(
    _xlpm.saldo_atual, SUM(($C$2:$C27="Entrada")*($F$2:$F27=Tabela_Movimentacao_Geral[[#This Row],[ID Produto]])*($H$2:$H27) - ($C$2:$C27="Saida")*($F$2:$F27=Tabela_Movimentacao_Geral[[#This Row],[ID Produto]])*($H$2:$H27)),
    IF(_xlpm.saldo_atual &gt; 0, IF(RANDBETWEEN(0,10)&gt;3,"Saida","Entrada"), "Entrada")
  ),
  Tabela_Movimentacao_Geral[[#This Row],[Tipo Fluxo]]
)</f>
        <v>Entrada</v>
      </c>
      <c r="D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28" t="str">
        <f ca="1">IF(
  $O$7="Desbloqueado",
  "PROD"&amp;TEXT(RANDBETWEEN(1,200),"000"),
  Tabela_Movimentacao_Geral[[#This Row],[ID Produto]]
)</f>
        <v>PROD150</v>
      </c>
      <c r="G28" t="str">
        <f ca="1">_xlfn.XLOOKUP(Tabela_Movimentacao_Geral[[#This Row],[ID Produto]], Tabela_Produtos[ID_Produto],Tabela_Produtos[Descricao_Produto],"Produto não encontrado")</f>
        <v>Lanterna de Led Inspeção</v>
      </c>
      <c r="H28" cm="1">
        <f t="array" aca="1" ref="H28" ca="1">IF(
   $O$7="Desbloqueado",
   _xlfn.LET(
     _xlpm.saldo_atual, SUM(($C$2:$C27="Entrada")*($F$2:$F27=Tabela_Movimentacao_Geral[[#This Row],[ID Produto]])*($H$2:$H27) - ($C$2:$C27="Saida")*($F$2:$F27=Tabela_Movimentacao_Geral[[#This Row],[ID Produto]])*($H$2:$H27)),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28" s="5">
        <f ca="1">_xlfn.XLOOKUP(Tabela_Movimentacao_Geral[[#This Row],[ID Produto]], Tabela_Produtos[ID_Produto],Tabela_Produtos[Preco_Unitario_Venda])</f>
        <v>55</v>
      </c>
      <c r="J28" s="6">
        <f ca="1">Tabela_Movimentacao_Geral[[#This Row],[Quantidade]] * Tabela_Movimentacao_Geral[[#This Row],[Valor Unitário]]</f>
        <v>4015</v>
      </c>
      <c r="K28" t="str">
        <f ca="1">IF(
   $O$7="Desbloqueado",
   CHOOSE(RANDBETWEEN(1,3),"Pago","Pendente","Atrasado"),
   Tabela_Movimentacao_Geral[[#This Row],[Status Financeiro]]
)</f>
        <v>Pendente</v>
      </c>
      <c r="L28" t="str">
        <f ca="1">IF(
   $O$7="Desbloqueado",
   CHOOSE(RANDBETWEEN(1,3),"Entregue","Em Rota","Aguardando"),
   Tabela_Movimentacao_Geral[[#This Row],[Status Logistico]]
)</f>
        <v>Em Rota</v>
      </c>
      <c r="M2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45694</v>
      </c>
    </row>
    <row r="29" spans="1:22" x14ac:dyDescent="0.3">
      <c r="A29" t="str">
        <f t="shared" si="0"/>
        <v>T0028</v>
      </c>
      <c r="B29" s="1">
        <v>45679</v>
      </c>
      <c r="C29" t="str" cm="1">
        <f t="array" aca="1" ref="C29" ca="1">IF($O$7="Desbloqueado",
  _xlfn.LET(
    _xlpm.saldo_atual, SUM(($C$2:$C28="Entrada")*($F$2:$F28=Tabela_Movimentacao_Geral[[#This Row],[ID Produto]])*($H$2:$H28) - ($C$2:$C28="Saida")*($F$2:$F28=Tabela_Movimentacao_Geral[[#This Row],[ID Produto]])*($H$2:$H28)),
    IF(_xlpm.saldo_atual &gt; 0, IF(RANDBETWEEN(0,10)&gt;3,"Saida","Entrada"), "Entrada")
  ),
  Tabela_Movimentacao_Geral[[#This Row],[Tipo Fluxo]]
)</f>
        <v>Entrada</v>
      </c>
      <c r="D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29" t="str">
        <f ca="1">IF(
  $O$7="Desbloqueado",
  "PROD"&amp;TEXT(RANDBETWEEN(1,200),"000"),
  Tabela_Movimentacao_Geral[[#This Row],[ID Produto]]
)</f>
        <v>PROD195</v>
      </c>
      <c r="G29" t="str">
        <f ca="1">_xlfn.XLOOKUP(Tabela_Movimentacao_Geral[[#This Row],[ID Produto]], Tabela_Produtos[ID_Produto],Tabela_Produtos[Descricao_Produto],"Produto não encontrado")</f>
        <v>Terminador Optico</v>
      </c>
      <c r="H29" cm="1">
        <f t="array" aca="1" ref="H29" ca="1">IF(
   $O$7="Desbloqueado",
   _xlfn.LET(
     _xlpm.saldo_atual, SUM(($C$2:$C28="Entrada")*($F$2:$F28=Tabela_Movimentacao_Geral[[#This Row],[ID Produto]])*($H$2:$H28) - ($C$2:$C28="Saida")*($F$2:$F28=Tabela_Movimentacao_Geral[[#This Row],[ID Produto]])*($H$2:$H28)),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83</v>
      </c>
      <c r="I29" s="5">
        <f ca="1">_xlfn.XLOOKUP(Tabela_Movimentacao_Geral[[#This Row],[ID Produto]], Tabela_Produtos[ID_Produto],Tabela_Produtos[Preco_Unitario_Venda])</f>
        <v>120</v>
      </c>
      <c r="J29" s="6">
        <f ca="1">Tabela_Movimentacao_Geral[[#This Row],[Quantidade]] * Tabela_Movimentacao_Geral[[#This Row],[Valor Unitário]]</f>
        <v>9960</v>
      </c>
      <c r="K29" t="str">
        <f ca="1">IF(
   $O$7="Desbloqueado",
   CHOOSE(RANDBETWEEN(1,3),"Pago","Pendente","Atrasado"),
   Tabela_Movimentacao_Geral[[#This Row],[Status Financeiro]]
)</f>
        <v>Pendente</v>
      </c>
      <c r="L29" t="str">
        <f ca="1">IF(
   $O$7="Desbloqueado",
   CHOOSE(RANDBETWEEN(1,3),"Entregue","Em Rota","Aguardando"),
   Tabela_Movimentacao_Geral[[#This Row],[Status Logistico]]
)</f>
        <v>Aguardando</v>
      </c>
      <c r="M2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45682</v>
      </c>
    </row>
    <row r="30" spans="1:22" x14ac:dyDescent="0.3">
      <c r="A30" t="str">
        <f t="shared" si="0"/>
        <v>T0029</v>
      </c>
      <c r="B30" s="1">
        <v>45679</v>
      </c>
      <c r="C30" t="str" cm="1">
        <f t="array" aca="1" ref="C30" ca="1">IF($O$7="Desbloqueado",
  _xlfn.LET(
    _xlpm.saldo_atual, SUM(($C$2:$C29="Entrada")*($F$2:$F29=Tabela_Movimentacao_Geral[[#This Row],[ID Produto]])*($H$2:$H29) - ($C$2:$C29="Saida")*($F$2:$F29=Tabela_Movimentacao_Geral[[#This Row],[ID Produto]])*($H$2:$H29)),
    IF(_xlpm.saldo_atual &gt; 0, IF(RANDBETWEEN(0,10)&gt;3,"Saida","Entrada"), "Entrada")
  ),
  Tabela_Movimentacao_Geral[[#This Row],[Tipo Fluxo]]
)</f>
        <v>Entrada</v>
      </c>
      <c r="D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30" t="str">
        <f ca="1">IF(
  $O$7="Desbloqueado",
  "PROD"&amp;TEXT(RANDBETWEEN(1,200),"000"),
  Tabela_Movimentacao_Geral[[#This Row],[ID Produto]]
)</f>
        <v>PROD057</v>
      </c>
      <c r="G30" t="str">
        <f ca="1">_xlfn.XLOOKUP(Tabela_Movimentacao_Geral[[#This Row],[ID Produto]], Tabela_Produtos[ID_Produto],Tabela_Produtos[Descricao_Produto],"Produto não encontrado")</f>
        <v>Caneta Esferografica Azul</v>
      </c>
      <c r="H30" cm="1">
        <f t="array" aca="1" ref="H30" ca="1">IF(
   $O$7="Desbloqueado",
   _xlfn.LET(
     _xlpm.saldo_atual, SUM(($C$2:$C29="Entrada")*($F$2:$F29=Tabela_Movimentacao_Geral[[#This Row],[ID Produto]])*($H$2:$H29) - ($C$2:$C29="Saida")*($F$2:$F29=Tabela_Movimentacao_Geral[[#This Row],[ID Produto]])*($H$2:$H29)),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574</v>
      </c>
      <c r="I30" s="5">
        <f ca="1">_xlfn.XLOOKUP(Tabela_Movimentacao_Geral[[#This Row],[ID Produto]], Tabela_Produtos[ID_Produto],Tabela_Produtos[Preco_Unitario_Venda])</f>
        <v>1.5</v>
      </c>
      <c r="J30" s="6">
        <f ca="1">Tabela_Movimentacao_Geral[[#This Row],[Quantidade]] * Tabela_Movimentacao_Geral[[#This Row],[Valor Unitário]]</f>
        <v>861</v>
      </c>
      <c r="K30" t="str">
        <f ca="1">IF(
   $O$7="Desbloqueado",
   CHOOSE(RANDBETWEEN(1,3),"Pago","Pendente","Atrasado"),
   Tabela_Movimentacao_Geral[[#This Row],[Status Financeiro]]
)</f>
        <v>Pago</v>
      </c>
      <c r="L30" t="str">
        <f ca="1">IF(
   $O$7="Desbloqueado",
   CHOOSE(RANDBETWEEN(1,3),"Entregue","Em Rota","Aguardando"),
   Tabela_Movimentacao_Geral[[#This Row],[Status Logistico]]
)</f>
        <v>Entregue</v>
      </c>
      <c r="M3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45684</v>
      </c>
      <c r="P30">
        <f>8</f>
        <v>8</v>
      </c>
    </row>
    <row r="31" spans="1:22" x14ac:dyDescent="0.3">
      <c r="A31" t="str">
        <f t="shared" si="0"/>
        <v>T0030</v>
      </c>
      <c r="B31" s="1">
        <v>45680</v>
      </c>
      <c r="C31" t="str" cm="1">
        <f t="array" aca="1" ref="C31" ca="1">IF($O$7="Desbloqueado",
  _xlfn.LET(
    _xlpm.saldo_atual, SUM(($C$2:$C30="Entrada")*($F$2:$F30=Tabela_Movimentacao_Geral[[#This Row],[ID Produto]])*($H$2:$H30) - ($C$2:$C30="Saida")*($F$2:$F30=Tabela_Movimentacao_Geral[[#This Row],[ID Produto]])*($H$2:$H30)),
    IF(_xlpm.saldo_atual &gt; 0, IF(RANDBETWEEN(0,10)&gt;3,"Saida","Entrada"), "Entrada")
  ),
  Tabela_Movimentacao_Geral[[#This Row],[Tipo Fluxo]]
)</f>
        <v>Entrada</v>
      </c>
      <c r="D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31" t="str">
        <f ca="1">IF(
  $O$7="Desbloqueado",
  "PROD"&amp;TEXT(RANDBETWEEN(1,200),"000"),
  Tabela_Movimentacao_Geral[[#This Row],[ID Produto]]
)</f>
        <v>PROD078</v>
      </c>
      <c r="G31" t="str">
        <f ca="1">_xlfn.XLOOKUP(Tabela_Movimentacao_Geral[[#This Row],[ID Produto]], Tabela_Produtos[ID_Produto],Tabela_Produtos[Descricao_Produto],"Produto não encontrado")</f>
        <v>Porta Canetas Telado</v>
      </c>
      <c r="H31" cm="1">
        <f t="array" aca="1" ref="H31" ca="1">IF(
   $O$7="Desbloqueado",
   _xlfn.LET(
     _xlpm.saldo_atual, SUM(($C$2:$C30="Entrada")*($F$2:$F30=Tabela_Movimentacao_Geral[[#This Row],[ID Produto]])*($H$2:$H30) - ($C$2:$C30="Saida")*($F$2:$F30=Tabela_Movimentacao_Geral[[#This Row],[ID Produto]])*($H$2:$H30)),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128</v>
      </c>
      <c r="I31" s="5">
        <f ca="1">_xlfn.XLOOKUP(Tabela_Movimentacao_Geral[[#This Row],[ID Produto]], Tabela_Produtos[ID_Produto],Tabela_Produtos[Preco_Unitario_Venda])</f>
        <v>15</v>
      </c>
      <c r="J31" s="6">
        <f ca="1">Tabela_Movimentacao_Geral[[#This Row],[Quantidade]] * Tabela_Movimentacao_Geral[[#This Row],[Valor Unitário]]</f>
        <v>1920</v>
      </c>
      <c r="K31" t="str">
        <f ca="1">IF(
   $O$7="Desbloqueado",
   CHOOSE(RANDBETWEEN(1,3),"Pago","Pendente","Atrasado"),
   Tabela_Movimentacao_Geral[[#This Row],[Status Financeiro]]
)</f>
        <v>Pago</v>
      </c>
      <c r="L31" t="str">
        <f ca="1">IF(
   $O$7="Desbloqueado",
   CHOOSE(RANDBETWEEN(1,3),"Entregue","Em Rota","Aguardando"),
   Tabela_Movimentacao_Geral[[#This Row],[Status Logistico]]
)</f>
        <v>Aguardando</v>
      </c>
      <c r="M3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45683</v>
      </c>
    </row>
    <row r="32" spans="1:22" x14ac:dyDescent="0.3">
      <c r="A32" t="str">
        <f t="shared" si="0"/>
        <v>T0031</v>
      </c>
      <c r="B32" s="1">
        <v>45680</v>
      </c>
      <c r="C32" t="str" cm="1">
        <f t="array" aca="1" ref="C32" ca="1">IF($O$7="Desbloqueado",
  _xlfn.LET(
    _xlpm.saldo_atual, SUM(($C$2:$C31="Entrada")*($F$2:$F31=Tabela_Movimentacao_Geral[[#This Row],[ID Produto]])*($H$2:$H31) - ($C$2:$C31="Saida")*($F$2:$F31=Tabela_Movimentacao_Geral[[#This Row],[ID Produto]])*($H$2:$H31)),
    IF(_xlpm.saldo_atual &gt; 0, IF(RANDBETWEEN(0,10)&gt;3,"Saida","Entrada"), "Entrada")
  ),
  Tabela_Movimentacao_Geral[[#This Row],[Tipo Fluxo]]
)</f>
        <v>Entrada</v>
      </c>
      <c r="D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32" t="str">
        <f ca="1">IF(
  $O$7="Desbloqueado",
  "PROD"&amp;TEXT(RANDBETWEEN(1,200),"000"),
  Tabela_Movimentacao_Geral[[#This Row],[ID Produto]]
)</f>
        <v>PROD150</v>
      </c>
      <c r="G32" t="str">
        <f ca="1">_xlfn.XLOOKUP(Tabela_Movimentacao_Geral[[#This Row],[ID Produto]], Tabela_Produtos[ID_Produto],Tabela_Produtos[Descricao_Produto],"Produto não encontrado")</f>
        <v>Lanterna de Led Inspeção</v>
      </c>
      <c r="H32" cm="1">
        <f t="array" aca="1" ref="H32" ca="1">IF(
   $O$7="Desbloqueado",
   _xlfn.LET(
     _xlpm.saldo_atual, SUM(($C$2:$C31="Entrada")*($F$2:$F31=Tabela_Movimentacao_Geral[[#This Row],[ID Produto]])*($H$2:$H31) - ($C$2:$C31="Saida")*($F$2:$F31=Tabela_Movimentacao_Geral[[#This Row],[ID Produto]])*($H$2:$H31)),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32" s="5">
        <f ca="1">_xlfn.XLOOKUP(Tabela_Movimentacao_Geral[[#This Row],[ID Produto]], Tabela_Produtos[ID_Produto],Tabela_Produtos[Preco_Unitario_Venda])</f>
        <v>55</v>
      </c>
      <c r="J32" s="6">
        <f ca="1">Tabela_Movimentacao_Geral[[#This Row],[Quantidade]] * Tabela_Movimentacao_Geral[[#This Row],[Valor Unitário]]</f>
        <v>2090</v>
      </c>
      <c r="K32" t="str">
        <f ca="1">IF(
   $O$7="Desbloqueado",
   CHOOSE(RANDBETWEEN(1,3),"Pago","Pendente","Atrasado"),
   Tabela_Movimentacao_Geral[[#This Row],[Status Financeiro]]
)</f>
        <v>Atrasado</v>
      </c>
      <c r="L32" t="str">
        <f ca="1">IF(
   $O$7="Desbloqueado",
   CHOOSE(RANDBETWEEN(1,3),"Entregue","Em Rota","Aguardando"),
   Tabela_Movimentacao_Geral[[#This Row],[Status Logistico]]
)</f>
        <v>Aguardando</v>
      </c>
      <c r="M3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45682</v>
      </c>
    </row>
    <row r="33" spans="1:13" x14ac:dyDescent="0.3">
      <c r="A33" t="str">
        <f t="shared" si="0"/>
        <v>T0032</v>
      </c>
      <c r="B33" s="1">
        <v>45680</v>
      </c>
      <c r="C33" t="str" cm="1">
        <f t="array" aca="1" ref="C33" ca="1">IF($O$7="Desbloqueado",
  _xlfn.LET(
    _xlpm.saldo_atual, SUM(($C$2:$C32="Entrada")*($F$2:$F32=Tabela_Movimentacao_Geral[[#This Row],[ID Produto]])*($H$2:$H32) - ($C$2:$C32="Saida")*($F$2:$F32=Tabela_Movimentacao_Geral[[#This Row],[ID Produto]])*($H$2:$H32)),
    IF(_xlpm.saldo_atual &gt; 0, IF(RANDBETWEEN(0,10)&gt;3,"Saida","Entrada"), "Entrada")
  ),
  Tabela_Movimentacao_Geral[[#This Row],[Tipo Fluxo]]
)</f>
        <v>Entrada</v>
      </c>
      <c r="D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3" t="str">
        <f ca="1">IF(
  $O$7="Desbloqueado",
  "PROD"&amp;TEXT(RANDBETWEEN(1,200),"000"),
  Tabela_Movimentacao_Geral[[#This Row],[ID Produto]]
)</f>
        <v>PROD108</v>
      </c>
      <c r="G33" t="str">
        <f ca="1">_xlfn.XLOOKUP(Tabela_Movimentacao_Geral[[#This Row],[ID Produto]], Tabela_Produtos[ID_Produto],Tabela_Produtos[Descricao_Produto],"Produto não encontrado")</f>
        <v>Toner Colorido (Kit 4)</v>
      </c>
      <c r="H33" cm="1">
        <f t="array" aca="1" ref="H33" ca="1">IF(
   $O$7="Desbloqueado",
   _xlfn.LET(
     _xlpm.saldo_atual, SUM(($C$2:$C32="Entrada")*($F$2:$F32=Tabela_Movimentacao_Geral[[#This Row],[ID Produto]])*($H$2:$H32) - ($C$2:$C32="Saida")*($F$2:$F32=Tabela_Movimentacao_Geral[[#This Row],[ID Produto]])*($H$2:$H32)),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35</v>
      </c>
      <c r="I33" s="5">
        <f ca="1">_xlfn.XLOOKUP(Tabela_Movimentacao_Geral[[#This Row],[ID Produto]], Tabela_Produtos[ID_Produto],Tabela_Produtos[Preco_Unitario_Venda])</f>
        <v>1200</v>
      </c>
      <c r="J33" s="6">
        <f ca="1">Tabela_Movimentacao_Geral[[#This Row],[Quantidade]] * Tabela_Movimentacao_Geral[[#This Row],[Valor Unitário]]</f>
        <v>42000</v>
      </c>
      <c r="K33" t="str">
        <f ca="1">IF(
   $O$7="Desbloqueado",
   CHOOSE(RANDBETWEEN(1,3),"Pago","Pendente","Atrasado"),
   Tabela_Movimentacao_Geral[[#This Row],[Status Financeiro]]
)</f>
        <v>Atrasado</v>
      </c>
      <c r="L33" t="str">
        <f ca="1">IF(
   $O$7="Desbloqueado",
   CHOOSE(RANDBETWEEN(1,3),"Entregue","Em Rota","Aguardando"),
   Tabela_Movimentacao_Geral[[#This Row],[Status Logistico]]
)</f>
        <v>Entregue</v>
      </c>
      <c r="M3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45683</v>
      </c>
    </row>
    <row r="34" spans="1:13" x14ac:dyDescent="0.3">
      <c r="A34" t="str">
        <f t="shared" si="0"/>
        <v>T0033</v>
      </c>
      <c r="B34" s="1">
        <v>45681</v>
      </c>
      <c r="C34" t="str" cm="1">
        <f t="array" aca="1" ref="C34" ca="1">IF($O$7="Desbloqueado",
  _xlfn.LET(
    _xlpm.saldo_atual, SUM(($C$2:$C33="Entrada")*($F$2:$F33=Tabela_Movimentacao_Geral[[#This Row],[ID Produto]])*($H$2:$H33) - ($C$2:$C33="Saida")*($F$2:$F33=Tabela_Movimentacao_Geral[[#This Row],[ID Produto]])*($H$2:$H33)),
    IF(_xlpm.saldo_atual &gt; 0, IF(RANDBETWEEN(0,10)&gt;3,"Saida","Entrada"), "Entrada")
  ),
  Tabela_Movimentacao_Geral[[#This Row],[Tipo Fluxo]]
)</f>
        <v>Saida</v>
      </c>
      <c r="D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4" t="str">
        <f ca="1">IF(
  $O$7="Desbloqueado",
  "PROD"&amp;TEXT(RANDBETWEEN(1,200),"000"),
  Tabela_Movimentacao_Geral[[#This Row],[ID Produto]]
)</f>
        <v>PROD128</v>
      </c>
      <c r="G34" t="str">
        <f ca="1">_xlfn.XLOOKUP(Tabela_Movimentacao_Geral[[#This Row],[ID Produto]], Tabela_Produtos[ID_Produto],Tabela_Produtos[Descricao_Produto],"Produto não encontrado")</f>
        <v>Cabo de Rede Cat5e 5m</v>
      </c>
      <c r="H34" cm="1">
        <f t="array" aca="1" ref="H34" ca="1">IF(
   $O$7="Desbloqueado",
   _xlfn.LET(
     _xlpm.saldo_atual, SUM(($C$2:$C33="Entrada")*($F$2:$F33=Tabela_Movimentacao_Geral[[#This Row],[ID Produto]])*($H$2:$H33) - ($C$2:$C33="Saida")*($F$2:$F33=Tabela_Movimentacao_Geral[[#This Row],[ID Produto]])*($H$2:$H33)),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162</v>
      </c>
      <c r="I34" s="5">
        <f ca="1">_xlfn.XLOOKUP(Tabela_Movimentacao_Geral[[#This Row],[ID Produto]], Tabela_Produtos[ID_Produto],Tabela_Produtos[Preco_Unitario_Venda])</f>
        <v>18</v>
      </c>
      <c r="J34" s="6">
        <f ca="1">Tabela_Movimentacao_Geral[[#This Row],[Quantidade]] * Tabela_Movimentacao_Geral[[#This Row],[Valor Unitário]]</f>
        <v>2916</v>
      </c>
      <c r="K34" t="str">
        <f ca="1">IF(
   $O$7="Desbloqueado",
   CHOOSE(RANDBETWEEN(1,3),"Pago","Pendente","Atrasado"),
   Tabela_Movimentacao_Geral[[#This Row],[Status Financeiro]]
)</f>
        <v>Pendente</v>
      </c>
      <c r="L34" t="str">
        <f ca="1">IF(
   $O$7="Desbloqueado",
   CHOOSE(RANDBETWEEN(1,3),"Entregue","Em Rota","Aguardando"),
   Tabela_Movimentacao_Geral[[#This Row],[Status Logistico]]
)</f>
        <v>Em Rota</v>
      </c>
      <c r="M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5" spans="1:13" x14ac:dyDescent="0.3">
      <c r="A35" t="str">
        <f t="shared" si="0"/>
        <v>T0034</v>
      </c>
      <c r="B35" s="1">
        <v>45681</v>
      </c>
      <c r="C35" t="str" cm="1">
        <f t="array" aca="1" ref="C35" ca="1">IF($O$7="Desbloqueado",
  _xlfn.LET(
    _xlpm.saldo_atual, SUM(($C$2:$C34="Entrada")*($F$2:$F34=Tabela_Movimentacao_Geral[[#This Row],[ID Produto]])*($H$2:$H34) - ($C$2:$C34="Saida")*($F$2:$F34=Tabela_Movimentacao_Geral[[#This Row],[ID Produto]])*($H$2:$H34)),
    IF(_xlpm.saldo_atual &gt; 0, IF(RANDBETWEEN(0,10)&gt;3,"Saida","Entrada"), "Entrada")
  ),
  Tabela_Movimentacao_Geral[[#This Row],[Tipo Fluxo]]
)</f>
        <v>Entrada</v>
      </c>
      <c r="D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35" t="str">
        <f ca="1">IF(
  $O$7="Desbloqueado",
  "PROD"&amp;TEXT(RANDBETWEEN(1,200),"000"),
  Tabela_Movimentacao_Geral[[#This Row],[ID Produto]]
)</f>
        <v>PROD047</v>
      </c>
      <c r="G35" t="str">
        <f ca="1">_xlfn.XLOOKUP(Tabela_Movimentacao_Geral[[#This Row],[ID Produto]], Tabela_Produtos[ID_Produto],Tabela_Produtos[Descricao_Produto],"Produto não encontrado")</f>
        <v>Etiquetadora Termica</v>
      </c>
      <c r="H35" cm="1">
        <f t="array" aca="1" ref="H35" ca="1">IF(
   $O$7="Desbloqueado",
   _xlfn.LET(
     _xlpm.saldo_atual, SUM(($C$2:$C34="Entrada")*($F$2:$F34=Tabela_Movimentacao_Geral[[#This Row],[ID Produto]])*($H$2:$H34) - ($C$2:$C34="Saida")*($F$2:$F34=Tabela_Movimentacao_Geral[[#This Row],[ID Produto]])*($H$2:$H34)),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</v>
      </c>
      <c r="I35" s="5">
        <f ca="1">_xlfn.XLOOKUP(Tabela_Movimentacao_Geral[[#This Row],[ID Produto]], Tabela_Produtos[ID_Produto],Tabela_Produtos[Preco_Unitario_Venda])</f>
        <v>420</v>
      </c>
      <c r="J35" s="6">
        <f ca="1">Tabela_Movimentacao_Geral[[#This Row],[Quantidade]] * Tabela_Movimentacao_Geral[[#This Row],[Valor Unitário]]</f>
        <v>13440</v>
      </c>
      <c r="K35" t="str">
        <f ca="1">IF(
   $O$7="Desbloqueado",
   CHOOSE(RANDBETWEEN(1,3),"Pago","Pendente","Atrasado"),
   Tabela_Movimentacao_Geral[[#This Row],[Status Financeiro]]
)</f>
        <v>Pago</v>
      </c>
      <c r="L35" t="str">
        <f ca="1">IF(
   $O$7="Desbloqueado",
   CHOOSE(RANDBETWEEN(1,3),"Entregue","Em Rota","Aguardando"),
   Tabela_Movimentacao_Geral[[#This Row],[Status Logistico]]
)</f>
        <v>Em Rota</v>
      </c>
      <c r="M3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45683</v>
      </c>
    </row>
    <row r="36" spans="1:13" x14ac:dyDescent="0.3">
      <c r="A36" t="str">
        <f t="shared" si="0"/>
        <v>T0035</v>
      </c>
      <c r="B36" s="1">
        <v>45681</v>
      </c>
      <c r="C36" t="str" cm="1">
        <f t="array" aca="1" ref="C36" ca="1">IF($O$7="Desbloqueado",
  _xlfn.LET(
    _xlpm.saldo_atual, SUM(($C$2:$C35="Entrada")*($F$2:$F35=Tabela_Movimentacao_Geral[[#This Row],[ID Produto]])*($H$2:$H35) - ($C$2:$C35="Saida")*($F$2:$F35=Tabela_Movimentacao_Geral[[#This Row],[ID Produto]])*($H$2:$H35)),
    IF(_xlpm.saldo_atual &gt; 0, IF(RANDBETWEEN(0,10)&gt;3,"Saida","Entrada"), "Entrada")
  ),
  Tabela_Movimentacao_Geral[[#This Row],[Tipo Fluxo]]
)</f>
        <v>Entrada</v>
      </c>
      <c r="D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36" t="str">
        <f ca="1">IF(
  $O$7="Desbloqueado",
  "PROD"&amp;TEXT(RANDBETWEEN(1,200),"000"),
  Tabela_Movimentacao_Geral[[#This Row],[ID Produto]]
)</f>
        <v>PROD090</v>
      </c>
      <c r="G36" t="str">
        <f ca="1">_xlfn.XLOOKUP(Tabela_Movimentacao_Geral[[#This Row],[ID Produto]], Tabela_Produtos[ID_Produto],Tabela_Produtos[Descricao_Produto],"Produto não encontrado")</f>
        <v>Bandeja Fixa para Rack</v>
      </c>
      <c r="H36" cm="1">
        <f t="array" aca="1" ref="H36" ca="1">IF(
   $O$7="Desbloqueado",
   _xlfn.LET(
     _xlpm.saldo_atual, SUM(($C$2:$C35="Entrada")*($F$2:$F35=Tabela_Movimentacao_Geral[[#This Row],[ID Produto]])*($H$2:$H35) - ($C$2:$C35="Saida")*($F$2:$F35=Tabela_Movimentacao_Geral[[#This Row],[ID Produto]])*($H$2:$H35)),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78</v>
      </c>
      <c r="I36" s="5">
        <f ca="1">_xlfn.XLOOKUP(Tabela_Movimentacao_Geral[[#This Row],[ID Produto]], Tabela_Produtos[ID_Produto],Tabela_Produtos[Preco_Unitario_Venda])</f>
        <v>140</v>
      </c>
      <c r="J36" s="6">
        <f ca="1">Tabela_Movimentacao_Geral[[#This Row],[Quantidade]] * Tabela_Movimentacao_Geral[[#This Row],[Valor Unitário]]</f>
        <v>10920</v>
      </c>
      <c r="K36" t="str">
        <f ca="1">IF(
   $O$7="Desbloqueado",
   CHOOSE(RANDBETWEEN(1,3),"Pago","Pendente","Atrasado"),
   Tabela_Movimentacao_Geral[[#This Row],[Status Financeiro]]
)</f>
        <v>Pago</v>
      </c>
      <c r="L36" t="str">
        <f ca="1">IF(
   $O$7="Desbloqueado",
   CHOOSE(RANDBETWEEN(1,3),"Entregue","Em Rota","Aguardando"),
   Tabela_Movimentacao_Geral[[#This Row],[Status Logistico]]
)</f>
        <v>Entregue</v>
      </c>
      <c r="M3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45688</v>
      </c>
    </row>
    <row r="37" spans="1:13" x14ac:dyDescent="0.3">
      <c r="A37" t="str">
        <f t="shared" si="0"/>
        <v>T0036</v>
      </c>
      <c r="B37" s="1">
        <v>45681</v>
      </c>
      <c r="C37" t="str" cm="1">
        <f t="array" aca="1" ref="C37" ca="1">IF($O$7="Desbloqueado",
  _xlfn.LET(
    _xlpm.saldo_atual, SUM(($C$2:$C36="Entrada")*($F$2:$F36=Tabela_Movimentacao_Geral[[#This Row],[ID Produto]])*($H$2:$H36) - ($C$2:$C36="Saida")*($F$2:$F36=Tabela_Movimentacao_Geral[[#This Row],[ID Produto]])*($H$2:$H36)),
    IF(_xlpm.saldo_atual &gt; 0, IF(RANDBETWEEN(0,10)&gt;3,"Saida","Entrada"), "Entrada")
  ),
  Tabela_Movimentacao_Geral[[#This Row],[Tipo Fluxo]]
)</f>
        <v>Entrada</v>
      </c>
      <c r="D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37" t="str">
        <f ca="1">IF(
  $O$7="Desbloqueado",
  "PROD"&amp;TEXT(RANDBETWEEN(1,200),"000"),
  Tabela_Movimentacao_Geral[[#This Row],[ID Produto]]
)</f>
        <v>PROD070</v>
      </c>
      <c r="G37" t="str">
        <f ca="1">_xlfn.XLOOKUP(Tabela_Movimentacao_Geral[[#This Row],[ID Produto]], Tabela_Produtos[ID_Produto],Tabela_Produtos[Descricao_Produto],"Produto não encontrado")</f>
        <v>Marcador para Quadro Azul</v>
      </c>
      <c r="H37" cm="1">
        <f t="array" aca="1" ref="H37" ca="1">IF(
   $O$7="Desbloqueado",
   _xlfn.LET(
     _xlpm.saldo_atual, SUM(($C$2:$C36="Entrada")*($F$2:$F36=Tabela_Movimentacao_Geral[[#This Row],[ID Produto]])*($H$2:$H36) - ($C$2:$C36="Saida")*($F$2:$F36=Tabela_Movimentacao_Geral[[#This Row],[ID Produto]])*($H$2:$H36)),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168</v>
      </c>
      <c r="I37" s="5">
        <f ca="1">_xlfn.XLOOKUP(Tabela_Movimentacao_Geral[[#This Row],[ID Produto]], Tabela_Produtos[ID_Produto],Tabela_Produtos[Preco_Unitario_Venda])</f>
        <v>7.5</v>
      </c>
      <c r="J37" s="6">
        <f ca="1">Tabela_Movimentacao_Geral[[#This Row],[Quantidade]] * Tabela_Movimentacao_Geral[[#This Row],[Valor Unitário]]</f>
        <v>1260</v>
      </c>
      <c r="K37" t="str">
        <f ca="1">IF(
   $O$7="Desbloqueado",
   CHOOSE(RANDBETWEEN(1,3),"Pago","Pendente","Atrasado"),
   Tabela_Movimentacao_Geral[[#This Row],[Status Financeiro]]
)</f>
        <v>Pendente</v>
      </c>
      <c r="L37" t="str">
        <f ca="1">IF(
   $O$7="Desbloqueado",
   CHOOSE(RANDBETWEEN(1,3),"Entregue","Em Rota","Aguardando"),
   Tabela_Movimentacao_Geral[[#This Row],[Status Logistico]]
)</f>
        <v>Entregue</v>
      </c>
      <c r="M3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45686</v>
      </c>
    </row>
    <row r="38" spans="1:13" x14ac:dyDescent="0.3">
      <c r="A38" t="str">
        <f t="shared" si="0"/>
        <v>T0037</v>
      </c>
      <c r="B38" s="1">
        <v>45682</v>
      </c>
      <c r="C38" t="str" cm="1">
        <f t="array" aca="1" ref="C38" ca="1">IF($O$7="Desbloqueado",
  _xlfn.LET(
    _xlpm.saldo_atual, SUM(($C$2:$C37="Entrada")*($F$2:$F37=Tabela_Movimentacao_Geral[[#This Row],[ID Produto]])*($H$2:$H37) - ($C$2:$C37="Saida")*($F$2:$F37=Tabela_Movimentacao_Geral[[#This Row],[ID Produto]])*($H$2:$H37)),
    IF(_xlpm.saldo_atual &gt; 0, IF(RANDBETWEEN(0,10)&gt;3,"Saida","Entrada"), "Entrada")
  ),
  Tabela_Movimentacao_Geral[[#This Row],[Tipo Fluxo]]
)</f>
        <v>Entrada</v>
      </c>
      <c r="D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38" t="str">
        <f ca="1">IF(
  $O$7="Desbloqueado",
  "PROD"&amp;TEXT(RANDBETWEEN(1,200),"000"),
  Tabela_Movimentacao_Geral[[#This Row],[ID Produto]]
)</f>
        <v>PROD058</v>
      </c>
      <c r="G38" t="str">
        <f ca="1">_xlfn.XLOOKUP(Tabela_Movimentacao_Geral[[#This Row],[ID Produto]], Tabela_Produtos[ID_Produto],Tabela_Produtos[Descricao_Produto],"Produto não encontrado")</f>
        <v>Caneta Esferografica Preta</v>
      </c>
      <c r="H38" cm="1">
        <f t="array" aca="1" ref="H38" ca="1">IF(
   $O$7="Desbloqueado",
   _xlfn.LET(
     _xlpm.saldo_atual, SUM(($C$2:$C37="Entrada")*($F$2:$F37=Tabela_Movimentacao_Geral[[#This Row],[ID Produto]])*($H$2:$H37) - ($C$2:$C37="Saida")*($F$2:$F37=Tabela_Movimentacao_Geral[[#This Row],[ID Produto]])*($H$2:$H37)),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540</v>
      </c>
      <c r="I38" s="5">
        <f ca="1">_xlfn.XLOOKUP(Tabela_Movimentacao_Geral[[#This Row],[ID Produto]], Tabela_Produtos[ID_Produto],Tabela_Produtos[Preco_Unitario_Venda])</f>
        <v>1.5</v>
      </c>
      <c r="J38" s="6">
        <f ca="1">Tabela_Movimentacao_Geral[[#This Row],[Quantidade]] * Tabela_Movimentacao_Geral[[#This Row],[Valor Unitário]]</f>
        <v>810</v>
      </c>
      <c r="K38" t="str">
        <f ca="1">IF(
   $O$7="Desbloqueado",
   CHOOSE(RANDBETWEEN(1,3),"Pago","Pendente","Atrasado"),
   Tabela_Movimentacao_Geral[[#This Row],[Status Financeiro]]
)</f>
        <v>Atrasado</v>
      </c>
      <c r="L38" t="str">
        <f ca="1">IF(
   $O$7="Desbloqueado",
   CHOOSE(RANDBETWEEN(1,3),"Entregue","Em Rota","Aguardando"),
   Tabela_Movimentacao_Geral[[#This Row],[Status Logistico]]
)</f>
        <v>Em Rota</v>
      </c>
      <c r="M3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45683</v>
      </c>
    </row>
    <row r="39" spans="1:13" x14ac:dyDescent="0.3">
      <c r="A39" t="str">
        <f t="shared" si="0"/>
        <v>T0038</v>
      </c>
      <c r="B39" s="1">
        <v>45682</v>
      </c>
      <c r="C39" t="str" cm="1">
        <f t="array" aca="1" ref="C39" ca="1">IF($O$7="Desbloqueado",
  _xlfn.LET(
    _xlpm.saldo_atual, SUM(($C$2:$C38="Entrada")*($F$2:$F38=Tabela_Movimentacao_Geral[[#This Row],[ID Produto]])*($H$2:$H38) - ($C$2:$C38="Saida")*($F$2:$F38=Tabela_Movimentacao_Geral[[#This Row],[ID Produto]])*($H$2:$H38)),
    IF(_xlpm.saldo_atual &gt; 0, IF(RANDBETWEEN(0,10)&gt;3,"Saida","Entrada"), "Entrada")
  ),
  Tabela_Movimentacao_Geral[[#This Row],[Tipo Fluxo]]
)</f>
        <v>Saida</v>
      </c>
      <c r="D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39" t="str">
        <f ca="1">IF(
  $O$7="Desbloqueado",
  "PROD"&amp;TEXT(RANDBETWEEN(1,200),"000"),
  Tabela_Movimentacao_Geral[[#This Row],[ID Produto]]
)</f>
        <v>PROD175</v>
      </c>
      <c r="G39" t="str">
        <f ca="1">_xlfn.XLOOKUP(Tabela_Movimentacao_Geral[[#This Row],[ID Produto]], Tabela_Produtos[ID_Produto],Tabela_Produtos[Descricao_Produto],"Produto não encontrado")</f>
        <v>Plastico Bolha 1.2x50m</v>
      </c>
      <c r="H39" cm="1">
        <f t="array" aca="1" ref="H39" ca="1">IF(
   $O$7="Desbloqueado",
   _xlfn.LET(
     _xlpm.saldo_atual, SUM(($C$2:$C38="Entrada")*($F$2:$F38=Tabela_Movimentacao_Geral[[#This Row],[ID Produto]])*($H$2:$H38) - ($C$2:$C38="Saida")*($F$2:$F38=Tabela_Movimentacao_Geral[[#This Row],[ID Produto]])*($H$2:$H38)),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39" s="5">
        <f ca="1">_xlfn.XLOOKUP(Tabela_Movimentacao_Geral[[#This Row],[ID Produto]], Tabela_Produtos[ID_Produto],Tabela_Produtos[Preco_Unitario_Venda])</f>
        <v>110</v>
      </c>
      <c r="J39" s="6">
        <f ca="1">Tabela_Movimentacao_Geral[[#This Row],[Quantidade]] * Tabela_Movimentacao_Geral[[#This Row],[Valor Unitário]]</f>
        <v>7590</v>
      </c>
      <c r="K39" t="str">
        <f ca="1">IF(
   $O$7="Desbloqueado",
   CHOOSE(RANDBETWEEN(1,3),"Pago","Pendente","Atrasado"),
   Tabela_Movimentacao_Geral[[#This Row],[Status Financeiro]]
)</f>
        <v>Pendente</v>
      </c>
      <c r="L39" t="str">
        <f ca="1">IF(
   $O$7="Desbloqueado",
   CHOOSE(RANDBETWEEN(1,3),"Entregue","Em Rota","Aguardando"),
   Tabela_Movimentacao_Geral[[#This Row],[Status Logistico]]
)</f>
        <v>Aguardando</v>
      </c>
      <c r="M3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" spans="1:13" x14ac:dyDescent="0.3">
      <c r="A40" t="str">
        <f t="shared" si="0"/>
        <v>T0039</v>
      </c>
      <c r="B40" s="1">
        <v>45682</v>
      </c>
      <c r="C40" t="str" cm="1">
        <f t="array" aca="1" ref="C40" ca="1">IF($O$7="Desbloqueado",
  _xlfn.LET(
    _xlpm.saldo_atual, SUM(($C$2:$C39="Entrada")*($F$2:$F39=Tabela_Movimentacao_Geral[[#This Row],[ID Produto]])*($H$2:$H39) - ($C$2:$C39="Saida")*($F$2:$F39=Tabela_Movimentacao_Geral[[#This Row],[ID Produto]])*($H$2:$H39)),
    IF(_xlpm.saldo_atual &gt; 0, IF(RANDBETWEEN(0,10)&gt;3,"Saida","Entrada"), "Entrada")
  ),
  Tabela_Movimentacao_Geral[[#This Row],[Tipo Fluxo]]
)</f>
        <v>Entrada</v>
      </c>
      <c r="D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40" t="str">
        <f ca="1">IF(
  $O$7="Desbloqueado",
  "PROD"&amp;TEXT(RANDBETWEEN(1,200),"000"),
  Tabela_Movimentacao_Geral[[#This Row],[ID Produto]]
)</f>
        <v>PROD185</v>
      </c>
      <c r="G40" t="str">
        <f ca="1">_xlfn.XLOOKUP(Tabela_Movimentacao_Geral[[#This Row],[ID Produto]], Tabela_Produtos[ID_Produto],Tabela_Produtos[Descricao_Produto],"Produto não encontrado")</f>
        <v>PDU Básica 12 Tomadas</v>
      </c>
      <c r="H40" cm="1">
        <f t="array" aca="1" ref="H40" ca="1">IF(
   $O$7="Desbloqueado",
   _xlfn.LET(
     _xlpm.saldo_atual, SUM(($C$2:$C39="Entrada")*($F$2:$F39=Tabela_Movimentacao_Geral[[#This Row],[ID Produto]])*($H$2:$H39) - ($C$2:$C39="Saida")*($F$2:$F39=Tabela_Movimentacao_Geral[[#This Row],[ID Produto]])*($H$2:$H39)),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40" s="5">
        <f ca="1">_xlfn.XLOOKUP(Tabela_Movimentacao_Geral[[#This Row],[ID Produto]], Tabela_Produtos[ID_Produto],Tabela_Produtos[Preco_Unitario_Venda])</f>
        <v>380</v>
      </c>
      <c r="J40" s="6">
        <f ca="1">Tabela_Movimentacao_Geral[[#This Row],[Quantidade]] * Tabela_Movimentacao_Geral[[#This Row],[Valor Unitário]]</f>
        <v>22420</v>
      </c>
      <c r="K40" t="str">
        <f ca="1">IF(
   $O$7="Desbloqueado",
   CHOOSE(RANDBETWEEN(1,3),"Pago","Pendente","Atrasado"),
   Tabela_Movimentacao_Geral[[#This Row],[Status Financeiro]]
)</f>
        <v>Pago</v>
      </c>
      <c r="L40" t="str">
        <f ca="1">IF(
   $O$7="Desbloqueado",
   CHOOSE(RANDBETWEEN(1,3),"Entregue","Em Rota","Aguardando"),
   Tabela_Movimentacao_Geral[[#This Row],[Status Logistico]]
)</f>
        <v>Aguardando</v>
      </c>
      <c r="M4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45683</v>
      </c>
    </row>
    <row r="41" spans="1:13" x14ac:dyDescent="0.3">
      <c r="A41" t="str">
        <f t="shared" si="0"/>
        <v>T0040</v>
      </c>
      <c r="B41" s="1">
        <v>45682</v>
      </c>
      <c r="C41" t="str" cm="1">
        <f t="array" aca="1" ref="C41" ca="1">IF($O$7="Desbloqueado",
  _xlfn.LET(
    _xlpm.saldo_atual, SUM(($C$2:$C40="Entrada")*($F$2:$F40=Tabela_Movimentacao_Geral[[#This Row],[ID Produto]])*($H$2:$H40) - ($C$2:$C40="Saida")*($F$2:$F40=Tabela_Movimentacao_Geral[[#This Row],[ID Produto]])*($H$2:$H40)),
    IF(_xlpm.saldo_atual &gt; 0, IF(RANDBETWEEN(0,10)&gt;3,"Saida","Entrada"), "Entrada")
  ),
  Tabela_Movimentacao_Geral[[#This Row],[Tipo Fluxo]]
)</f>
        <v>Entrada</v>
      </c>
      <c r="D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41" t="str">
        <f ca="1">IF(
  $O$7="Desbloqueado",
  "PROD"&amp;TEXT(RANDBETWEEN(1,200),"000"),
  Tabela_Movimentacao_Geral[[#This Row],[ID Produto]]
)</f>
        <v>PROD052</v>
      </c>
      <c r="G41" t="str">
        <f ca="1">_xlfn.XLOOKUP(Tabela_Movimentacao_Geral[[#This Row],[ID Produto]], Tabela_Produtos[ID_Produto],Tabela_Produtos[Descricao_Produto],"Produto não encontrado")</f>
        <v>Clips Metalicos 33mm 100un</v>
      </c>
      <c r="H41" cm="1">
        <f t="array" aca="1" ref="H41" ca="1">IF(
   $O$7="Desbloqueado",
   _xlfn.LET(
     _xlpm.saldo_atual, SUM(($C$2:$C40="Entrada")*($F$2:$F40=Tabela_Movimentacao_Geral[[#This Row],[ID Produto]])*($H$2:$H40) - ($C$2:$C40="Saida")*($F$2:$F40=Tabela_Movimentacao_Geral[[#This Row],[ID Produto]])*($H$2:$H40)),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256</v>
      </c>
      <c r="I41" s="5">
        <f ca="1">_xlfn.XLOOKUP(Tabela_Movimentacao_Geral[[#This Row],[ID Produto]], Tabela_Produtos[ID_Produto],Tabela_Produtos[Preco_Unitario_Venda])</f>
        <v>6.5</v>
      </c>
      <c r="J41" s="6">
        <f ca="1">Tabela_Movimentacao_Geral[[#This Row],[Quantidade]] * Tabela_Movimentacao_Geral[[#This Row],[Valor Unitário]]</f>
        <v>1664</v>
      </c>
      <c r="K41" t="str">
        <f ca="1">IF(
   $O$7="Desbloqueado",
   CHOOSE(RANDBETWEEN(1,3),"Pago","Pendente","Atrasado"),
   Tabela_Movimentacao_Geral[[#This Row],[Status Financeiro]]
)</f>
        <v>Pago</v>
      </c>
      <c r="L41" t="str">
        <f ca="1">IF(
   $O$7="Desbloqueado",
   CHOOSE(RANDBETWEEN(1,3),"Entregue","Em Rota","Aguardando"),
   Tabela_Movimentacao_Geral[[#This Row],[Status Logistico]]
)</f>
        <v>Em Rota</v>
      </c>
      <c r="M4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45686</v>
      </c>
    </row>
    <row r="42" spans="1:13" x14ac:dyDescent="0.3">
      <c r="A42" t="str">
        <f t="shared" si="0"/>
        <v>T0041</v>
      </c>
      <c r="B42" s="1">
        <v>45683</v>
      </c>
      <c r="C42" t="str" cm="1">
        <f t="array" aca="1" ref="C42" ca="1">IF($O$7="Desbloqueado",
  _xlfn.LET(
    _xlpm.saldo_atual, SUM(($C$2:$C41="Entrada")*($F$2:$F41=Tabela_Movimentacao_Geral[[#This Row],[ID Produto]])*($H$2:$H41) - ($C$2:$C41="Saida")*($F$2:$F41=Tabela_Movimentacao_Geral[[#This Row],[ID Produto]])*($H$2:$H41)),
    IF(_xlpm.saldo_atual &gt; 0, IF(RANDBETWEEN(0,10)&gt;3,"Saida","Entrada"), "Entrada")
  ),
  Tabela_Movimentacao_Geral[[#This Row],[Tipo Fluxo]]
)</f>
        <v>Entrada</v>
      </c>
      <c r="D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42" t="str">
        <f ca="1">IF(
  $O$7="Desbloqueado",
  "PROD"&amp;TEXT(RANDBETWEEN(1,200),"000"),
  Tabela_Movimentacao_Geral[[#This Row],[ID Produto]]
)</f>
        <v>PROD199</v>
      </c>
      <c r="G42" t="str">
        <f ca="1">_xlfn.XLOOKUP(Tabela_Movimentacao_Geral[[#This Row],[ID Produto]], Tabela_Produtos[ID_Produto],Tabela_Produtos[Descricao_Produto],"Produto não encontrado")</f>
        <v>Sugador de Solda</v>
      </c>
      <c r="H42" cm="1">
        <f t="array" aca="1" ref="H42" ca="1">IF(
   $O$7="Desbloqueado",
   _xlfn.LET(
     _xlpm.saldo_atual, SUM(($C$2:$C41="Entrada")*($F$2:$F41=Tabela_Movimentacao_Geral[[#This Row],[ID Produto]])*($H$2:$H41) - ($C$2:$C41="Saida")*($F$2:$F41=Tabela_Movimentacao_Geral[[#This Row],[ID Produto]])*($H$2:$H41)),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108</v>
      </c>
      <c r="I42" s="5">
        <f ca="1">_xlfn.XLOOKUP(Tabela_Movimentacao_Geral[[#This Row],[ID Produto]], Tabela_Produtos[ID_Produto],Tabela_Produtos[Preco_Unitario_Venda])</f>
        <v>25</v>
      </c>
      <c r="J42" s="6">
        <f ca="1">Tabela_Movimentacao_Geral[[#This Row],[Quantidade]] * Tabela_Movimentacao_Geral[[#This Row],[Valor Unitário]]</f>
        <v>2700</v>
      </c>
      <c r="K42" t="str">
        <f ca="1">IF(
   $O$7="Desbloqueado",
   CHOOSE(RANDBETWEEN(1,3),"Pago","Pendente","Atrasado"),
   Tabela_Movimentacao_Geral[[#This Row],[Status Financeiro]]
)</f>
        <v>Pago</v>
      </c>
      <c r="L42" t="str">
        <f ca="1">IF(
   $O$7="Desbloqueado",
   CHOOSE(RANDBETWEEN(1,3),"Entregue","Em Rota","Aguardando"),
   Tabela_Movimentacao_Geral[[#This Row],[Status Logistico]]
)</f>
        <v>Em Rota</v>
      </c>
      <c r="M4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45685</v>
      </c>
    </row>
    <row r="43" spans="1:13" x14ac:dyDescent="0.3">
      <c r="A43" t="str">
        <f t="shared" si="0"/>
        <v>T0042</v>
      </c>
      <c r="B43" s="1">
        <v>45685</v>
      </c>
      <c r="C43" t="str" cm="1">
        <f t="array" aca="1" ref="C43" ca="1">IF($O$7="Desbloqueado",
  _xlfn.LET(
    _xlpm.saldo_atual, SUM(($C$2:$C42="Entrada")*($F$2:$F42=Tabela_Movimentacao_Geral[[#This Row],[ID Produto]])*($H$2:$H42) - ($C$2:$C42="Saida")*($F$2:$F42=Tabela_Movimentacao_Geral[[#This Row],[ID Produto]])*($H$2:$H42)),
    IF(_xlpm.saldo_atual &gt; 0, IF(RANDBETWEEN(0,10)&gt;3,"Saida","Entrada"), "Entrada")
  ),
  Tabela_Movimentacao_Geral[[#This Row],[Tipo Fluxo]]
)</f>
        <v>Saida</v>
      </c>
      <c r="D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43" t="str">
        <f ca="1">IF(
  $O$7="Desbloqueado",
  "PROD"&amp;TEXT(RANDBETWEEN(1,200),"000"),
  Tabela_Movimentacao_Geral[[#This Row],[ID Produto]]
)</f>
        <v>PROD058</v>
      </c>
      <c r="G43" t="str">
        <f ca="1">_xlfn.XLOOKUP(Tabela_Movimentacao_Geral[[#This Row],[ID Produto]], Tabela_Produtos[ID_Produto],Tabela_Produtos[Descricao_Produto],"Produto não encontrado")</f>
        <v>Caneta Esferografica Preta</v>
      </c>
      <c r="H43" cm="1">
        <f t="array" aca="1" ref="H43" ca="1">IF(
   $O$7="Desbloqueado",
   _xlfn.LET(
     _xlpm.saldo_atual, SUM(($C$2:$C42="Entrada")*($F$2:$F42=Tabela_Movimentacao_Geral[[#This Row],[ID Produto]])*($H$2:$H42) - ($C$2:$C42="Saida")*($F$2:$F42=Tabela_Movimentacao_Geral[[#This Row],[ID Produto]])*($H$2:$H42)),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43" s="5">
        <f ca="1">_xlfn.XLOOKUP(Tabela_Movimentacao_Geral[[#This Row],[ID Produto]], Tabela_Produtos[ID_Produto],Tabela_Produtos[Preco_Unitario_Venda])</f>
        <v>1.5</v>
      </c>
      <c r="J43" s="6">
        <f ca="1">Tabela_Movimentacao_Geral[[#This Row],[Quantidade]] * Tabela_Movimentacao_Geral[[#This Row],[Valor Unitário]]</f>
        <v>66</v>
      </c>
      <c r="K43" t="str">
        <f ca="1">IF(
   $O$7="Desbloqueado",
   CHOOSE(RANDBETWEEN(1,3),"Pago","Pendente","Atrasado"),
   Tabela_Movimentacao_Geral[[#This Row],[Status Financeiro]]
)</f>
        <v>Pago</v>
      </c>
      <c r="L43" t="str">
        <f ca="1">IF(
   $O$7="Desbloqueado",
   CHOOSE(RANDBETWEEN(1,3),"Entregue","Em Rota","Aguardando"),
   Tabela_Movimentacao_Geral[[#This Row],[Status Logistico]]
)</f>
        <v>Entregue</v>
      </c>
      <c r="M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4" spans="1:13" x14ac:dyDescent="0.3">
      <c r="A44" t="str">
        <f t="shared" si="0"/>
        <v>T0043</v>
      </c>
      <c r="B44" s="1">
        <v>45686</v>
      </c>
      <c r="C44" t="str" cm="1">
        <f t="array" aca="1" ref="C44" ca="1">IF($O$7="Desbloqueado",
  _xlfn.LET(
    _xlpm.saldo_atual, SUM(($C$2:$C43="Entrada")*($F$2:$F43=Tabela_Movimentacao_Geral[[#This Row],[ID Produto]])*($H$2:$H43) - ($C$2:$C43="Saida")*($F$2:$F43=Tabela_Movimentacao_Geral[[#This Row],[ID Produto]])*($H$2:$H43)),
    IF(_xlpm.saldo_atual &gt; 0, IF(RANDBETWEEN(0,10)&gt;3,"Saida","Entrada"), "Entrada")
  ),
  Tabela_Movimentacao_Geral[[#This Row],[Tipo Fluxo]]
)</f>
        <v>Entrada</v>
      </c>
      <c r="D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44" t="str">
        <f ca="1">IF(
  $O$7="Desbloqueado",
  "PROD"&amp;TEXT(RANDBETWEEN(1,200),"000"),
  Tabela_Movimentacao_Geral[[#This Row],[ID Produto]]
)</f>
        <v>PROD077</v>
      </c>
      <c r="G44" t="str">
        <f ca="1">_xlfn.XLOOKUP(Tabela_Movimentacao_Geral[[#This Row],[ID Produto]], Tabela_Produtos[ID_Produto],Tabela_Produtos[Descricao_Produto],"Produto não encontrado")</f>
        <v>Lixeira de Escritorio 10L</v>
      </c>
      <c r="H44" cm="1">
        <f t="array" aca="1" ref="H44" ca="1">IF(
   $O$7="Desbloqueado",
   _xlfn.LET(
     _xlpm.saldo_atual, SUM(($C$2:$C43="Entrada")*($F$2:$F43=Tabela_Movimentacao_Geral[[#This Row],[ID Produto]])*($H$2:$H43) - ($C$2:$C43="Saida")*($F$2:$F43=Tabela_Movimentacao_Geral[[#This Row],[ID Produto]])*($H$2:$H43)),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44" s="5">
        <f ca="1">_xlfn.XLOOKUP(Tabela_Movimentacao_Geral[[#This Row],[ID Produto]], Tabela_Produtos[ID_Produto],Tabela_Produtos[Preco_Unitario_Venda])</f>
        <v>28</v>
      </c>
      <c r="J44" s="6">
        <f ca="1">Tabela_Movimentacao_Geral[[#This Row],[Quantidade]] * Tabela_Movimentacao_Geral[[#This Row],[Valor Unitário]]</f>
        <v>1064</v>
      </c>
      <c r="K44" t="str">
        <f ca="1">IF(
   $O$7="Desbloqueado",
   CHOOSE(RANDBETWEEN(1,3),"Pago","Pendente","Atrasado"),
   Tabela_Movimentacao_Geral[[#This Row],[Status Financeiro]]
)</f>
        <v>Atrasado</v>
      </c>
      <c r="L44" t="str">
        <f ca="1">IF(
   $O$7="Desbloqueado",
   CHOOSE(RANDBETWEEN(1,3),"Entregue","Em Rota","Aguardando"),
   Tabela_Movimentacao_Geral[[#This Row],[Status Logistico]]
)</f>
        <v>Aguardando</v>
      </c>
      <c r="M4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45692</v>
      </c>
    </row>
    <row r="45" spans="1:13" x14ac:dyDescent="0.3">
      <c r="A45" t="str">
        <f t="shared" si="0"/>
        <v>T0044</v>
      </c>
      <c r="B45" s="1">
        <v>45687</v>
      </c>
      <c r="C45" t="str" cm="1">
        <f t="array" aca="1" ref="C45" ca="1">IF($O$7="Desbloqueado",
  _xlfn.LET(
    _xlpm.saldo_atual, SUM(($C$2:$C44="Entrada")*($F$2:$F44=Tabela_Movimentacao_Geral[[#This Row],[ID Produto]])*($H$2:$H44) - ($C$2:$C44="Saida")*($F$2:$F44=Tabela_Movimentacao_Geral[[#This Row],[ID Produto]])*($H$2:$H44)),
    IF(_xlpm.saldo_atual &gt; 0, IF(RANDBETWEEN(0,10)&gt;3,"Saida","Entrada"), "Entrada")
  ),
  Tabela_Movimentacao_Geral[[#This Row],[Tipo Fluxo]]
)</f>
        <v>Entrada</v>
      </c>
      <c r="D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45" t="str">
        <f ca="1">IF(
  $O$7="Desbloqueado",
  "PROD"&amp;TEXT(RANDBETWEEN(1,200),"000"),
  Tabela_Movimentacao_Geral[[#This Row],[ID Produto]]
)</f>
        <v>PROD008</v>
      </c>
      <c r="G45" t="str">
        <f ca="1">_xlfn.XLOOKUP(Tabela_Movimentacao_Geral[[#This Row],[ID Produto]], Tabela_Produtos[ID_Produto],Tabela_Produtos[Descricao_Produto],"Produto não encontrado")</f>
        <v>Toner Preto High Yield</v>
      </c>
      <c r="H45" cm="1">
        <f t="array" aca="1" ref="H45" ca="1">IF(
   $O$7="Desbloqueado",
   _xlfn.LET(
     _xlpm.saldo_atual, SUM(($C$2:$C44="Entrada")*($F$2:$F44=Tabela_Movimentacao_Geral[[#This Row],[ID Produto]])*($H$2:$H44) - ($C$2:$C44="Saida")*($F$2:$F44=Tabela_Movimentacao_Geral[[#This Row],[ID Produto]])*($H$2:$H44)),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45" s="5">
        <f ca="1">_xlfn.XLOOKUP(Tabela_Movimentacao_Geral[[#This Row],[ID Produto]], Tabela_Produtos[ID_Produto],Tabela_Produtos[Preco_Unitario_Venda])</f>
        <v>250</v>
      </c>
      <c r="J45" s="6">
        <f ca="1">Tabela_Movimentacao_Geral[[#This Row],[Quantidade]] * Tabela_Movimentacao_Geral[[#This Row],[Valor Unitário]]</f>
        <v>13250</v>
      </c>
      <c r="K45" t="str">
        <f ca="1">IF(
   $O$7="Desbloqueado",
   CHOOSE(RANDBETWEEN(1,3),"Pago","Pendente","Atrasado"),
   Tabela_Movimentacao_Geral[[#This Row],[Status Financeiro]]
)</f>
        <v>Pago</v>
      </c>
      <c r="L45" t="str">
        <f ca="1">IF(
   $O$7="Desbloqueado",
   CHOOSE(RANDBETWEEN(1,3),"Entregue","Em Rota","Aguardando"),
   Tabela_Movimentacao_Geral[[#This Row],[Status Logistico]]
)</f>
        <v>Aguardando</v>
      </c>
      <c r="M4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45692</v>
      </c>
    </row>
    <row r="46" spans="1:13" x14ac:dyDescent="0.3">
      <c r="A46" t="str">
        <f t="shared" si="0"/>
        <v>T0045</v>
      </c>
      <c r="B46" s="1">
        <v>45687</v>
      </c>
      <c r="C46" t="str" cm="1">
        <f t="array" aca="1" ref="C46" ca="1">IF($O$7="Desbloqueado",
  _xlfn.LET(
    _xlpm.saldo_atual, SUM(($C$2:$C45="Entrada")*($F$2:$F45=Tabela_Movimentacao_Geral[[#This Row],[ID Produto]])*($H$2:$H45) - ($C$2:$C45="Saida")*($F$2:$F45=Tabela_Movimentacao_Geral[[#This Row],[ID Produto]])*($H$2:$H45)),
    IF(_xlpm.saldo_atual &gt; 0, IF(RANDBETWEEN(0,10)&gt;3,"Saida","Entrada"), "Entrada")
  ),
  Tabela_Movimentacao_Geral[[#This Row],[Tipo Fluxo]]
)</f>
        <v>Entrada</v>
      </c>
      <c r="D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46" t="str">
        <f ca="1">IF(
  $O$7="Desbloqueado",
  "PROD"&amp;TEXT(RANDBETWEEN(1,200),"000"),
  Tabela_Movimentacao_Geral[[#This Row],[ID Produto]]
)</f>
        <v>PROD055</v>
      </c>
      <c r="G46" t="str">
        <f ca="1">_xlfn.XLOOKUP(Tabela_Movimentacao_Geral[[#This Row],[ID Produto]], Tabela_Produtos[ID_Produto],Tabela_Produtos[Descricao_Produto],"Produto não encontrado")</f>
        <v>Pasta Suspensa Kraft 10un</v>
      </c>
      <c r="H46" cm="1">
        <f t="array" aca="1" ref="H46" ca="1">IF(
   $O$7="Desbloqueado",
   _xlfn.LET(
     _xlpm.saldo_atual, SUM(($C$2:$C45="Entrada")*($F$2:$F45=Tabela_Movimentacao_Geral[[#This Row],[ID Produto]])*($H$2:$H45) - ($C$2:$C45="Saida")*($F$2:$F45=Tabela_Movimentacao_Geral[[#This Row],[ID Produto]])*($H$2:$H45)),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115</v>
      </c>
      <c r="I46" s="5">
        <f ca="1">_xlfn.XLOOKUP(Tabela_Movimentacao_Geral[[#This Row],[ID Produto]], Tabela_Produtos[ID_Produto],Tabela_Produtos[Preco_Unitario_Venda])</f>
        <v>42</v>
      </c>
      <c r="J46" s="6">
        <f ca="1">Tabela_Movimentacao_Geral[[#This Row],[Quantidade]] * Tabela_Movimentacao_Geral[[#This Row],[Valor Unitário]]</f>
        <v>4830</v>
      </c>
      <c r="K46" t="str">
        <f ca="1">IF(
   $O$7="Desbloqueado",
   CHOOSE(RANDBETWEEN(1,3),"Pago","Pendente","Atrasado"),
   Tabela_Movimentacao_Geral[[#This Row],[Status Financeiro]]
)</f>
        <v>Atrasado</v>
      </c>
      <c r="L46" t="str">
        <f ca="1">IF(
   $O$7="Desbloqueado",
   CHOOSE(RANDBETWEEN(1,3),"Entregue","Em Rota","Aguardando"),
   Tabela_Movimentacao_Geral[[#This Row],[Status Logistico]]
)</f>
        <v>Aguardando</v>
      </c>
      <c r="M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45693</v>
      </c>
    </row>
    <row r="47" spans="1:13" x14ac:dyDescent="0.3">
      <c r="A47" t="str">
        <f t="shared" si="0"/>
        <v>T0046</v>
      </c>
      <c r="B47" s="1">
        <v>45688</v>
      </c>
      <c r="C47" t="str" cm="1">
        <f t="array" aca="1" ref="C47" ca="1">IF($O$7="Desbloqueado",
  _xlfn.LET(
    _xlpm.saldo_atual, SUM(($C$2:$C46="Entrada")*($F$2:$F46=Tabela_Movimentacao_Geral[[#This Row],[ID Produto]])*($H$2:$H46) - ($C$2:$C46="Saida")*($F$2:$F46=Tabela_Movimentacao_Geral[[#This Row],[ID Produto]])*($H$2:$H46)),
    IF(_xlpm.saldo_atual &gt; 0, IF(RANDBETWEEN(0,10)&gt;3,"Saida","Entrada"), "Entrada")
  ),
  Tabela_Movimentacao_Geral[[#This Row],[Tipo Fluxo]]
)</f>
        <v>Entrada</v>
      </c>
      <c r="D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47" t="str">
        <f ca="1">IF(
  $O$7="Desbloqueado",
  "PROD"&amp;TEXT(RANDBETWEEN(1,200),"000"),
  Tabela_Movimentacao_Geral[[#This Row],[ID Produto]]
)</f>
        <v>PROD014</v>
      </c>
      <c r="G47" t="str">
        <f ca="1">_xlfn.XLOOKUP(Tabela_Movimentacao_Geral[[#This Row],[ID Produto]], Tabela_Produtos[ID_Produto],Tabela_Produtos[Descricao_Produto],"Produto não encontrado")</f>
        <v>Roteador Wi-Fi 6</v>
      </c>
      <c r="H47" cm="1">
        <f t="array" aca="1" ref="H47" ca="1">IF(
   $O$7="Desbloqueado",
   _xlfn.LET(
     _xlpm.saldo_atual, SUM(($C$2:$C46="Entrada")*($F$2:$F46=Tabela_Movimentacao_Geral[[#This Row],[ID Produto]])*($H$2:$H46) - ($C$2:$C46="Saida")*($F$2:$F46=Tabela_Movimentacao_Geral[[#This Row],[ID Produto]])*($H$2:$H46)),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47" s="5">
        <f ca="1">_xlfn.XLOOKUP(Tabela_Movimentacao_Geral[[#This Row],[ID Produto]], Tabela_Produtos[ID_Produto],Tabela_Produtos[Preco_Unitario_Venda])</f>
        <v>650</v>
      </c>
      <c r="J47" s="6">
        <f ca="1">Tabela_Movimentacao_Geral[[#This Row],[Quantidade]] * Tabela_Movimentacao_Geral[[#This Row],[Valor Unitário]]</f>
        <v>27950</v>
      </c>
      <c r="K47" t="str">
        <f ca="1">IF(
   $O$7="Desbloqueado",
   CHOOSE(RANDBETWEEN(1,3),"Pago","Pendente","Atrasado"),
   Tabela_Movimentacao_Geral[[#This Row],[Status Financeiro]]
)</f>
        <v>Pendente</v>
      </c>
      <c r="L47" t="str">
        <f ca="1">IF(
   $O$7="Desbloqueado",
   CHOOSE(RANDBETWEEN(1,3),"Entregue","Em Rota","Aguardando"),
   Tabela_Movimentacao_Geral[[#This Row],[Status Logistico]]
)</f>
        <v>Entregue</v>
      </c>
      <c r="M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45694</v>
      </c>
    </row>
    <row r="48" spans="1:13" x14ac:dyDescent="0.3">
      <c r="A48" t="str">
        <f t="shared" si="0"/>
        <v>T0047</v>
      </c>
      <c r="B48" s="1">
        <v>45688</v>
      </c>
      <c r="C48" t="str" cm="1">
        <f t="array" aca="1" ref="C48" ca="1">IF($O$7="Desbloqueado",
  _xlfn.LET(
    _xlpm.saldo_atual, SUM(($C$2:$C47="Entrada")*($F$2:$F47=Tabela_Movimentacao_Geral[[#This Row],[ID Produto]])*($H$2:$H47) - ($C$2:$C47="Saida")*($F$2:$F47=Tabela_Movimentacao_Geral[[#This Row],[ID Produto]])*($H$2:$H47)),
    IF(_xlpm.saldo_atual &gt; 0, IF(RANDBETWEEN(0,10)&gt;3,"Saida","Entrada"), "Entrada")
  ),
  Tabela_Movimentacao_Geral[[#This Row],[Tipo Fluxo]]
)</f>
        <v>Entrada</v>
      </c>
      <c r="D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48" t="str">
        <f ca="1">IF(
  $O$7="Desbloqueado",
  "PROD"&amp;TEXT(RANDBETWEEN(1,200),"000"),
  Tabela_Movimentacao_Geral[[#This Row],[ID Produto]]
)</f>
        <v>PROD147</v>
      </c>
      <c r="G48" t="str">
        <f ca="1">_xlfn.XLOOKUP(Tabela_Movimentacao_Geral[[#This Row],[ID Produto]], Tabela_Produtos[ID_Produto],Tabela_Produtos[Descricao_Produto],"Produto não encontrado")</f>
        <v>Testador de Cabo de Rede</v>
      </c>
      <c r="H48" cm="1">
        <f t="array" aca="1" ref="H48" ca="1">IF(
   $O$7="Desbloqueado",
   _xlfn.LET(
     _xlpm.saldo_atual, SUM(($C$2:$C47="Entrada")*($F$2:$F47=Tabela_Movimentacao_Geral[[#This Row],[ID Produto]])*($H$2:$H47) - ($C$2:$C47="Saida")*($F$2:$F47=Tabela_Movimentacao_Geral[[#This Row],[ID Produto]])*($H$2:$H47)),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</v>
      </c>
      <c r="I48" s="5">
        <f ca="1">_xlfn.XLOOKUP(Tabela_Movimentacao_Geral[[#This Row],[ID Produto]], Tabela_Produtos[ID_Produto],Tabela_Produtos[Preco_Unitario_Venda])</f>
        <v>65</v>
      </c>
      <c r="J48" s="6">
        <f ca="1">Tabela_Movimentacao_Geral[[#This Row],[Quantidade]] * Tabela_Movimentacao_Geral[[#This Row],[Valor Unitário]]</f>
        <v>3705</v>
      </c>
      <c r="K48" t="str">
        <f ca="1">IF(
   $O$7="Desbloqueado",
   CHOOSE(RANDBETWEEN(1,3),"Pago","Pendente","Atrasado"),
   Tabela_Movimentacao_Geral[[#This Row],[Status Financeiro]]
)</f>
        <v>Pendente</v>
      </c>
      <c r="L48" t="str">
        <f ca="1">IF(
   $O$7="Desbloqueado",
   CHOOSE(RANDBETWEEN(1,3),"Entregue","Em Rota","Aguardando"),
   Tabela_Movimentacao_Geral[[#This Row],[Status Logistico]]
)</f>
        <v>Em Rota</v>
      </c>
      <c r="M4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45694</v>
      </c>
    </row>
    <row r="49" spans="1:13" x14ac:dyDescent="0.3">
      <c r="A49" t="str">
        <f t="shared" si="0"/>
        <v>T0048</v>
      </c>
      <c r="B49" s="1">
        <v>45689</v>
      </c>
      <c r="C49" t="str" cm="1">
        <f t="array" aca="1" ref="C49" ca="1">IF($O$7="Desbloqueado",
  _xlfn.LET(
    _xlpm.saldo_atual, SUM(($C$2:$C48="Entrada")*($F$2:$F48=Tabela_Movimentacao_Geral[[#This Row],[ID Produto]])*($H$2:$H48) - ($C$2:$C48="Saida")*($F$2:$F48=Tabela_Movimentacao_Geral[[#This Row],[ID Produto]])*($H$2:$H48)),
    IF(_xlpm.saldo_atual &gt; 0, IF(RANDBETWEEN(0,10)&gt;3,"Saida","Entrada"), "Entrada")
  ),
  Tabela_Movimentacao_Geral[[#This Row],[Tipo Fluxo]]
)</f>
        <v>Entrada</v>
      </c>
      <c r="D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49" t="str">
        <f ca="1">IF(
  $O$7="Desbloqueado",
  "PROD"&amp;TEXT(RANDBETWEEN(1,200),"000"),
  Tabela_Movimentacao_Geral[[#This Row],[ID Produto]]
)</f>
        <v>PROD136</v>
      </c>
      <c r="G49" t="str">
        <f ca="1">_xlfn.XLOOKUP(Tabela_Movimentacao_Geral[[#This Row],[ID Produto]], Tabela_Produtos[ID_Produto],Tabela_Produtos[Descricao_Produto],"Produto não encontrado")</f>
        <v>Gabinete ATX Mid Tower</v>
      </c>
      <c r="H49" cm="1">
        <f t="array" aca="1" ref="H49" ca="1">IF(
   $O$7="Desbloqueado",
   _xlfn.LET(
     _xlpm.saldo_atual, SUM(($C$2:$C48="Entrada")*($F$2:$F48=Tabela_Movimentacao_Geral[[#This Row],[ID Produto]])*($H$2:$H48) - ($C$2:$C48="Saida")*($F$2:$F48=Tabela_Movimentacao_Geral[[#This Row],[ID Produto]])*($H$2:$H48)),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49" s="5">
        <f ca="1">_xlfn.XLOOKUP(Tabela_Movimentacao_Geral[[#This Row],[ID Produto]], Tabela_Produtos[ID_Produto],Tabela_Produtos[Preco_Unitario_Venda])</f>
        <v>350</v>
      </c>
      <c r="J49" s="6">
        <f ca="1">Tabela_Movimentacao_Geral[[#This Row],[Quantidade]] * Tabela_Movimentacao_Geral[[#This Row],[Valor Unitário]]</f>
        <v>9100</v>
      </c>
      <c r="K49" t="str">
        <f ca="1">IF(
   $O$7="Desbloqueado",
   CHOOSE(RANDBETWEEN(1,3),"Pago","Pendente","Atrasado"),
   Tabela_Movimentacao_Geral[[#This Row],[Status Financeiro]]
)</f>
        <v>Atrasado</v>
      </c>
      <c r="L49" t="str">
        <f ca="1">IF(
   $O$7="Desbloqueado",
   CHOOSE(RANDBETWEEN(1,3),"Entregue","Em Rota","Aguardando"),
   Tabela_Movimentacao_Geral[[#This Row],[Status Logistico]]
)</f>
        <v>Entregue</v>
      </c>
      <c r="M4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45691</v>
      </c>
    </row>
    <row r="50" spans="1:13" x14ac:dyDescent="0.3">
      <c r="A50" t="str">
        <f t="shared" si="0"/>
        <v>T0049</v>
      </c>
      <c r="B50" s="1">
        <v>45689</v>
      </c>
      <c r="C50" t="str" cm="1">
        <f t="array" aca="1" ref="C50" ca="1">IF($O$7="Desbloqueado",
  _xlfn.LET(
    _xlpm.saldo_atual, SUM(($C$2:$C49="Entrada")*($F$2:$F49=Tabela_Movimentacao_Geral[[#This Row],[ID Produto]])*($H$2:$H49) - ($C$2:$C49="Saida")*($F$2:$F49=Tabela_Movimentacao_Geral[[#This Row],[ID Produto]])*($H$2:$H49)),
    IF(_xlpm.saldo_atual &gt; 0, IF(RANDBETWEEN(0,10)&gt;3,"Saida","Entrada"), "Entrada")
  ),
  Tabela_Movimentacao_Geral[[#This Row],[Tipo Fluxo]]
)</f>
        <v>Entrada</v>
      </c>
      <c r="D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50" t="str">
        <f ca="1">IF(
  $O$7="Desbloqueado",
  "PROD"&amp;TEXT(RANDBETWEEN(1,200),"000"),
  Tabela_Movimentacao_Geral[[#This Row],[ID Produto]]
)</f>
        <v>PROD092</v>
      </c>
      <c r="G50" t="str">
        <f ca="1">_xlfn.XLOOKUP(Tabela_Movimentacao_Geral[[#This Row],[ID Produto]], Tabela_Produtos[ID_Produto],Tabela_Produtos[Descricao_Produto],"Produto não encontrado")</f>
        <v>Fita LTO-8 Ultrium</v>
      </c>
      <c r="H50" cm="1">
        <f t="array" aca="1" ref="H50" ca="1">IF(
   $O$7="Desbloqueado",
   _xlfn.LET(
     _xlpm.saldo_atual, SUM(($C$2:$C49="Entrada")*($F$2:$F49=Tabela_Movimentacao_Geral[[#This Row],[ID Produto]])*($H$2:$H49) - ($C$2:$C49="Saida")*($F$2:$F49=Tabela_Movimentacao_Geral[[#This Row],[ID Produto]])*($H$2:$H49)),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50" s="5">
        <f ca="1">_xlfn.XLOOKUP(Tabela_Movimentacao_Geral[[#This Row],[ID Produto]], Tabela_Produtos[ID_Produto],Tabela_Produtos[Preco_Unitario_Venda])</f>
        <v>950</v>
      </c>
      <c r="J50" s="6">
        <f ca="1">Tabela_Movimentacao_Geral[[#This Row],[Quantidade]] * Tabela_Movimentacao_Geral[[#This Row],[Valor Unitário]]</f>
        <v>70300</v>
      </c>
      <c r="K50" t="str">
        <f ca="1">IF(
   $O$7="Desbloqueado",
   CHOOSE(RANDBETWEEN(1,3),"Pago","Pendente","Atrasado"),
   Tabela_Movimentacao_Geral[[#This Row],[Status Financeiro]]
)</f>
        <v>Pendente</v>
      </c>
      <c r="L50" t="str">
        <f ca="1">IF(
   $O$7="Desbloqueado",
   CHOOSE(RANDBETWEEN(1,3),"Entregue","Em Rota","Aguardando"),
   Tabela_Movimentacao_Geral[[#This Row],[Status Logistico]]
)</f>
        <v>Aguardando</v>
      </c>
      <c r="M5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45690</v>
      </c>
    </row>
    <row r="51" spans="1:13" x14ac:dyDescent="0.3">
      <c r="A51" t="str">
        <f t="shared" si="0"/>
        <v>T0050</v>
      </c>
      <c r="B51" s="1">
        <v>45690</v>
      </c>
      <c r="C51" t="str" cm="1">
        <f t="array" aca="1" ref="C51" ca="1">IF($O$7="Desbloqueado",
  _xlfn.LET(
    _xlpm.saldo_atual, SUM(($C$2:$C50="Entrada")*($F$2:$F50=Tabela_Movimentacao_Geral[[#This Row],[ID Produto]])*($H$2:$H50) - ($C$2:$C50="Saida")*($F$2:$F50=Tabela_Movimentacao_Geral[[#This Row],[ID Produto]])*($H$2:$H50)),
    IF(_xlpm.saldo_atual &gt; 0, IF(RANDBETWEEN(0,10)&gt;3,"Saida","Entrada"), "Entrada")
  ),
  Tabela_Movimentacao_Geral[[#This Row],[Tipo Fluxo]]
)</f>
        <v>Entrada</v>
      </c>
      <c r="D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51" t="str">
        <f ca="1">IF(
  $O$7="Desbloqueado",
  "PROD"&amp;TEXT(RANDBETWEEN(1,200),"000"),
  Tabela_Movimentacao_Geral[[#This Row],[ID Produto]]
)</f>
        <v>PROD076</v>
      </c>
      <c r="G51" t="str">
        <f ca="1">_xlfn.XLOOKUP(Tabela_Movimentacao_Geral[[#This Row],[ID Produto]], Tabela_Produtos[ID_Produto],Tabela_Produtos[Descricao_Produto],"Produto não encontrado")</f>
        <v>Fragmentadora de Papel</v>
      </c>
      <c r="H51" cm="1">
        <f t="array" aca="1" ref="H51" ca="1">IF(
   $O$7="Desbloqueado",
   _xlfn.LET(
     _xlpm.saldo_atual, SUM(($C$2:$C50="Entrada")*($F$2:$F50=Tabela_Movimentacao_Geral[[#This Row],[ID Produto]])*($H$2:$H50) - ($C$2:$C50="Saida")*($F$2:$F50=Tabela_Movimentacao_Geral[[#This Row],[ID Produto]])*($H$2:$H50)),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51" s="5">
        <f ca="1">_xlfn.XLOOKUP(Tabela_Movimentacao_Geral[[#This Row],[ID Produto]], Tabela_Produtos[ID_Produto],Tabela_Produtos[Preco_Unitario_Venda])</f>
        <v>750</v>
      </c>
      <c r="J51" s="6">
        <f ca="1">Tabela_Movimentacao_Geral[[#This Row],[Quantidade]] * Tabela_Movimentacao_Geral[[#This Row],[Valor Unitário]]</f>
        <v>7500</v>
      </c>
      <c r="K51" t="str">
        <f ca="1">IF(
   $O$7="Desbloqueado",
   CHOOSE(RANDBETWEEN(1,3),"Pago","Pendente","Atrasado"),
   Tabela_Movimentacao_Geral[[#This Row],[Status Financeiro]]
)</f>
        <v>Pago</v>
      </c>
      <c r="L51" t="str">
        <f ca="1">IF(
   $O$7="Desbloqueado",
   CHOOSE(RANDBETWEEN(1,3),"Entregue","Em Rota","Aguardando"),
   Tabela_Movimentacao_Geral[[#This Row],[Status Logistico]]
)</f>
        <v>Entregue</v>
      </c>
      <c r="M5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45697</v>
      </c>
    </row>
    <row r="52" spans="1:13" x14ac:dyDescent="0.3">
      <c r="A52" t="str">
        <f t="shared" si="0"/>
        <v>T0051</v>
      </c>
      <c r="B52" s="1">
        <v>45690</v>
      </c>
      <c r="C52" t="str" cm="1">
        <f t="array" aca="1" ref="C52" ca="1">IF($O$7="Desbloqueado",
  _xlfn.LET(
    _xlpm.saldo_atual, SUM(($C$2:$C51="Entrada")*($F$2:$F51=Tabela_Movimentacao_Geral[[#This Row],[ID Produto]])*($H$2:$H51) - ($C$2:$C51="Saida")*($F$2:$F51=Tabela_Movimentacao_Geral[[#This Row],[ID Produto]])*($H$2:$H51)),
    IF(_xlpm.saldo_atual &gt; 0, IF(RANDBETWEEN(0,10)&gt;3,"Saida","Entrada"), "Entrada")
  ),
  Tabela_Movimentacao_Geral[[#This Row],[Tipo Fluxo]]
)</f>
        <v>Saida</v>
      </c>
      <c r="D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52" t="str">
        <f ca="1">IF(
  $O$7="Desbloqueado",
  "PROD"&amp;TEXT(RANDBETWEEN(1,200),"000"),
  Tabela_Movimentacao_Geral[[#This Row],[ID Produto]]
)</f>
        <v>PROD051</v>
      </c>
      <c r="G52" t="str">
        <f ca="1">_xlfn.XLOOKUP(Tabela_Movimentacao_Geral[[#This Row],[ID Produto]], Tabela_Produtos[ID_Produto],Tabela_Produtos[Descricao_Produto],"Produto não encontrado")</f>
        <v>Papel A4 Report 500fls</v>
      </c>
      <c r="H52" cm="1">
        <f t="array" aca="1" ref="H52" ca="1">IF(
   $O$7="Desbloqueado",
   _xlfn.LET(
     _xlpm.saldo_atual, SUM(($C$2:$C51="Entrada")*($F$2:$F51=Tabela_Movimentacao_Geral[[#This Row],[ID Produto]])*($H$2:$H51) - ($C$2:$C51="Saida")*($F$2:$F51=Tabela_Movimentacao_Geral[[#This Row],[ID Produto]])*($H$2:$H51)),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52" s="5">
        <f ca="1">_xlfn.XLOOKUP(Tabela_Movimentacao_Geral[[#This Row],[ID Produto]], Tabela_Produtos[ID_Produto],Tabela_Produtos[Preco_Unitario_Venda])</f>
        <v>28</v>
      </c>
      <c r="J52" s="6">
        <f ca="1">Tabela_Movimentacao_Geral[[#This Row],[Quantidade]] * Tabela_Movimentacao_Geral[[#This Row],[Valor Unitário]]</f>
        <v>252</v>
      </c>
      <c r="K52" t="str">
        <f ca="1">IF(
   $O$7="Desbloqueado",
   CHOOSE(RANDBETWEEN(1,3),"Pago","Pendente","Atrasado"),
   Tabela_Movimentacao_Geral[[#This Row],[Status Financeiro]]
)</f>
        <v>Pago</v>
      </c>
      <c r="L52" t="str">
        <f ca="1">IF(
   $O$7="Desbloqueado",
   CHOOSE(RANDBETWEEN(1,3),"Entregue","Em Rota","Aguardando"),
   Tabela_Movimentacao_Geral[[#This Row],[Status Logistico]]
)</f>
        <v>Em Rota</v>
      </c>
      <c r="M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" spans="1:13" x14ac:dyDescent="0.3">
      <c r="A53" t="str">
        <f t="shared" si="0"/>
        <v>T0052</v>
      </c>
      <c r="B53" s="1">
        <v>45690</v>
      </c>
      <c r="C53" t="str" cm="1">
        <f t="array" aca="1" ref="C53" ca="1">IF($O$7="Desbloqueado",
  _xlfn.LET(
    _xlpm.saldo_atual, SUM(($C$2:$C52="Entrada")*($F$2:$F52=Tabela_Movimentacao_Geral[[#This Row],[ID Produto]])*($H$2:$H52) - ($C$2:$C52="Saida")*($F$2:$F52=Tabela_Movimentacao_Geral[[#This Row],[ID Produto]])*($H$2:$H52)),
    IF(_xlpm.saldo_atual &gt; 0, IF(RANDBETWEEN(0,10)&gt;3,"Saida","Entrada"), "Entrada")
  ),
  Tabela_Movimentacao_Geral[[#This Row],[Tipo Fluxo]]
)</f>
        <v>Entrada</v>
      </c>
      <c r="D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53" t="str">
        <f ca="1">IF(
  $O$7="Desbloqueado",
  "PROD"&amp;TEXT(RANDBETWEEN(1,200),"000"),
  Tabela_Movimentacao_Geral[[#This Row],[ID Produto]]
)</f>
        <v>PROD174</v>
      </c>
      <c r="G53" t="str">
        <f ca="1">_xlfn.XLOOKUP(Tabela_Movimentacao_Geral[[#This Row],[ID Produto]], Tabela_Produtos[ID_Produto],Tabela_Produtos[Descricao_Produto],"Produto não encontrado")</f>
        <v>Filme Stretch Manual 50cm</v>
      </c>
      <c r="H53" cm="1">
        <f t="array" aca="1" ref="H53" ca="1">IF(
   $O$7="Desbloqueado",
   _xlfn.LET(
     _xlpm.saldo_atual, SUM(($C$2:$C52="Entrada")*($F$2:$F52=Tabela_Movimentacao_Geral[[#This Row],[ID Produto]])*($H$2:$H52) - ($C$2:$C52="Saida")*($F$2:$F52=Tabela_Movimentacao_Geral[[#This Row],[ID Produto]])*($H$2:$H52)),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100</v>
      </c>
      <c r="I53" s="5">
        <f ca="1">_xlfn.XLOOKUP(Tabela_Movimentacao_Geral[[#This Row],[ID Produto]], Tabela_Produtos[ID_Produto],Tabela_Produtos[Preco_Unitario_Venda])</f>
        <v>65</v>
      </c>
      <c r="J53" s="6">
        <f ca="1">Tabela_Movimentacao_Geral[[#This Row],[Quantidade]] * Tabela_Movimentacao_Geral[[#This Row],[Valor Unitário]]</f>
        <v>6500</v>
      </c>
      <c r="K53" t="str">
        <f ca="1">IF(
   $O$7="Desbloqueado",
   CHOOSE(RANDBETWEEN(1,3),"Pago","Pendente","Atrasado"),
   Tabela_Movimentacao_Geral[[#This Row],[Status Financeiro]]
)</f>
        <v>Atrasado</v>
      </c>
      <c r="L53" t="str">
        <f ca="1">IF(
   $O$7="Desbloqueado",
   CHOOSE(RANDBETWEEN(1,3),"Entregue","Em Rota","Aguardando"),
   Tabela_Movimentacao_Geral[[#This Row],[Status Logistico]]
)</f>
        <v>Em Rota</v>
      </c>
      <c r="M5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45692</v>
      </c>
    </row>
    <row r="54" spans="1:13" x14ac:dyDescent="0.3">
      <c r="A54" t="str">
        <f t="shared" si="0"/>
        <v>T0053</v>
      </c>
      <c r="B54" s="1">
        <v>45692</v>
      </c>
      <c r="C54" t="str" cm="1">
        <f t="array" aca="1" ref="C54" ca="1">IF($O$7="Desbloqueado",
  _xlfn.LET(
    _xlpm.saldo_atual, SUM(($C$2:$C53="Entrada")*($F$2:$F53=Tabela_Movimentacao_Geral[[#This Row],[ID Produto]])*($H$2:$H53) - ($C$2:$C53="Saida")*($F$2:$F53=Tabela_Movimentacao_Geral[[#This Row],[ID Produto]])*($H$2:$H53)),
    IF(_xlpm.saldo_atual &gt; 0, IF(RANDBETWEEN(0,10)&gt;3,"Saida","Entrada"), "Entrada")
  ),
  Tabela_Movimentacao_Geral[[#This Row],[Tipo Fluxo]]
)</f>
        <v>Saida</v>
      </c>
      <c r="D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54" t="str">
        <f ca="1">IF(
  $O$7="Desbloqueado",
  "PROD"&amp;TEXT(RANDBETWEEN(1,200),"000"),
  Tabela_Movimentacao_Geral[[#This Row],[ID Produto]]
)</f>
        <v>PROD092</v>
      </c>
      <c r="G54" t="str">
        <f ca="1">_xlfn.XLOOKUP(Tabela_Movimentacao_Geral[[#This Row],[ID Produto]], Tabela_Produtos[ID_Produto],Tabela_Produtos[Descricao_Produto],"Produto não encontrado")</f>
        <v>Fita LTO-8 Ultrium</v>
      </c>
      <c r="H54" cm="1">
        <f t="array" aca="1" ref="H54" ca="1">IF(
   $O$7="Desbloqueado",
   _xlfn.LET(
     _xlpm.saldo_atual, SUM(($C$2:$C53="Entrada")*($F$2:$F53=Tabela_Movimentacao_Geral[[#This Row],[ID Produto]])*($H$2:$H53) - ($C$2:$C53="Saida")*($F$2:$F53=Tabela_Movimentacao_Geral[[#This Row],[ID Produto]])*($H$2:$H53)),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54" s="5">
        <f ca="1">_xlfn.XLOOKUP(Tabela_Movimentacao_Geral[[#This Row],[ID Produto]], Tabela_Produtos[ID_Produto],Tabela_Produtos[Preco_Unitario_Venda])</f>
        <v>950</v>
      </c>
      <c r="J54" s="6">
        <f ca="1">Tabela_Movimentacao_Geral[[#This Row],[Quantidade]] * Tabela_Movimentacao_Geral[[#This Row],[Valor Unitário]]</f>
        <v>13300</v>
      </c>
      <c r="K54" t="str">
        <f ca="1">IF(
   $O$7="Desbloqueado",
   CHOOSE(RANDBETWEEN(1,3),"Pago","Pendente","Atrasado"),
   Tabela_Movimentacao_Geral[[#This Row],[Status Financeiro]]
)</f>
        <v>Pendente</v>
      </c>
      <c r="L54" t="str">
        <f ca="1">IF(
   $O$7="Desbloqueado",
   CHOOSE(RANDBETWEEN(1,3),"Entregue","Em Rota","Aguardando"),
   Tabela_Movimentacao_Geral[[#This Row],[Status Logistico]]
)</f>
        <v>Entregue</v>
      </c>
      <c r="M5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5" spans="1:13" x14ac:dyDescent="0.3">
      <c r="A55" t="str">
        <f t="shared" si="0"/>
        <v>T0054</v>
      </c>
      <c r="B55" s="1">
        <v>45692</v>
      </c>
      <c r="C55" t="str" cm="1">
        <f t="array" aca="1" ref="C55" ca="1">IF($O$7="Desbloqueado",
  _xlfn.LET(
    _xlpm.saldo_atual, SUM(($C$2:$C54="Entrada")*($F$2:$F54=Tabela_Movimentacao_Geral[[#This Row],[ID Produto]])*($H$2:$H54) - ($C$2:$C54="Saida")*($F$2:$F54=Tabela_Movimentacao_Geral[[#This Row],[ID Produto]])*($H$2:$H54)),
    IF(_xlpm.saldo_atual &gt; 0, IF(RANDBETWEEN(0,10)&gt;3,"Saida","Entrada"), "Entrada")
  ),
  Tabela_Movimentacao_Geral[[#This Row],[Tipo Fluxo]]
)</f>
        <v>Entrada</v>
      </c>
      <c r="D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55" t="str">
        <f ca="1">IF(
  $O$7="Desbloqueado",
  "PROD"&amp;TEXT(RANDBETWEEN(1,200),"000"),
  Tabela_Movimentacao_Geral[[#This Row],[ID Produto]]
)</f>
        <v>PROD032</v>
      </c>
      <c r="G55" t="str">
        <f ca="1">_xlfn.XLOOKUP(Tabela_Movimentacao_Geral[[#This Row],[ID Produto]], Tabela_Produtos[ID_Produto],Tabela_Produtos[Descricao_Produto],"Produto não encontrado")</f>
        <v>Base Resfriadora Notebook</v>
      </c>
      <c r="H55" cm="1">
        <f t="array" aca="1" ref="H55" ca="1">IF(
   $O$7="Desbloqueado",
   _xlfn.LET(
     _xlpm.saldo_atual, SUM(($C$2:$C54="Entrada")*($F$2:$F54=Tabela_Movimentacao_Geral[[#This Row],[ID Produto]])*($H$2:$H54) - ($C$2:$C54="Saida")*($F$2:$F54=Tabela_Movimentacao_Geral[[#This Row],[ID Produto]])*($H$2:$H54)),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28</v>
      </c>
      <c r="I55" s="5">
        <f ca="1">_xlfn.XLOOKUP(Tabela_Movimentacao_Geral[[#This Row],[ID Produto]], Tabela_Produtos[ID_Produto],Tabela_Produtos[Preco_Unitario_Venda])</f>
        <v>110</v>
      </c>
      <c r="J55" s="6">
        <f ca="1">Tabela_Movimentacao_Geral[[#This Row],[Quantidade]] * Tabela_Movimentacao_Geral[[#This Row],[Valor Unitário]]</f>
        <v>3080</v>
      </c>
      <c r="K55" t="str">
        <f ca="1">IF(
   $O$7="Desbloqueado",
   CHOOSE(RANDBETWEEN(1,3),"Pago","Pendente","Atrasado"),
   Tabela_Movimentacao_Geral[[#This Row],[Status Financeiro]]
)</f>
        <v>Pago</v>
      </c>
      <c r="L55" t="str">
        <f ca="1">IF(
   $O$7="Desbloqueado",
   CHOOSE(RANDBETWEEN(1,3),"Entregue","Em Rota","Aguardando"),
   Tabela_Movimentacao_Geral[[#This Row],[Status Logistico]]
)</f>
        <v>Entregue</v>
      </c>
      <c r="M5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45695</v>
      </c>
    </row>
    <row r="56" spans="1:13" x14ac:dyDescent="0.3">
      <c r="A56" t="str">
        <f t="shared" si="0"/>
        <v>T0055</v>
      </c>
      <c r="B56" s="1">
        <v>45693</v>
      </c>
      <c r="C56" t="str" cm="1">
        <f t="array" aca="1" ref="C56" ca="1">IF($O$7="Desbloqueado",
  _xlfn.LET(
    _xlpm.saldo_atual, SUM(($C$2:$C55="Entrada")*($F$2:$F55=Tabela_Movimentacao_Geral[[#This Row],[ID Produto]])*($H$2:$H55) - ($C$2:$C55="Saida")*($F$2:$F55=Tabela_Movimentacao_Geral[[#This Row],[ID Produto]])*($H$2:$H55)),
    IF(_xlpm.saldo_atual &gt; 0, IF(RANDBETWEEN(0,10)&gt;3,"Saida","Entrada"), "Entrada")
  ),
  Tabela_Movimentacao_Geral[[#This Row],[Tipo Fluxo]]
)</f>
        <v>Entrada</v>
      </c>
      <c r="D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56" t="str">
        <f ca="1">IF(
  $O$7="Desbloqueado",
  "PROD"&amp;TEXT(RANDBETWEEN(1,200),"000"),
  Tabela_Movimentacao_Geral[[#This Row],[ID Produto]]
)</f>
        <v>PROD051</v>
      </c>
      <c r="G56" t="str">
        <f ca="1">_xlfn.XLOOKUP(Tabela_Movimentacao_Geral[[#This Row],[ID Produto]], Tabela_Produtos[ID_Produto],Tabela_Produtos[Descricao_Produto],"Produto não encontrado")</f>
        <v>Papel A4 Report 500fls</v>
      </c>
      <c r="H56" cm="1">
        <f t="array" aca="1" ref="H56" ca="1">IF(
   $O$7="Desbloqueado",
   _xlfn.LET(
     _xlpm.saldo_atual, SUM(($C$2:$C55="Entrada")*($F$2:$F55=Tabela_Movimentacao_Geral[[#This Row],[ID Produto]])*($H$2:$H55) - ($C$2:$C55="Saida")*($F$2:$F55=Tabela_Movimentacao_Geral[[#This Row],[ID Produto]])*($H$2:$H55)),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106</v>
      </c>
      <c r="I56" s="5">
        <f ca="1">_xlfn.XLOOKUP(Tabela_Movimentacao_Geral[[#This Row],[ID Produto]], Tabela_Produtos[ID_Produto],Tabela_Produtos[Preco_Unitario_Venda])</f>
        <v>28</v>
      </c>
      <c r="J56" s="6">
        <f ca="1">Tabela_Movimentacao_Geral[[#This Row],[Quantidade]] * Tabela_Movimentacao_Geral[[#This Row],[Valor Unitário]]</f>
        <v>2968</v>
      </c>
      <c r="K56" t="str">
        <f ca="1">IF(
   $O$7="Desbloqueado",
   CHOOSE(RANDBETWEEN(1,3),"Pago","Pendente","Atrasado"),
   Tabela_Movimentacao_Geral[[#This Row],[Status Financeiro]]
)</f>
        <v>Pago</v>
      </c>
      <c r="L56" t="str">
        <f ca="1">IF(
   $O$7="Desbloqueado",
   CHOOSE(RANDBETWEEN(1,3),"Entregue","Em Rota","Aguardando"),
   Tabela_Movimentacao_Geral[[#This Row],[Status Logistico]]
)</f>
        <v>Aguardando</v>
      </c>
      <c r="M5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45698</v>
      </c>
    </row>
    <row r="57" spans="1:13" x14ac:dyDescent="0.3">
      <c r="A57" t="str">
        <f t="shared" si="0"/>
        <v>T0056</v>
      </c>
      <c r="B57" s="1">
        <v>45693</v>
      </c>
      <c r="C57" t="str" cm="1">
        <f t="array" aca="1" ref="C57" ca="1">IF($O$7="Desbloqueado",
  _xlfn.LET(
    _xlpm.saldo_atual, SUM(($C$2:$C56="Entrada")*($F$2:$F56=Tabela_Movimentacao_Geral[[#This Row],[ID Produto]])*($H$2:$H56) - ($C$2:$C56="Saida")*($F$2:$F56=Tabela_Movimentacao_Geral[[#This Row],[ID Produto]])*($H$2:$H56)),
    IF(_xlpm.saldo_atual &gt; 0, IF(RANDBETWEEN(0,10)&gt;3,"Saida","Entrada"), "Entrada")
  ),
  Tabela_Movimentacao_Geral[[#This Row],[Tipo Fluxo]]
)</f>
        <v>Saida</v>
      </c>
      <c r="D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57" t="str">
        <f ca="1">IF(
  $O$7="Desbloqueado",
  "PROD"&amp;TEXT(RANDBETWEEN(1,200),"000"),
  Tabela_Movimentacao_Geral[[#This Row],[ID Produto]]
)</f>
        <v>PROD174</v>
      </c>
      <c r="G57" t="str">
        <f ca="1">_xlfn.XLOOKUP(Tabela_Movimentacao_Geral[[#This Row],[ID Produto]], Tabela_Produtos[ID_Produto],Tabela_Produtos[Descricao_Produto],"Produto não encontrado")</f>
        <v>Filme Stretch Manual 50cm</v>
      </c>
      <c r="H57" cm="1">
        <f t="array" aca="1" ref="H57" ca="1">IF(
   $O$7="Desbloqueado",
   _xlfn.LET(
     _xlpm.saldo_atual, SUM(($C$2:$C56="Entrada")*($F$2:$F56=Tabela_Movimentacao_Geral[[#This Row],[ID Produto]])*($H$2:$H56) - ($C$2:$C56="Saida")*($F$2:$F56=Tabela_Movimentacao_Geral[[#This Row],[ID Produto]])*($H$2:$H56)),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57" s="5">
        <f ca="1">_xlfn.XLOOKUP(Tabela_Movimentacao_Geral[[#This Row],[ID Produto]], Tabela_Produtos[ID_Produto],Tabela_Produtos[Preco_Unitario_Venda])</f>
        <v>65</v>
      </c>
      <c r="J57" s="6">
        <f ca="1">Tabela_Movimentacao_Geral[[#This Row],[Quantidade]] * Tabela_Movimentacao_Geral[[#This Row],[Valor Unitário]]</f>
        <v>780</v>
      </c>
      <c r="K57" t="str">
        <f ca="1">IF(
   $O$7="Desbloqueado",
   CHOOSE(RANDBETWEEN(1,3),"Pago","Pendente","Atrasado"),
   Tabela_Movimentacao_Geral[[#This Row],[Status Financeiro]]
)</f>
        <v>Pendente</v>
      </c>
      <c r="L57" t="str">
        <f ca="1">IF(
   $O$7="Desbloqueado",
   CHOOSE(RANDBETWEEN(1,3),"Entregue","Em Rota","Aguardando"),
   Tabela_Movimentacao_Geral[[#This Row],[Status Logistico]]
)</f>
        <v>Em Rota</v>
      </c>
      <c r="M5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" spans="1:13" x14ac:dyDescent="0.3">
      <c r="A58" t="str">
        <f t="shared" si="0"/>
        <v>T0057</v>
      </c>
      <c r="B58" s="1">
        <v>45695</v>
      </c>
      <c r="C58" t="str" cm="1">
        <f t="array" aca="1" ref="C58" ca="1">IF($O$7="Desbloqueado",
  _xlfn.LET(
    _xlpm.saldo_atual, SUM(($C$2:$C57="Entrada")*($F$2:$F57=Tabela_Movimentacao_Geral[[#This Row],[ID Produto]])*($H$2:$H57) - ($C$2:$C57="Saida")*($F$2:$F57=Tabela_Movimentacao_Geral[[#This Row],[ID Produto]])*($H$2:$H57)),
    IF(_xlpm.saldo_atual &gt; 0, IF(RANDBETWEEN(0,10)&gt;3,"Saida","Entrada"), "Entrada")
  ),
  Tabela_Movimentacao_Geral[[#This Row],[Tipo Fluxo]]
)</f>
        <v>Entrada</v>
      </c>
      <c r="D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58" t="str">
        <f ca="1">IF(
  $O$7="Desbloqueado",
  "PROD"&amp;TEXT(RANDBETWEEN(1,200),"000"),
  Tabela_Movimentacao_Geral[[#This Row],[ID Produto]]
)</f>
        <v>PROD192</v>
      </c>
      <c r="G58" t="str">
        <f ca="1">_xlfn.XLOOKUP(Tabela_Movimentacao_Geral[[#This Row],[ID Produto]], Tabela_Produtos[ID_Produto],Tabela_Produtos[Descricao_Produto],"Produto não encontrado")</f>
        <v>Protetor Surto Coaxial</v>
      </c>
      <c r="H58" cm="1">
        <f t="array" aca="1" ref="H58" ca="1">IF(
   $O$7="Desbloqueado",
   _xlfn.LET(
     _xlpm.saldo_atual, SUM(($C$2:$C57="Entrada")*($F$2:$F57=Tabela_Movimentacao_Geral[[#This Row],[ID Produto]])*($H$2:$H57) - ($C$2:$C57="Saida")*($F$2:$F57=Tabela_Movimentacao_Geral[[#This Row],[ID Produto]])*($H$2:$H57)),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48</v>
      </c>
      <c r="I58" s="5">
        <f ca="1">_xlfn.XLOOKUP(Tabela_Movimentacao_Geral[[#This Row],[ID Produto]], Tabela_Produtos[ID_Produto],Tabela_Produtos[Preco_Unitario_Venda])</f>
        <v>85</v>
      </c>
      <c r="J58" s="6">
        <f ca="1">Tabela_Movimentacao_Geral[[#This Row],[Quantidade]] * Tabela_Movimentacao_Geral[[#This Row],[Valor Unitário]]</f>
        <v>4080</v>
      </c>
      <c r="K58" t="str">
        <f ca="1">IF(
   $O$7="Desbloqueado",
   CHOOSE(RANDBETWEEN(1,3),"Pago","Pendente","Atrasado"),
   Tabela_Movimentacao_Geral[[#This Row],[Status Financeiro]]
)</f>
        <v>Pago</v>
      </c>
      <c r="L58" t="str">
        <f ca="1">IF(
   $O$7="Desbloqueado",
   CHOOSE(RANDBETWEEN(1,3),"Entregue","Em Rota","Aguardando"),
   Tabela_Movimentacao_Geral[[#This Row],[Status Logistico]]
)</f>
        <v>Aguardando</v>
      </c>
      <c r="M5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45697</v>
      </c>
    </row>
    <row r="59" spans="1:13" x14ac:dyDescent="0.3">
      <c r="A59" t="str">
        <f t="shared" si="0"/>
        <v>T0058</v>
      </c>
      <c r="B59" s="1">
        <v>45695</v>
      </c>
      <c r="C59" t="str" cm="1">
        <f t="array" aca="1" ref="C59" ca="1">IF($O$7="Desbloqueado",
  _xlfn.LET(
    _xlpm.saldo_atual, SUM(($C$2:$C58="Entrada")*($F$2:$F58=Tabela_Movimentacao_Geral[[#This Row],[ID Produto]])*($H$2:$H58) - ($C$2:$C58="Saida")*($F$2:$F58=Tabela_Movimentacao_Geral[[#This Row],[ID Produto]])*($H$2:$H58)),
    IF(_xlpm.saldo_atual &gt; 0, IF(RANDBETWEEN(0,10)&gt;3,"Saida","Entrada"), "Entrada")
  ),
  Tabela_Movimentacao_Geral[[#This Row],[Tipo Fluxo]]
)</f>
        <v>Entrada</v>
      </c>
      <c r="D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59" t="str">
        <f ca="1">IF(
  $O$7="Desbloqueado",
  "PROD"&amp;TEXT(RANDBETWEEN(1,200),"000"),
  Tabela_Movimentacao_Geral[[#This Row],[ID Produto]]
)</f>
        <v>PROD064</v>
      </c>
      <c r="G59" t="str">
        <f ca="1">_xlfn.XLOOKUP(Tabela_Movimentacao_Geral[[#This Row],[ID Produto]], Tabela_Produtos[ID_Produto],Tabela_Produtos[Descricao_Produto],"Produto não encontrado")</f>
        <v>Cola em Bastao 40g</v>
      </c>
      <c r="H59" cm="1">
        <f t="array" aca="1" ref="H59" ca="1">IF(
   $O$7="Desbloqueado",
   _xlfn.LET(
     _xlpm.saldo_atual, SUM(($C$2:$C58="Entrada")*($F$2:$F58=Tabela_Movimentacao_Geral[[#This Row],[ID Produto]])*($H$2:$H58) - ($C$2:$C58="Saida")*($F$2:$F58=Tabela_Movimentacao_Geral[[#This Row],[ID Produto]])*($H$2:$H58)),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149</v>
      </c>
      <c r="I59" s="5">
        <f ca="1">_xlfn.XLOOKUP(Tabela_Movimentacao_Geral[[#This Row],[ID Produto]], Tabela_Produtos[ID_Produto],Tabela_Produtos[Preco_Unitario_Venda])</f>
        <v>14</v>
      </c>
      <c r="J59" s="6">
        <f ca="1">Tabela_Movimentacao_Geral[[#This Row],[Quantidade]] * Tabela_Movimentacao_Geral[[#This Row],[Valor Unitário]]</f>
        <v>2086</v>
      </c>
      <c r="K59" t="str">
        <f ca="1">IF(
   $O$7="Desbloqueado",
   CHOOSE(RANDBETWEEN(1,3),"Pago","Pendente","Atrasado"),
   Tabela_Movimentacao_Geral[[#This Row],[Status Financeiro]]
)</f>
        <v>Atrasado</v>
      </c>
      <c r="L59" t="str">
        <f ca="1">IF(
   $O$7="Desbloqueado",
   CHOOSE(RANDBETWEEN(1,3),"Entregue","Em Rota","Aguardando"),
   Tabela_Movimentacao_Geral[[#This Row],[Status Logistico]]
)</f>
        <v>Aguardando</v>
      </c>
      <c r="M5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45698</v>
      </c>
    </row>
    <row r="60" spans="1:13" x14ac:dyDescent="0.3">
      <c r="A60" t="str">
        <f t="shared" si="0"/>
        <v>T0059</v>
      </c>
      <c r="B60" s="1">
        <v>45695</v>
      </c>
      <c r="C60" t="str" cm="1">
        <f t="array" aca="1" ref="C60" ca="1">IF($O$7="Desbloqueado",
  _xlfn.LET(
    _xlpm.saldo_atual, SUM(($C$2:$C59="Entrada")*($F$2:$F59=Tabela_Movimentacao_Geral[[#This Row],[ID Produto]])*($H$2:$H59) - ($C$2:$C59="Saida")*($F$2:$F59=Tabela_Movimentacao_Geral[[#This Row],[ID Produto]])*($H$2:$H59)),
    IF(_xlpm.saldo_atual &gt; 0, IF(RANDBETWEEN(0,10)&gt;3,"Saida","Entrada"), "Entrada")
  ),
  Tabela_Movimentacao_Geral[[#This Row],[Tipo Fluxo]]
)</f>
        <v>Entrada</v>
      </c>
      <c r="D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60" t="str">
        <f ca="1">IF(
  $O$7="Desbloqueado",
  "PROD"&amp;TEXT(RANDBETWEEN(1,200),"000"),
  Tabela_Movimentacao_Geral[[#This Row],[ID Produto]]
)</f>
        <v>PROD104</v>
      </c>
      <c r="G60" t="str">
        <f ca="1">_xlfn.XLOOKUP(Tabela_Movimentacao_Geral[[#This Row],[ID Produto]], Tabela_Produtos[ID_Produto],Tabela_Produtos[Descricao_Produto],"Produto não encontrado")</f>
        <v>Suporte Notebook Articulado</v>
      </c>
      <c r="H60" cm="1">
        <f t="array" aca="1" ref="H60" ca="1">IF(
   $O$7="Desbloqueado",
   _xlfn.LET(
     _xlpm.saldo_atual, SUM(($C$2:$C59="Entrada")*($F$2:$F59=Tabela_Movimentacao_Geral[[#This Row],[ID Produto]])*($H$2:$H59) - ($C$2:$C59="Saida")*($F$2:$F59=Tabela_Movimentacao_Geral[[#This Row],[ID Produto]])*($H$2:$H59)),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108</v>
      </c>
      <c r="I60" s="5">
        <f ca="1">_xlfn.XLOOKUP(Tabela_Movimentacao_Geral[[#This Row],[ID Produto]], Tabela_Produtos[ID_Produto],Tabela_Produtos[Preco_Unitario_Venda])</f>
        <v>185</v>
      </c>
      <c r="J60" s="6">
        <f ca="1">Tabela_Movimentacao_Geral[[#This Row],[Quantidade]] * Tabela_Movimentacao_Geral[[#This Row],[Valor Unitário]]</f>
        <v>19980</v>
      </c>
      <c r="K60" t="str">
        <f ca="1">IF(
   $O$7="Desbloqueado",
   CHOOSE(RANDBETWEEN(1,3),"Pago","Pendente","Atrasado"),
   Tabela_Movimentacao_Geral[[#This Row],[Status Financeiro]]
)</f>
        <v>Pago</v>
      </c>
      <c r="L60" t="str">
        <f ca="1">IF(
   $O$7="Desbloqueado",
   CHOOSE(RANDBETWEEN(1,3),"Entregue","Em Rota","Aguardando"),
   Tabela_Movimentacao_Geral[[#This Row],[Status Logistico]]
)</f>
        <v>Em Rota</v>
      </c>
      <c r="M6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45703</v>
      </c>
    </row>
    <row r="61" spans="1:13" x14ac:dyDescent="0.3">
      <c r="A61" t="str">
        <f t="shared" si="0"/>
        <v>T0060</v>
      </c>
      <c r="B61" s="1">
        <v>45695</v>
      </c>
      <c r="C61" t="str" cm="1">
        <f t="array" aca="1" ref="C61" ca="1">IF($O$7="Desbloqueado",
  _xlfn.LET(
    _xlpm.saldo_atual, SUM(($C$2:$C60="Entrada")*($F$2:$F60=Tabela_Movimentacao_Geral[[#This Row],[ID Produto]])*($H$2:$H60) - ($C$2:$C60="Saida")*($F$2:$F60=Tabela_Movimentacao_Geral[[#This Row],[ID Produto]])*($H$2:$H60)),
    IF(_xlpm.saldo_atual &gt; 0, IF(RANDBETWEEN(0,10)&gt;3,"Saida","Entrada"), "Entrada")
  ),
  Tabela_Movimentacao_Geral[[#This Row],[Tipo Fluxo]]
)</f>
        <v>Entrada</v>
      </c>
      <c r="D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61" t="str">
        <f ca="1">IF(
  $O$7="Desbloqueado",
  "PROD"&amp;TEXT(RANDBETWEEN(1,200),"000"),
  Tabela_Movimentacao_Geral[[#This Row],[ID Produto]]
)</f>
        <v>PROD110</v>
      </c>
      <c r="G61" t="str">
        <f ca="1">_xlfn.XLOOKUP(Tabela_Movimentacao_Geral[[#This Row],[ID Produto]], Tabela_Produtos[ID_Produto],Tabela_Produtos[Descricao_Produto],"Produto não encontrado")</f>
        <v>SSD M.2 NVMe 1TB</v>
      </c>
      <c r="H61" cm="1">
        <f t="array" aca="1" ref="H61" ca="1">IF(
   $O$7="Desbloqueado",
   _xlfn.LET(
     _xlpm.saldo_atual, SUM(($C$2:$C60="Entrada")*($F$2:$F60=Tabela_Movimentacao_Geral[[#This Row],[ID Produto]])*($H$2:$H60) - ($C$2:$C60="Saida")*($F$2:$F60=Tabela_Movimentacao_Geral[[#This Row],[ID Produto]])*($H$2:$H60)),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49</v>
      </c>
      <c r="I61" s="5">
        <f ca="1">_xlfn.XLOOKUP(Tabela_Movimentacao_Geral[[#This Row],[ID Produto]], Tabela_Produtos[ID_Produto],Tabela_Produtos[Preco_Unitario_Venda])</f>
        <v>580</v>
      </c>
      <c r="J61" s="6">
        <f ca="1">Tabela_Movimentacao_Geral[[#This Row],[Quantidade]] * Tabela_Movimentacao_Geral[[#This Row],[Valor Unitário]]</f>
        <v>28420</v>
      </c>
      <c r="K61" t="str">
        <f ca="1">IF(
   $O$7="Desbloqueado",
   CHOOSE(RANDBETWEEN(1,3),"Pago","Pendente","Atrasado"),
   Tabela_Movimentacao_Geral[[#This Row],[Status Financeiro]]
)</f>
        <v>Pendente</v>
      </c>
      <c r="L61" t="str">
        <f ca="1">IF(
   $O$7="Desbloqueado",
   CHOOSE(RANDBETWEEN(1,3),"Entregue","Em Rota","Aguardando"),
   Tabela_Movimentacao_Geral[[#This Row],[Status Logistico]]
)</f>
        <v>Entregue</v>
      </c>
      <c r="M6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45699</v>
      </c>
    </row>
    <row r="62" spans="1:13" x14ac:dyDescent="0.3">
      <c r="A62" t="str">
        <f t="shared" si="0"/>
        <v>T0061</v>
      </c>
      <c r="B62" s="1">
        <v>45696</v>
      </c>
      <c r="C62" t="str" cm="1">
        <f t="array" aca="1" ref="C62" ca="1">IF($O$7="Desbloqueado",
  _xlfn.LET(
    _xlpm.saldo_atual, SUM(($C$2:$C61="Entrada")*($F$2:$F61=Tabela_Movimentacao_Geral[[#This Row],[ID Produto]])*($H$2:$H61) - ($C$2:$C61="Saida")*($F$2:$F61=Tabela_Movimentacao_Geral[[#This Row],[ID Produto]])*($H$2:$H61)),
    IF(_xlpm.saldo_atual &gt; 0, IF(RANDBETWEEN(0,10)&gt;3,"Saida","Entrada"), "Entrada")
  ),
  Tabela_Movimentacao_Geral[[#This Row],[Tipo Fluxo]]
)</f>
        <v>Entrada</v>
      </c>
      <c r="D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62" t="str">
        <f ca="1">IF(
  $O$7="Desbloqueado",
  "PROD"&amp;TEXT(RANDBETWEEN(1,200),"000"),
  Tabela_Movimentacao_Geral[[#This Row],[ID Produto]]
)</f>
        <v>PROD103</v>
      </c>
      <c r="G62" t="str">
        <f ca="1">_xlfn.XLOOKUP(Tabela_Movimentacao_Geral[[#This Row],[ID Produto]], Tabela_Produtos[ID_Produto],Tabela_Produtos[Descricao_Produto],"Produto não encontrado")</f>
        <v>Mouse Gamer 12000 DPI</v>
      </c>
      <c r="H62" cm="1">
        <f t="array" aca="1" ref="H62" ca="1">IF(
   $O$7="Desbloqueado",
   _xlfn.LET(
     _xlpm.saldo_atual, SUM(($C$2:$C61="Entrada")*($F$2:$F61=Tabela_Movimentacao_Geral[[#This Row],[ID Produto]])*($H$2:$H61) - ($C$2:$C61="Saida")*($F$2:$F61=Tabela_Movimentacao_Geral[[#This Row],[ID Produto]])*($H$2:$H61)),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111</v>
      </c>
      <c r="I62" s="5">
        <f ca="1">_xlfn.XLOOKUP(Tabela_Movimentacao_Geral[[#This Row],[ID Produto]], Tabela_Produtos[ID_Produto],Tabela_Produtos[Preco_Unitario_Venda])</f>
        <v>240</v>
      </c>
      <c r="J62" s="6">
        <f ca="1">Tabela_Movimentacao_Geral[[#This Row],[Quantidade]] * Tabela_Movimentacao_Geral[[#This Row],[Valor Unitário]]</f>
        <v>26640</v>
      </c>
      <c r="K62" t="str">
        <f ca="1">IF(
   $O$7="Desbloqueado",
   CHOOSE(RANDBETWEEN(1,3),"Pago","Pendente","Atrasado"),
   Tabela_Movimentacao_Geral[[#This Row],[Status Financeiro]]
)</f>
        <v>Atrasado</v>
      </c>
      <c r="L62" t="str">
        <f ca="1">IF(
   $O$7="Desbloqueado",
   CHOOSE(RANDBETWEEN(1,3),"Entregue","Em Rota","Aguardando"),
   Tabela_Movimentacao_Geral[[#This Row],[Status Logistico]]
)</f>
        <v>Aguardando</v>
      </c>
      <c r="M6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45711</v>
      </c>
    </row>
    <row r="63" spans="1:13" x14ac:dyDescent="0.3">
      <c r="A63" t="str">
        <f t="shared" si="0"/>
        <v>T0062</v>
      </c>
      <c r="B63" s="1">
        <v>45696</v>
      </c>
      <c r="C63" t="str" cm="1">
        <f t="array" aca="1" ref="C63" ca="1">IF($O$7="Desbloqueado",
  _xlfn.LET(
    _xlpm.saldo_atual, SUM(($C$2:$C62="Entrada")*($F$2:$F62=Tabela_Movimentacao_Geral[[#This Row],[ID Produto]])*($H$2:$H62) - ($C$2:$C62="Saida")*($F$2:$F62=Tabela_Movimentacao_Geral[[#This Row],[ID Produto]])*($H$2:$H62)),
    IF(_xlpm.saldo_atual &gt; 0, IF(RANDBETWEEN(0,10)&gt;3,"Saida","Entrada"), "Entrada")
  ),
  Tabela_Movimentacao_Geral[[#This Row],[Tipo Fluxo]]
)</f>
        <v>Entrada</v>
      </c>
      <c r="D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63" t="str">
        <f ca="1">IF(
  $O$7="Desbloqueado",
  "PROD"&amp;TEXT(RANDBETWEEN(1,200),"000"),
  Tabela_Movimentacao_Geral[[#This Row],[ID Produto]]
)</f>
        <v>PROD054</v>
      </c>
      <c r="G63" t="str">
        <f ca="1">_xlfn.XLOOKUP(Tabela_Movimentacao_Geral[[#This Row],[ID Produto]], Tabela_Produtos[ID_Produto],Tabela_Produtos[Descricao_Produto],"Produto não encontrado")</f>
        <v>Caixa de Grampos 26/6</v>
      </c>
      <c r="H63" cm="1">
        <f t="array" aca="1" ref="H63" ca="1">IF(
   $O$7="Desbloqueado",
   _xlfn.LET(
     _xlpm.saldo_atual, SUM(($C$2:$C62="Entrada")*($F$2:$F62=Tabela_Movimentacao_Geral[[#This Row],[ID Produto]])*($H$2:$H62) - ($C$2:$C62="Saida")*($F$2:$F62=Tabela_Movimentacao_Geral[[#This Row],[ID Produto]])*($H$2:$H62)),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151</v>
      </c>
      <c r="I63" s="5">
        <f ca="1">_xlfn.XLOOKUP(Tabela_Movimentacao_Geral[[#This Row],[ID Produto]], Tabela_Produtos[ID_Produto],Tabela_Produtos[Preco_Unitario_Venda])</f>
        <v>8</v>
      </c>
      <c r="J63" s="6">
        <f ca="1">Tabela_Movimentacao_Geral[[#This Row],[Quantidade]] * Tabela_Movimentacao_Geral[[#This Row],[Valor Unitário]]</f>
        <v>1208</v>
      </c>
      <c r="K63" t="str">
        <f ca="1">IF(
   $O$7="Desbloqueado",
   CHOOSE(RANDBETWEEN(1,3),"Pago","Pendente","Atrasado"),
   Tabela_Movimentacao_Geral[[#This Row],[Status Financeiro]]
)</f>
        <v>Pendente</v>
      </c>
      <c r="L63" t="str">
        <f ca="1">IF(
   $O$7="Desbloqueado",
   CHOOSE(RANDBETWEEN(1,3),"Entregue","Em Rota","Aguardando"),
   Tabela_Movimentacao_Geral[[#This Row],[Status Logistico]]
)</f>
        <v>Entregue</v>
      </c>
      <c r="M6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45704</v>
      </c>
    </row>
    <row r="64" spans="1:13" x14ac:dyDescent="0.3">
      <c r="A64" t="str">
        <f t="shared" si="0"/>
        <v>T0063</v>
      </c>
      <c r="B64" s="1">
        <v>45696</v>
      </c>
      <c r="C64" t="str" cm="1">
        <f t="array" aca="1" ref="C64" ca="1">IF($O$7="Desbloqueado",
  _xlfn.LET(
    _xlpm.saldo_atual, SUM(($C$2:$C63="Entrada")*($F$2:$F63=Tabela_Movimentacao_Geral[[#This Row],[ID Produto]])*($H$2:$H63) - ($C$2:$C63="Saida")*($F$2:$F63=Tabela_Movimentacao_Geral[[#This Row],[ID Produto]])*($H$2:$H63)),
    IF(_xlpm.saldo_atual &gt; 0, IF(RANDBETWEEN(0,10)&gt;3,"Saida","Entrada"), "Entrada")
  ),
  Tabela_Movimentacao_Geral[[#This Row],[Tipo Fluxo]]
)</f>
        <v>Entrada</v>
      </c>
      <c r="D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64" t="str">
        <f ca="1">IF(
  $O$7="Desbloqueado",
  "PROD"&amp;TEXT(RANDBETWEEN(1,200),"000"),
  Tabela_Movimentacao_Geral[[#This Row],[ID Produto]]
)</f>
        <v>PROD091</v>
      </c>
      <c r="G64" t="str">
        <f ca="1">_xlfn.XLOOKUP(Tabela_Movimentacao_Geral[[#This Row],[ID Produto]], Tabela_Produtos[ID_Produto],Tabela_Produtos[Descricao_Produto],"Produto não encontrado")</f>
        <v>Unidade LTO-8 Backup</v>
      </c>
      <c r="H64" cm="1">
        <f t="array" aca="1" ref="H64" ca="1">IF(
   $O$7="Desbloqueado",
   _xlfn.LET(
     _xlpm.saldo_atual, SUM(($C$2:$C63="Entrada")*($F$2:$F63=Tabela_Movimentacao_Geral[[#This Row],[ID Produto]])*($H$2:$H63) - ($C$2:$C63="Saida")*($F$2:$F63=Tabela_Movimentacao_Geral[[#This Row],[ID Produto]])*($H$2:$H63)),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64" s="5">
        <f ca="1">_xlfn.XLOOKUP(Tabela_Movimentacao_Geral[[#This Row],[ID Produto]], Tabela_Produtos[ID_Produto],Tabela_Produtos[Preco_Unitario_Venda])</f>
        <v>28000</v>
      </c>
      <c r="J64" s="6">
        <f ca="1">Tabela_Movimentacao_Geral[[#This Row],[Quantidade]] * Tabela_Movimentacao_Geral[[#This Row],[Valor Unitário]]</f>
        <v>868000</v>
      </c>
      <c r="K64" t="str">
        <f ca="1">IF(
   $O$7="Desbloqueado",
   CHOOSE(RANDBETWEEN(1,3),"Pago","Pendente","Atrasado"),
   Tabela_Movimentacao_Geral[[#This Row],[Status Financeiro]]
)</f>
        <v>Pago</v>
      </c>
      <c r="L64" t="str">
        <f ca="1">IF(
   $O$7="Desbloqueado",
   CHOOSE(RANDBETWEEN(1,3),"Entregue","Em Rota","Aguardando"),
   Tabela_Movimentacao_Geral[[#This Row],[Status Logistico]]
)</f>
        <v>Aguardando</v>
      </c>
      <c r="M6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45700</v>
      </c>
    </row>
    <row r="65" spans="1:13" x14ac:dyDescent="0.3">
      <c r="A65" t="str">
        <f t="shared" si="0"/>
        <v>T0064</v>
      </c>
      <c r="B65" s="1">
        <v>45697</v>
      </c>
      <c r="C65" t="str" cm="1">
        <f t="array" aca="1" ref="C65" ca="1">IF($O$7="Desbloqueado",
  _xlfn.LET(
    _xlpm.saldo_atual, SUM(($C$2:$C64="Entrada")*($F$2:$F64=Tabela_Movimentacao_Geral[[#This Row],[ID Produto]])*($H$2:$H64) - ($C$2:$C64="Saida")*($F$2:$F64=Tabela_Movimentacao_Geral[[#This Row],[ID Produto]])*($H$2:$H64)),
    IF(_xlpm.saldo_atual &gt; 0, IF(RANDBETWEEN(0,10)&gt;3,"Saida","Entrada"), "Entrada")
  ),
  Tabela_Movimentacao_Geral[[#This Row],[Tipo Fluxo]]
)</f>
        <v>Entrada</v>
      </c>
      <c r="D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65" t="str">
        <f ca="1">IF(
  $O$7="Desbloqueado",
  "PROD"&amp;TEXT(RANDBETWEEN(1,200),"000"),
  Tabela_Movimentacao_Geral[[#This Row],[ID Produto]]
)</f>
        <v>PROD005</v>
      </c>
      <c r="G65" t="str">
        <f ca="1">_xlfn.XLOOKUP(Tabela_Movimentacao_Geral[[#This Row],[ID Produto]], Tabela_Produtos[ID_Produto],Tabela_Produtos[Descricao_Produto],"Produto não encontrado")</f>
        <v>Notebook i5 8GB 256GB SSD</v>
      </c>
      <c r="H65" cm="1">
        <f t="array" aca="1" ref="H65" ca="1">IF(
   $O$7="Desbloqueado",
   _xlfn.LET(
     _xlpm.saldo_atual, SUM(($C$2:$C64="Entrada")*($F$2:$F64=Tabela_Movimentacao_Geral[[#This Row],[ID Produto]])*($H$2:$H64) - ($C$2:$C64="Saida")*($F$2:$F64=Tabela_Movimentacao_Geral[[#This Row],[ID Produto]])*($H$2:$H64)),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65" s="5">
        <f ca="1">_xlfn.XLOOKUP(Tabela_Movimentacao_Geral[[#This Row],[ID Produto]], Tabela_Produtos[ID_Produto],Tabela_Produtos[Preco_Unitario_Venda])</f>
        <v>3500</v>
      </c>
      <c r="J65" s="6">
        <f ca="1">Tabela_Movimentacao_Geral[[#This Row],[Quantidade]] * Tabela_Movimentacao_Geral[[#This Row],[Valor Unitário]]</f>
        <v>87500</v>
      </c>
      <c r="K65" t="str">
        <f ca="1">IF(
   $O$7="Desbloqueado",
   CHOOSE(RANDBETWEEN(1,3),"Pago","Pendente","Atrasado"),
   Tabela_Movimentacao_Geral[[#This Row],[Status Financeiro]]
)</f>
        <v>Atrasado</v>
      </c>
      <c r="L65" t="str">
        <f ca="1">IF(
   $O$7="Desbloqueado",
   CHOOSE(RANDBETWEEN(1,3),"Entregue","Em Rota","Aguardando"),
   Tabela_Movimentacao_Geral[[#This Row],[Status Logistico]]
)</f>
        <v>Aguardando</v>
      </c>
      <c r="M6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45698</v>
      </c>
    </row>
    <row r="66" spans="1:13" x14ac:dyDescent="0.3">
      <c r="A66" t="str">
        <f t="shared" si="0"/>
        <v>T0065</v>
      </c>
      <c r="B66" s="1">
        <v>45698</v>
      </c>
      <c r="C66" t="str" cm="1">
        <f t="array" aca="1" ref="C66" ca="1">IF($O$7="Desbloqueado",
  _xlfn.LET(
    _xlpm.saldo_atual, SUM(($C$2:$C65="Entrada")*($F$2:$F65=Tabela_Movimentacao_Geral[[#This Row],[ID Produto]])*($H$2:$H65) - ($C$2:$C65="Saida")*($F$2:$F65=Tabela_Movimentacao_Geral[[#This Row],[ID Produto]])*($H$2:$H65)),
    IF(_xlpm.saldo_atual &gt; 0, IF(RANDBETWEEN(0,10)&gt;3,"Saida","Entrada"), "Entrada")
  ),
  Tabela_Movimentacao_Geral[[#This Row],[Tipo Fluxo]]
)</f>
        <v>Entrada</v>
      </c>
      <c r="D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66" t="str">
        <f ca="1">IF(
  $O$7="Desbloqueado",
  "PROD"&amp;TEXT(RANDBETWEEN(1,200),"000"),
  Tabela_Movimentacao_Geral[[#This Row],[ID Produto]]
)</f>
        <v>PROD038</v>
      </c>
      <c r="G66" t="str">
        <f ca="1">_xlfn.XLOOKUP(Tabela_Movimentacao_Geral[[#This Row],[ID Produto]], Tabela_Produtos[ID_Produto],Tabela_Produtos[Descricao_Produto],"Produto não encontrado")</f>
        <v>Cooler Processador Universal</v>
      </c>
      <c r="H66" cm="1">
        <f t="array" aca="1" ref="H66" ca="1">IF(
   $O$7="Desbloqueado",
   _xlfn.LET(
     _xlpm.saldo_atual, SUM(($C$2:$C65="Entrada")*($F$2:$F65=Tabela_Movimentacao_Geral[[#This Row],[ID Produto]])*($H$2:$H65) - ($C$2:$C65="Saida")*($F$2:$F65=Tabela_Movimentacao_Geral[[#This Row],[ID Produto]])*($H$2:$H65)),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102</v>
      </c>
      <c r="I66" s="5">
        <f ca="1">_xlfn.XLOOKUP(Tabela_Movimentacao_Geral[[#This Row],[ID Produto]], Tabela_Produtos[ID_Produto],Tabela_Produtos[Preco_Unitario_Venda])</f>
        <v>145</v>
      </c>
      <c r="J66" s="6">
        <f ca="1">Tabela_Movimentacao_Geral[[#This Row],[Quantidade]] * Tabela_Movimentacao_Geral[[#This Row],[Valor Unitário]]</f>
        <v>14790</v>
      </c>
      <c r="K66" t="str">
        <f ca="1">IF(
   $O$7="Desbloqueado",
   CHOOSE(RANDBETWEEN(1,3),"Pago","Pendente","Atrasado"),
   Tabela_Movimentacao_Geral[[#This Row],[Status Financeiro]]
)</f>
        <v>Pago</v>
      </c>
      <c r="L66" t="str">
        <f ca="1">IF(
   $O$7="Desbloqueado",
   CHOOSE(RANDBETWEEN(1,3),"Entregue","Em Rota","Aguardando"),
   Tabela_Movimentacao_Geral[[#This Row],[Status Logistico]]
)</f>
        <v>Em Rota</v>
      </c>
      <c r="M6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45710</v>
      </c>
    </row>
    <row r="67" spans="1:13" x14ac:dyDescent="0.3">
      <c r="A67" t="str">
        <f t="shared" si="0"/>
        <v>T0066</v>
      </c>
      <c r="B67" s="1">
        <v>45699</v>
      </c>
      <c r="C67" t="str" cm="1">
        <f t="array" aca="1" ref="C67" ca="1">IF($O$7="Desbloqueado",
  _xlfn.LET(
    _xlpm.saldo_atual, SUM(($C$2:$C66="Entrada")*($F$2:$F66=Tabela_Movimentacao_Geral[[#This Row],[ID Produto]])*($H$2:$H66) - ($C$2:$C66="Saida")*($F$2:$F66=Tabela_Movimentacao_Geral[[#This Row],[ID Produto]])*($H$2:$H66)),
    IF(_xlpm.saldo_atual &gt; 0, IF(RANDBETWEEN(0,10)&gt;3,"Saida","Entrada"), "Entrada")
  ),
  Tabela_Movimentacao_Geral[[#This Row],[Tipo Fluxo]]
)</f>
        <v>Entrada</v>
      </c>
      <c r="D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67" t="str">
        <f ca="1">IF(
  $O$7="Desbloqueado",
  "PROD"&amp;TEXT(RANDBETWEEN(1,200),"000"),
  Tabela_Movimentacao_Geral[[#This Row],[ID Produto]]
)</f>
        <v>PROD146</v>
      </c>
      <c r="G67" t="str">
        <f ca="1">_xlfn.XLOOKUP(Tabela_Movimentacao_Geral[[#This Row],[ID Produto]], Tabela_Produtos[ID_Produto],Tabela_Produtos[Descricao_Produto],"Produto não encontrado")</f>
        <v>Alicate de Crimpagem RJ45</v>
      </c>
      <c r="H67" cm="1">
        <f t="array" aca="1" ref="H67" ca="1">IF(
   $O$7="Desbloqueado",
   _xlfn.LET(
     _xlpm.saldo_atual, SUM(($C$2:$C66="Entrada")*($F$2:$F66=Tabela_Movimentacao_Geral[[#This Row],[ID Produto]])*($H$2:$H66) - ($C$2:$C66="Saida")*($F$2:$F66=Tabela_Movimentacao_Geral[[#This Row],[ID Produto]])*($H$2:$H66)),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</v>
      </c>
      <c r="I67" s="5">
        <f ca="1">_xlfn.XLOOKUP(Tabela_Movimentacao_Geral[[#This Row],[ID Produto]], Tabela_Produtos[ID_Produto],Tabela_Produtos[Preco_Unitario_Venda])</f>
        <v>85</v>
      </c>
      <c r="J67" s="6">
        <f ca="1">Tabela_Movimentacao_Geral[[#This Row],[Quantidade]] * Tabela_Movimentacao_Geral[[#This Row],[Valor Unitário]]</f>
        <v>2720</v>
      </c>
      <c r="K67" t="str">
        <f ca="1">IF(
   $O$7="Desbloqueado",
   CHOOSE(RANDBETWEEN(1,3),"Pago","Pendente","Atrasado"),
   Tabela_Movimentacao_Geral[[#This Row],[Status Financeiro]]
)</f>
        <v>Pendente</v>
      </c>
      <c r="L67" t="str">
        <f ca="1">IF(
   $O$7="Desbloqueado",
   CHOOSE(RANDBETWEEN(1,3),"Entregue","Em Rota","Aguardando"),
   Tabela_Movimentacao_Geral[[#This Row],[Status Logistico]]
)</f>
        <v>Entregue</v>
      </c>
      <c r="M6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45702</v>
      </c>
    </row>
    <row r="68" spans="1:13" x14ac:dyDescent="0.3">
      <c r="A68" t="str">
        <f t="shared" si="0"/>
        <v>T0067</v>
      </c>
      <c r="B68" s="1">
        <v>45699</v>
      </c>
      <c r="C68" t="str" cm="1">
        <f t="array" aca="1" ref="C68" ca="1">IF($O$7="Desbloqueado",
  _xlfn.LET(
    _xlpm.saldo_atual, SUM(($C$2:$C67="Entrada")*($F$2:$F67=Tabela_Movimentacao_Geral[[#This Row],[ID Produto]])*($H$2:$H67) - ($C$2:$C67="Saida")*($F$2:$F67=Tabela_Movimentacao_Geral[[#This Row],[ID Produto]])*($H$2:$H67)),
    IF(_xlpm.saldo_atual &gt; 0, IF(RANDBETWEEN(0,10)&gt;3,"Saida","Entrada"), "Entrada")
  ),
  Tabela_Movimentacao_Geral[[#This Row],[Tipo Fluxo]]
)</f>
        <v>Entrada</v>
      </c>
      <c r="D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68" t="str">
        <f ca="1">IF(
  $O$7="Desbloqueado",
  "PROD"&amp;TEXT(RANDBETWEEN(1,200),"000"),
  Tabela_Movimentacao_Geral[[#This Row],[ID Produto]]
)</f>
        <v>PROD006</v>
      </c>
      <c r="G68" t="str">
        <f ca="1">_xlfn.XLOOKUP(Tabela_Movimentacao_Geral[[#This Row],[ID Produto]], Tabela_Produtos[ID_Produto],Tabela_Produtos[Descricao_Produto],"Produto não encontrado")</f>
        <v>Notebook i7 16GB 512GB SSD</v>
      </c>
      <c r="H68" cm="1">
        <f t="array" aca="1" ref="H68" ca="1">IF(
   $O$7="Desbloqueado",
   _xlfn.LET(
     _xlpm.saldo_atual, SUM(($C$2:$C67="Entrada")*($F$2:$F67=Tabela_Movimentacao_Geral[[#This Row],[ID Produto]])*($H$2:$H67) - ($C$2:$C67="Saida")*($F$2:$F67=Tabela_Movimentacao_Geral[[#This Row],[ID Produto]])*($H$2:$H67)),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68" s="5">
        <f ca="1">_xlfn.XLOOKUP(Tabela_Movimentacao_Geral[[#This Row],[ID Produto]], Tabela_Produtos[ID_Produto],Tabela_Produtos[Preco_Unitario_Venda])</f>
        <v>5500</v>
      </c>
      <c r="J68" s="6">
        <f ca="1">Tabela_Movimentacao_Geral[[#This Row],[Quantidade]] * Tabela_Movimentacao_Geral[[#This Row],[Valor Unitário]]</f>
        <v>291500</v>
      </c>
      <c r="K68" t="str">
        <f ca="1">IF(
   $O$7="Desbloqueado",
   CHOOSE(RANDBETWEEN(1,3),"Pago","Pendente","Atrasado"),
   Tabela_Movimentacao_Geral[[#This Row],[Status Financeiro]]
)</f>
        <v>Pendente</v>
      </c>
      <c r="L68" t="str">
        <f ca="1">IF(
   $O$7="Desbloqueado",
   CHOOSE(RANDBETWEEN(1,3),"Entregue","Em Rota","Aguardando"),
   Tabela_Movimentacao_Geral[[#This Row],[Status Logistico]]
)</f>
        <v>Em Rota</v>
      </c>
      <c r="M6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45703</v>
      </c>
    </row>
    <row r="69" spans="1:13" x14ac:dyDescent="0.3">
      <c r="A69" t="str">
        <f t="shared" si="0"/>
        <v>T0068</v>
      </c>
      <c r="B69" s="1">
        <v>45699</v>
      </c>
      <c r="C69" t="str" cm="1">
        <f t="array" aca="1" ref="C69" ca="1">IF($O$7="Desbloqueado",
  _xlfn.LET(
    _xlpm.saldo_atual, SUM(($C$2:$C68="Entrada")*($F$2:$F68=Tabela_Movimentacao_Geral[[#This Row],[ID Produto]])*($H$2:$H68) - ($C$2:$C68="Saida")*($F$2:$F68=Tabela_Movimentacao_Geral[[#This Row],[ID Produto]])*($H$2:$H68)),
    IF(_xlpm.saldo_atual &gt; 0, IF(RANDBETWEEN(0,10)&gt;3,"Saida","Entrada"), "Entrada")
  ),
  Tabela_Movimentacao_Geral[[#This Row],[Tipo Fluxo]]
)</f>
        <v>Entrada</v>
      </c>
      <c r="D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69" t="str">
        <f ca="1">IF(
  $O$7="Desbloqueado",
  "PROD"&amp;TEXT(RANDBETWEEN(1,200),"000"),
  Tabela_Movimentacao_Geral[[#This Row],[ID Produto]]
)</f>
        <v>PROD109</v>
      </c>
      <c r="G69" t="str">
        <f ca="1">_xlfn.XLOOKUP(Tabela_Movimentacao_Geral[[#This Row],[ID Produto]], Tabela_Produtos[ID_Produto],Tabela_Produtos[Descricao_Produto],"Produto não encontrado")</f>
        <v>Cabo DisplayPort 1.4</v>
      </c>
      <c r="H69" cm="1">
        <f t="array" aca="1" ref="H69" ca="1">IF(
   $O$7="Desbloqueado",
   _xlfn.LET(
     _xlpm.saldo_atual, SUM(($C$2:$C68="Entrada")*($F$2:$F68=Tabela_Movimentacao_Geral[[#This Row],[ID Produto]])*($H$2:$H68) - ($C$2:$C68="Saida")*($F$2:$F68=Tabela_Movimentacao_Geral[[#This Row],[ID Produto]])*($H$2:$H68)),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69" s="5">
        <f ca="1">_xlfn.XLOOKUP(Tabela_Movimentacao_Geral[[#This Row],[ID Produto]], Tabela_Produtos[ID_Produto],Tabela_Produtos[Preco_Unitario_Venda])</f>
        <v>75</v>
      </c>
      <c r="J69" s="6">
        <f ca="1">Tabela_Movimentacao_Geral[[#This Row],[Quantidade]] * Tabela_Movimentacao_Geral[[#This Row],[Valor Unitário]]</f>
        <v>6525</v>
      </c>
      <c r="K69" t="str">
        <f ca="1">IF(
   $O$7="Desbloqueado",
   CHOOSE(RANDBETWEEN(1,3),"Pago","Pendente","Atrasado"),
   Tabela_Movimentacao_Geral[[#This Row],[Status Financeiro]]
)</f>
        <v>Atrasado</v>
      </c>
      <c r="L69" t="str">
        <f ca="1">IF(
   $O$7="Desbloqueado",
   CHOOSE(RANDBETWEEN(1,3),"Entregue","Em Rota","Aguardando"),
   Tabela_Movimentacao_Geral[[#This Row],[Status Logistico]]
)</f>
        <v>Em Rota</v>
      </c>
      <c r="M6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45714</v>
      </c>
    </row>
    <row r="70" spans="1:13" x14ac:dyDescent="0.3">
      <c r="A70" t="str">
        <f t="shared" si="0"/>
        <v>T0069</v>
      </c>
      <c r="B70" s="1">
        <v>45700</v>
      </c>
      <c r="C70" t="str" cm="1">
        <f t="array" aca="1" ref="C70" ca="1">IF($O$7="Desbloqueado",
  _xlfn.LET(
    _xlpm.saldo_atual, SUM(($C$2:$C69="Entrada")*($F$2:$F69=Tabela_Movimentacao_Geral[[#This Row],[ID Produto]])*($H$2:$H69) - ($C$2:$C69="Saida")*($F$2:$F69=Tabela_Movimentacao_Geral[[#This Row],[ID Produto]])*($H$2:$H69)),
    IF(_xlpm.saldo_atual &gt; 0, IF(RANDBETWEEN(0,10)&gt;3,"Saida","Entrada"), "Entrada")
  ),
  Tabela_Movimentacao_Geral[[#This Row],[Tipo Fluxo]]
)</f>
        <v>Entrada</v>
      </c>
      <c r="D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70" t="str">
        <f ca="1">IF(
  $O$7="Desbloqueado",
  "PROD"&amp;TEXT(RANDBETWEEN(1,200),"000"),
  Tabela_Movimentacao_Geral[[#This Row],[ID Produto]]
)</f>
        <v>PROD190</v>
      </c>
      <c r="G70" t="str">
        <f ca="1">_xlfn.XLOOKUP(Tabela_Movimentacao_Geral[[#This Row],[ID Produto]], Tabela_Produtos[ID_Produto],Tabela_Produtos[Descricao_Produto],"Produto não encontrado")</f>
        <v>Firewall Hardware Mid</v>
      </c>
      <c r="H70" cm="1">
        <f t="array" aca="1" ref="H70" ca="1">IF(
   $O$7="Desbloqueado",
   _xlfn.LET(
     _xlpm.saldo_atual, SUM(($C$2:$C69="Entrada")*($F$2:$F69=Tabela_Movimentacao_Geral[[#This Row],[ID Produto]])*($H$2:$H69) - ($C$2:$C69="Saida")*($F$2:$F69=Tabela_Movimentacao_Geral[[#This Row],[ID Produto]])*($H$2:$H69)),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89</v>
      </c>
      <c r="I70" s="5">
        <f ca="1">_xlfn.XLOOKUP(Tabela_Movimentacao_Geral[[#This Row],[ID Produto]], Tabela_Produtos[ID_Produto],Tabela_Produtos[Preco_Unitario_Venda])</f>
        <v>8500</v>
      </c>
      <c r="J70" s="6">
        <f ca="1">Tabela_Movimentacao_Geral[[#This Row],[Quantidade]] * Tabela_Movimentacao_Geral[[#This Row],[Valor Unitário]]</f>
        <v>756500</v>
      </c>
      <c r="K70" t="str">
        <f ca="1">IF(
   $O$7="Desbloqueado",
   CHOOSE(RANDBETWEEN(1,3),"Pago","Pendente","Atrasado"),
   Tabela_Movimentacao_Geral[[#This Row],[Status Financeiro]]
)</f>
        <v>Atrasado</v>
      </c>
      <c r="L70" t="str">
        <f ca="1">IF(
   $O$7="Desbloqueado",
   CHOOSE(RANDBETWEEN(1,3),"Entregue","Em Rota","Aguardando"),
   Tabela_Movimentacao_Geral[[#This Row],[Status Logistico]]
)</f>
        <v>Entregue</v>
      </c>
      <c r="M7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45702</v>
      </c>
    </row>
    <row r="71" spans="1:13" x14ac:dyDescent="0.3">
      <c r="A71" t="str">
        <f t="shared" si="0"/>
        <v>T0070</v>
      </c>
      <c r="B71" s="1">
        <v>45700</v>
      </c>
      <c r="C71" t="str" cm="1">
        <f t="array" aca="1" ref="C71" ca="1">IF($O$7="Desbloqueado",
  _xlfn.LET(
    _xlpm.saldo_atual, SUM(($C$2:$C70="Entrada")*($F$2:$F70=Tabela_Movimentacao_Geral[[#This Row],[ID Produto]])*($H$2:$H70) - ($C$2:$C70="Saida")*($F$2:$F70=Tabela_Movimentacao_Geral[[#This Row],[ID Produto]])*($H$2:$H70)),
    IF(_xlpm.saldo_atual &gt; 0, IF(RANDBETWEEN(0,10)&gt;3,"Saida","Entrada"), "Entrada")
  ),
  Tabela_Movimentacao_Geral[[#This Row],[Tipo Fluxo]]
)</f>
        <v>Entrada</v>
      </c>
      <c r="D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71" t="str">
        <f ca="1">IF(
  $O$7="Desbloqueado",
  "PROD"&amp;TEXT(RANDBETWEEN(1,200),"000"),
  Tabela_Movimentacao_Geral[[#This Row],[ID Produto]]
)</f>
        <v>PROD059</v>
      </c>
      <c r="G71" t="str">
        <f ca="1">_xlfn.XLOOKUP(Tabela_Movimentacao_Geral[[#This Row],[ID Produto]], Tabela_Produtos[ID_Produto],Tabela_Produtos[Descricao_Produto],"Produto não encontrado")</f>
        <v>Lapiseira 0.7mm</v>
      </c>
      <c r="H71" cm="1">
        <f t="array" aca="1" ref="H71" ca="1">IF(
   $O$7="Desbloqueado",
   _xlfn.LET(
     _xlpm.saldo_atual, SUM(($C$2:$C70="Entrada")*($F$2:$F70=Tabela_Movimentacao_Geral[[#This Row],[ID Produto]])*($H$2:$H70) - ($C$2:$C70="Saida")*($F$2:$F70=Tabela_Movimentacao_Geral[[#This Row],[ID Produto]])*($H$2:$H70)),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185</v>
      </c>
      <c r="I71" s="5">
        <f ca="1">_xlfn.XLOOKUP(Tabela_Movimentacao_Geral[[#This Row],[ID Produto]], Tabela_Produtos[ID_Produto],Tabela_Produtos[Preco_Unitario_Venda])</f>
        <v>12</v>
      </c>
      <c r="J71" s="6">
        <f ca="1">Tabela_Movimentacao_Geral[[#This Row],[Quantidade]] * Tabela_Movimentacao_Geral[[#This Row],[Valor Unitário]]</f>
        <v>2220</v>
      </c>
      <c r="K71" t="str">
        <f ca="1">IF(
   $O$7="Desbloqueado",
   CHOOSE(RANDBETWEEN(1,3),"Pago","Pendente","Atrasado"),
   Tabela_Movimentacao_Geral[[#This Row],[Status Financeiro]]
)</f>
        <v>Pago</v>
      </c>
      <c r="L71" t="str">
        <f ca="1">IF(
   $O$7="Desbloqueado",
   CHOOSE(RANDBETWEEN(1,3),"Entregue","Em Rota","Aguardando"),
   Tabela_Movimentacao_Geral[[#This Row],[Status Logistico]]
)</f>
        <v>Aguardando</v>
      </c>
      <c r="M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45701</v>
      </c>
    </row>
    <row r="72" spans="1:13" x14ac:dyDescent="0.3">
      <c r="A72" t="str">
        <f t="shared" si="0"/>
        <v>T0071</v>
      </c>
      <c r="B72" s="1">
        <v>45700</v>
      </c>
      <c r="C72" t="str" cm="1">
        <f t="array" aca="1" ref="C72" ca="1">IF($O$7="Desbloqueado",
  _xlfn.LET(
    _xlpm.saldo_atual, SUM(($C$2:$C71="Entrada")*($F$2:$F71=Tabela_Movimentacao_Geral[[#This Row],[ID Produto]])*($H$2:$H71) - ($C$2:$C71="Saida")*($F$2:$F71=Tabela_Movimentacao_Geral[[#This Row],[ID Produto]])*($H$2:$H71)),
    IF(_xlpm.saldo_atual &gt; 0, IF(RANDBETWEEN(0,10)&gt;3,"Saida","Entrada"), "Entrada")
  ),
  Tabela_Movimentacao_Geral[[#This Row],[Tipo Fluxo]]
)</f>
        <v>Entrada</v>
      </c>
      <c r="D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72" t="str">
        <f ca="1">IF(
  $O$7="Desbloqueado",
  "PROD"&amp;TEXT(RANDBETWEEN(1,200),"000"),
  Tabela_Movimentacao_Geral[[#This Row],[ID Produto]]
)</f>
        <v>PROD096</v>
      </c>
      <c r="G72" t="str">
        <f ca="1">_xlfn.XLOOKUP(Tabela_Movimentacao_Geral[[#This Row],[ID Produto]], Tabela_Produtos[ID_Produto],Tabela_Produtos[Descricao_Produto],"Produto não encontrado")</f>
        <v>Sensor de Temperatura IP</v>
      </c>
      <c r="H72" cm="1">
        <f t="array" aca="1" ref="H72" ca="1">IF(
   $O$7="Desbloqueado",
   _xlfn.LET(
     _xlpm.saldo_atual, SUM(($C$2:$C71="Entrada")*($F$2:$F71=Tabela_Movimentacao_Geral[[#This Row],[ID Produto]])*($H$2:$H71) - ($C$2:$C71="Saida")*($F$2:$F71=Tabela_Movimentacao_Geral[[#This Row],[ID Produto]])*($H$2:$H71)),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72" s="5">
        <f ca="1">_xlfn.XLOOKUP(Tabela_Movimentacao_Geral[[#This Row],[ID Produto]], Tabela_Produtos[ID_Produto],Tabela_Produtos[Preco_Unitario_Venda])</f>
        <v>650</v>
      </c>
      <c r="J72" s="6">
        <f ca="1">Tabela_Movimentacao_Geral[[#This Row],[Quantidade]] * Tabela_Movimentacao_Geral[[#This Row],[Valor Unitário]]</f>
        <v>48100</v>
      </c>
      <c r="K72" t="str">
        <f ca="1">IF(
   $O$7="Desbloqueado",
   CHOOSE(RANDBETWEEN(1,3),"Pago","Pendente","Atrasado"),
   Tabela_Movimentacao_Geral[[#This Row],[Status Financeiro]]
)</f>
        <v>Pendente</v>
      </c>
      <c r="L72" t="str">
        <f ca="1">IF(
   $O$7="Desbloqueado",
   CHOOSE(RANDBETWEEN(1,3),"Entregue","Em Rota","Aguardando"),
   Tabela_Movimentacao_Geral[[#This Row],[Status Logistico]]
)</f>
        <v>Aguardando</v>
      </c>
      <c r="M7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45710</v>
      </c>
    </row>
    <row r="73" spans="1:13" x14ac:dyDescent="0.3">
      <c r="A73" t="str">
        <f t="shared" si="0"/>
        <v>T0072</v>
      </c>
      <c r="B73" s="1">
        <v>45700</v>
      </c>
      <c r="C73" t="str" cm="1">
        <f t="array" aca="1" ref="C73" ca="1">IF($O$7="Desbloqueado",
  _xlfn.LET(
    _xlpm.saldo_atual, SUM(($C$2:$C72="Entrada")*($F$2:$F72=Tabela_Movimentacao_Geral[[#This Row],[ID Produto]])*($H$2:$H72) - ($C$2:$C72="Saida")*($F$2:$F72=Tabela_Movimentacao_Geral[[#This Row],[ID Produto]])*($H$2:$H72)),
    IF(_xlpm.saldo_atual &gt; 0, IF(RANDBETWEEN(0,10)&gt;3,"Saida","Entrada"), "Entrada")
  ),
  Tabela_Movimentacao_Geral[[#This Row],[Tipo Fluxo]]
)</f>
        <v>Entrada</v>
      </c>
      <c r="D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73" t="str">
        <f ca="1">IF(
  $O$7="Desbloqueado",
  "PROD"&amp;TEXT(RANDBETWEEN(1,200),"000"),
  Tabela_Movimentacao_Geral[[#This Row],[ID Produto]]
)</f>
        <v>PROD062</v>
      </c>
      <c r="G73" t="str">
        <f ca="1">_xlfn.XLOOKUP(Tabela_Movimentacao_Geral[[#This Row],[ID Produto]], Tabela_Produtos[ID_Produto],Tabela_Produtos[Descricao_Produto],"Produto não encontrado")</f>
        <v>Regua 30cm Acrilico</v>
      </c>
      <c r="H73" cm="1">
        <f t="array" aca="1" ref="H73" ca="1">IF(
   $O$7="Desbloqueado",
   _xlfn.LET(
     _xlpm.saldo_atual, SUM(($C$2:$C72="Entrada")*($F$2:$F72=Tabela_Movimentacao_Geral[[#This Row],[ID Produto]])*($H$2:$H72) - ($C$2:$C72="Saida")*($F$2:$F72=Tabela_Movimentacao_Geral[[#This Row],[ID Produto]])*($H$2:$H72)),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174</v>
      </c>
      <c r="I73" s="5">
        <f ca="1">_xlfn.XLOOKUP(Tabela_Movimentacao_Geral[[#This Row],[ID Produto]], Tabela_Produtos[ID_Produto],Tabela_Produtos[Preco_Unitario_Venda])</f>
        <v>4.5</v>
      </c>
      <c r="J73" s="6">
        <f ca="1">Tabela_Movimentacao_Geral[[#This Row],[Quantidade]] * Tabela_Movimentacao_Geral[[#This Row],[Valor Unitário]]</f>
        <v>783</v>
      </c>
      <c r="K73" t="str">
        <f ca="1">IF(
   $O$7="Desbloqueado",
   CHOOSE(RANDBETWEEN(1,3),"Pago","Pendente","Atrasado"),
   Tabela_Movimentacao_Geral[[#This Row],[Status Financeiro]]
)</f>
        <v>Atrasado</v>
      </c>
      <c r="L73" t="str">
        <f ca="1">IF(
   $O$7="Desbloqueado",
   CHOOSE(RANDBETWEEN(1,3),"Entregue","Em Rota","Aguardando"),
   Tabela_Movimentacao_Geral[[#This Row],[Status Logistico]]
)</f>
        <v>Em Rota</v>
      </c>
      <c r="M7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45712</v>
      </c>
    </row>
    <row r="74" spans="1:13" x14ac:dyDescent="0.3">
      <c r="A74" t="str">
        <f t="shared" si="0"/>
        <v>T0073</v>
      </c>
      <c r="B74" s="1">
        <v>45700</v>
      </c>
      <c r="C74" t="str" cm="1">
        <f t="array" aca="1" ref="C74" ca="1">IF($O$7="Desbloqueado",
  _xlfn.LET(
    _xlpm.saldo_atual, SUM(($C$2:$C73="Entrada")*($F$2:$F73=Tabela_Movimentacao_Geral[[#This Row],[ID Produto]])*($H$2:$H73) - ($C$2:$C73="Saida")*($F$2:$F73=Tabela_Movimentacao_Geral[[#This Row],[ID Produto]])*($H$2:$H73)),
    IF(_xlpm.saldo_atual &gt; 0, IF(RANDBETWEEN(0,10)&gt;3,"Saida","Entrada"), "Entrada")
  ),
  Tabela_Movimentacao_Geral[[#This Row],[Tipo Fluxo]]
)</f>
        <v>Entrada</v>
      </c>
      <c r="D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74" t="str">
        <f ca="1">IF(
  $O$7="Desbloqueado",
  "PROD"&amp;TEXT(RANDBETWEEN(1,200),"000"),
  Tabela_Movimentacao_Geral[[#This Row],[ID Produto]]
)</f>
        <v>PROD139</v>
      </c>
      <c r="G74" t="str">
        <f ca="1">_xlfn.XLOOKUP(Tabela_Movimentacao_Geral[[#This Row],[ID Produto]], Tabela_Produtos[ID_Produto],Tabela_Produtos[Descricao_Produto],"Produto não encontrado")</f>
        <v>SSD Externo Portatil 500GB</v>
      </c>
      <c r="H74" cm="1">
        <f t="array" aca="1" ref="H74" ca="1">IF(
   $O$7="Desbloqueado",
   _xlfn.LET(
     _xlpm.saldo_atual, SUM(($C$2:$C73="Entrada")*($F$2:$F73=Tabela_Movimentacao_Geral[[#This Row],[ID Produto]])*($H$2:$H73) - ($C$2:$C73="Saida")*($F$2:$F73=Tabela_Movimentacao_Geral[[#This Row],[ID Produto]])*($H$2:$H73)),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77</v>
      </c>
      <c r="I74" s="5">
        <f ca="1">_xlfn.XLOOKUP(Tabela_Movimentacao_Geral[[#This Row],[ID Produto]], Tabela_Produtos[ID_Produto],Tabela_Produtos[Preco_Unitario_Venda])</f>
        <v>480</v>
      </c>
      <c r="J74" s="6">
        <f ca="1">Tabela_Movimentacao_Geral[[#This Row],[Quantidade]] * Tabela_Movimentacao_Geral[[#This Row],[Valor Unitário]]</f>
        <v>36960</v>
      </c>
      <c r="K74" t="str">
        <f ca="1">IF(
   $O$7="Desbloqueado",
   CHOOSE(RANDBETWEEN(1,3),"Pago","Pendente","Atrasado"),
   Tabela_Movimentacao_Geral[[#This Row],[Status Financeiro]]
)</f>
        <v>Pago</v>
      </c>
      <c r="L74" t="str">
        <f ca="1">IF(
   $O$7="Desbloqueado",
   CHOOSE(RANDBETWEEN(1,3),"Entregue","Em Rota","Aguardando"),
   Tabela_Movimentacao_Geral[[#This Row],[Status Logistico]]
)</f>
        <v>Entregue</v>
      </c>
      <c r="M7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45707</v>
      </c>
    </row>
    <row r="75" spans="1:13" x14ac:dyDescent="0.3">
      <c r="A75" t="str">
        <f t="shared" si="0"/>
        <v>T0074</v>
      </c>
      <c r="B75" s="1">
        <v>45700</v>
      </c>
      <c r="C75" t="str" cm="1">
        <f t="array" aca="1" ref="C75" ca="1">IF($O$7="Desbloqueado",
  _xlfn.LET(
    _xlpm.saldo_atual, SUM(($C$2:$C74="Entrada")*($F$2:$F74=Tabela_Movimentacao_Geral[[#This Row],[ID Produto]])*($H$2:$H74) - ($C$2:$C74="Saida")*($F$2:$F74=Tabela_Movimentacao_Geral[[#This Row],[ID Produto]])*($H$2:$H74)),
    IF(_xlpm.saldo_atual &gt; 0, IF(RANDBETWEEN(0,10)&gt;3,"Saida","Entrada"), "Entrada")
  ),
  Tabela_Movimentacao_Geral[[#This Row],[Tipo Fluxo]]
)</f>
        <v>Entrada</v>
      </c>
      <c r="D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75" t="str">
        <f ca="1">IF(
  $O$7="Desbloqueado",
  "PROD"&amp;TEXT(RANDBETWEEN(1,200),"000"),
  Tabela_Movimentacao_Geral[[#This Row],[ID Produto]]
)</f>
        <v>PROD056</v>
      </c>
      <c r="G75" t="str">
        <f ca="1">_xlfn.XLOOKUP(Tabela_Movimentacao_Geral[[#This Row],[ID Produto]], Tabela_Produtos[ID_Produto],Tabela_Produtos[Descricao_Produto],"Produto não encontrado")</f>
        <v>Envelope Pardo A4 50un</v>
      </c>
      <c r="H75" cm="1">
        <f t="array" aca="1" ref="H75" ca="1">IF(
   $O$7="Desbloqueado",
   _xlfn.LET(
     _xlpm.saldo_atual, SUM(($C$2:$C74="Entrada")*($F$2:$F74=Tabela_Movimentacao_Geral[[#This Row],[ID Produto]])*($H$2:$H74) - ($C$2:$C74="Saida")*($F$2:$F74=Tabela_Movimentacao_Geral[[#This Row],[ID Produto]])*($H$2:$H74)),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165</v>
      </c>
      <c r="I75" s="5">
        <f ca="1">_xlfn.XLOOKUP(Tabela_Movimentacao_Geral[[#This Row],[ID Produto]], Tabela_Produtos[ID_Produto],Tabela_Produtos[Preco_Unitario_Venda])</f>
        <v>25</v>
      </c>
      <c r="J75" s="6">
        <f ca="1">Tabela_Movimentacao_Geral[[#This Row],[Quantidade]] * Tabela_Movimentacao_Geral[[#This Row],[Valor Unitário]]</f>
        <v>4125</v>
      </c>
      <c r="K75" t="str">
        <f ca="1">IF(
   $O$7="Desbloqueado",
   CHOOSE(RANDBETWEEN(1,3),"Pago","Pendente","Atrasado"),
   Tabela_Movimentacao_Geral[[#This Row],[Status Financeiro]]
)</f>
        <v>Pago</v>
      </c>
      <c r="L75" t="str">
        <f ca="1">IF(
   $O$7="Desbloqueado",
   CHOOSE(RANDBETWEEN(1,3),"Entregue","Em Rota","Aguardando"),
   Tabela_Movimentacao_Geral[[#This Row],[Status Logistico]]
)</f>
        <v>Entregue</v>
      </c>
      <c r="M7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45702</v>
      </c>
    </row>
    <row r="76" spans="1:13" x14ac:dyDescent="0.3">
      <c r="A76" t="str">
        <f t="shared" si="0"/>
        <v>T0075</v>
      </c>
      <c r="B76" s="1">
        <v>45701</v>
      </c>
      <c r="C76" t="str" cm="1">
        <f t="array" aca="1" ref="C76" ca="1">IF($O$7="Desbloqueado",
  _xlfn.LET(
    _xlpm.saldo_atual, SUM(($C$2:$C75="Entrada")*($F$2:$F75=Tabela_Movimentacao_Geral[[#This Row],[ID Produto]])*($H$2:$H75) - ($C$2:$C75="Saida")*($F$2:$F75=Tabela_Movimentacao_Geral[[#This Row],[ID Produto]])*($H$2:$H75)),
    IF(_xlpm.saldo_atual &gt; 0, IF(RANDBETWEEN(0,10)&gt;3,"Saida","Entrada"), "Entrada")
  ),
  Tabela_Movimentacao_Geral[[#This Row],[Tipo Fluxo]]
)</f>
        <v>Entrada</v>
      </c>
      <c r="D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76" t="str">
        <f ca="1">IF(
  $O$7="Desbloqueado",
  "PROD"&amp;TEXT(RANDBETWEEN(1,200),"000"),
  Tabela_Movimentacao_Geral[[#This Row],[ID Produto]]
)</f>
        <v>PROD098</v>
      </c>
      <c r="G76" t="str">
        <f ca="1">_xlfn.XLOOKUP(Tabela_Movimentacao_Geral[[#This Row],[ID Produto]], Tabela_Produtos[ID_Produto],Tabela_Produtos[Descricao_Produto],"Produto não encontrado")</f>
        <v>Gravador NVR 8 Canais</v>
      </c>
      <c r="H76" cm="1">
        <f t="array" aca="1" ref="H76" ca="1">IF(
   $O$7="Desbloqueado",
   _xlfn.LET(
     _xlpm.saldo_atual, SUM(($C$2:$C75="Entrada")*($F$2:$F75=Tabela_Movimentacao_Geral[[#This Row],[ID Produto]])*($H$2:$H75) - ($C$2:$C75="Saida")*($F$2:$F75=Tabela_Movimentacao_Geral[[#This Row],[ID Produto]])*($H$2:$H75)),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76" s="5">
        <f ca="1">_xlfn.XLOOKUP(Tabela_Movimentacao_Geral[[#This Row],[ID Produto]], Tabela_Produtos[ID_Produto],Tabela_Produtos[Preco_Unitario_Venda])</f>
        <v>1550</v>
      </c>
      <c r="J76" s="6">
        <f ca="1">Tabela_Movimentacao_Geral[[#This Row],[Quantidade]] * Tabela_Movimentacao_Geral[[#This Row],[Valor Unitário]]</f>
        <v>68200</v>
      </c>
      <c r="K76" t="str">
        <f ca="1">IF(
   $O$7="Desbloqueado",
   CHOOSE(RANDBETWEEN(1,3),"Pago","Pendente","Atrasado"),
   Tabela_Movimentacao_Geral[[#This Row],[Status Financeiro]]
)</f>
        <v>Pendente</v>
      </c>
      <c r="L76" t="str">
        <f ca="1">IF(
   $O$7="Desbloqueado",
   CHOOSE(RANDBETWEEN(1,3),"Entregue","Em Rota","Aguardando"),
   Tabela_Movimentacao_Geral[[#This Row],[Status Logistico]]
)</f>
        <v>Entregue</v>
      </c>
      <c r="M7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45706</v>
      </c>
    </row>
    <row r="77" spans="1:13" x14ac:dyDescent="0.3">
      <c r="A77" t="str">
        <f t="shared" si="0"/>
        <v>T0076</v>
      </c>
      <c r="B77" s="1">
        <v>45702</v>
      </c>
      <c r="C77" t="str" cm="1">
        <f t="array" aca="1" ref="C77" ca="1">IF($O$7="Desbloqueado",
  _xlfn.LET(
    _xlpm.saldo_atual, SUM(($C$2:$C76="Entrada")*($F$2:$F76=Tabela_Movimentacao_Geral[[#This Row],[ID Produto]])*($H$2:$H76) - ($C$2:$C76="Saida")*($F$2:$F76=Tabela_Movimentacao_Geral[[#This Row],[ID Produto]])*($H$2:$H76)),
    IF(_xlpm.saldo_atual &gt; 0, IF(RANDBETWEEN(0,10)&gt;3,"Saida","Entrada"), "Entrada")
  ),
  Tabela_Movimentacao_Geral[[#This Row],[Tipo Fluxo]]
)</f>
        <v>Entrada</v>
      </c>
      <c r="D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77" t="str">
        <f ca="1">IF(
  $O$7="Desbloqueado",
  "PROD"&amp;TEXT(RANDBETWEEN(1,200),"000"),
  Tabela_Movimentacao_Geral[[#This Row],[ID Produto]]
)</f>
        <v>PROD004</v>
      </c>
      <c r="G77" t="str">
        <f ca="1">_xlfn.XLOOKUP(Tabela_Movimentacao_Geral[[#This Row],[ID Produto]], Tabela_Produtos[ID_Produto],Tabela_Produtos[Descricao_Produto],"Produto não encontrado")</f>
        <v>Cadeira Ergonomica Office</v>
      </c>
      <c r="H77" cm="1">
        <f t="array" aca="1" ref="H77" ca="1">IF(
   $O$7="Desbloqueado",
   _xlfn.LET(
     _xlpm.saldo_atual, SUM(($C$2:$C76="Entrada")*($F$2:$F76=Tabela_Movimentacao_Geral[[#This Row],[ID Produto]])*($H$2:$H76) - ($C$2:$C76="Saida")*($F$2:$F76=Tabela_Movimentacao_Geral[[#This Row],[ID Produto]])*($H$2:$H76)),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77" s="5">
        <f ca="1">_xlfn.XLOOKUP(Tabela_Movimentacao_Geral[[#This Row],[ID Produto]], Tabela_Produtos[ID_Produto],Tabela_Produtos[Preco_Unitario_Venda])</f>
        <v>1200</v>
      </c>
      <c r="J77" s="6">
        <f ca="1">Tabela_Movimentacao_Geral[[#This Row],[Quantidade]] * Tabela_Movimentacao_Geral[[#This Row],[Valor Unitário]]</f>
        <v>88800</v>
      </c>
      <c r="K77" t="str">
        <f ca="1">IF(
   $O$7="Desbloqueado",
   CHOOSE(RANDBETWEEN(1,3),"Pago","Pendente","Atrasado"),
   Tabela_Movimentacao_Geral[[#This Row],[Status Financeiro]]
)</f>
        <v>Pago</v>
      </c>
      <c r="L77" t="str">
        <f ca="1">IF(
   $O$7="Desbloqueado",
   CHOOSE(RANDBETWEEN(1,3),"Entregue","Em Rota","Aguardando"),
   Tabela_Movimentacao_Geral[[#This Row],[Status Logistico]]
)</f>
        <v>Aguardando</v>
      </c>
      <c r="M7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45712</v>
      </c>
    </row>
    <row r="78" spans="1:13" x14ac:dyDescent="0.3">
      <c r="A78" t="str">
        <f t="shared" si="0"/>
        <v>T0077</v>
      </c>
      <c r="B78" s="1">
        <v>45702</v>
      </c>
      <c r="C78" t="str" cm="1">
        <f t="array" aca="1" ref="C78" ca="1">IF($O$7="Desbloqueado",
  _xlfn.LET(
    _xlpm.saldo_atual, SUM(($C$2:$C77="Entrada")*($F$2:$F77=Tabela_Movimentacao_Geral[[#This Row],[ID Produto]])*($H$2:$H77) - ($C$2:$C77="Saida")*($F$2:$F77=Tabela_Movimentacao_Geral[[#This Row],[ID Produto]])*($H$2:$H77)),
    IF(_xlpm.saldo_atual &gt; 0, IF(RANDBETWEEN(0,10)&gt;3,"Saida","Entrada"), "Entrada")
  ),
  Tabela_Movimentacao_Geral[[#This Row],[Tipo Fluxo]]
)</f>
        <v>Entrada</v>
      </c>
      <c r="D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78" t="str">
        <f ca="1">IF(
  $O$7="Desbloqueado",
  "PROD"&amp;TEXT(RANDBETWEEN(1,200),"000"),
  Tabela_Movimentacao_Geral[[#This Row],[ID Produto]]
)</f>
        <v>PROD053</v>
      </c>
      <c r="G78" t="str">
        <f ca="1">_xlfn.XLOOKUP(Tabela_Movimentacao_Geral[[#This Row],[ID Produto]], Tabela_Produtos[ID_Produto],Tabela_Produtos[Descricao_Produto],"Produto não encontrado")</f>
        <v>Grampeador Ate 20 fls</v>
      </c>
      <c r="H78" cm="1">
        <f t="array" aca="1" ref="H78" ca="1">IF(
   $O$7="Desbloqueado",
   _xlfn.LET(
     _xlpm.saldo_atual, SUM(($C$2:$C77="Entrada")*($F$2:$F77=Tabela_Movimentacao_Geral[[#This Row],[ID Produto]])*($H$2:$H77) - ($C$2:$C77="Saida")*($F$2:$F77=Tabela_Movimentacao_Geral[[#This Row],[ID Produto]])*($H$2:$H77)),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122</v>
      </c>
      <c r="I78" s="5">
        <f ca="1">_xlfn.XLOOKUP(Tabela_Movimentacao_Geral[[#This Row],[ID Produto]], Tabela_Produtos[ID_Produto],Tabela_Produtos[Preco_Unitario_Venda])</f>
        <v>35</v>
      </c>
      <c r="J78" s="6">
        <f ca="1">Tabela_Movimentacao_Geral[[#This Row],[Quantidade]] * Tabela_Movimentacao_Geral[[#This Row],[Valor Unitário]]</f>
        <v>4270</v>
      </c>
      <c r="K78" t="str">
        <f ca="1">IF(
   $O$7="Desbloqueado",
   CHOOSE(RANDBETWEEN(1,3),"Pago","Pendente","Atrasado"),
   Tabela_Movimentacao_Geral[[#This Row],[Status Financeiro]]
)</f>
        <v>Atrasado</v>
      </c>
      <c r="L78" t="str">
        <f ca="1">IF(
   $O$7="Desbloqueado",
   CHOOSE(RANDBETWEEN(1,3),"Entregue","Em Rota","Aguardando"),
   Tabela_Movimentacao_Geral[[#This Row],[Status Logistico]]
)</f>
        <v>Entregue</v>
      </c>
      <c r="M7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45712</v>
      </c>
    </row>
    <row r="79" spans="1:13" x14ac:dyDescent="0.3">
      <c r="A79" t="str">
        <f t="shared" si="0"/>
        <v>T0078</v>
      </c>
      <c r="B79" s="1">
        <v>45702</v>
      </c>
      <c r="C79" t="str" cm="1">
        <f t="array" aca="1" ref="C79" ca="1">IF($O$7="Desbloqueado",
  _xlfn.LET(
    _xlpm.saldo_atual, SUM(($C$2:$C78="Entrada")*($F$2:$F78=Tabela_Movimentacao_Geral[[#This Row],[ID Produto]])*($H$2:$H78) - ($C$2:$C78="Saida")*($F$2:$F78=Tabela_Movimentacao_Geral[[#This Row],[ID Produto]])*($H$2:$H78)),
    IF(_xlpm.saldo_atual &gt; 0, IF(RANDBETWEEN(0,10)&gt;3,"Saida","Entrada"), "Entrada")
  ),
  Tabela_Movimentacao_Geral[[#This Row],[Tipo Fluxo]]
)</f>
        <v>Entrada</v>
      </c>
      <c r="D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79" t="str">
        <f ca="1">IF(
  $O$7="Desbloqueado",
  "PROD"&amp;TEXT(RANDBETWEEN(1,200),"000"),
  Tabela_Movimentacao_Geral[[#This Row],[ID Produto]]
)</f>
        <v>PROD150</v>
      </c>
      <c r="G79" t="str">
        <f ca="1">_xlfn.XLOOKUP(Tabela_Movimentacao_Geral[[#This Row],[ID Produto]], Tabela_Produtos[ID_Produto],Tabela_Produtos[Descricao_Produto],"Produto não encontrado")</f>
        <v>Lanterna de Led Inspeção</v>
      </c>
      <c r="H79" cm="1">
        <f t="array" aca="1" ref="H79" ca="1">IF(
   $O$7="Desbloqueado",
   _xlfn.LET(
     _xlpm.saldo_atual, SUM(($C$2:$C78="Entrada")*($F$2:$F78=Tabela_Movimentacao_Geral[[#This Row],[ID Produto]])*($H$2:$H78) - ($C$2:$C78="Saida")*($F$2:$F78=Tabela_Movimentacao_Geral[[#This Row],[ID Produto]])*($H$2:$H78)),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79" s="5">
        <f ca="1">_xlfn.XLOOKUP(Tabela_Movimentacao_Geral[[#This Row],[ID Produto]], Tabela_Produtos[ID_Produto],Tabela_Produtos[Preco_Unitario_Venda])</f>
        <v>55</v>
      </c>
      <c r="J79" s="6">
        <f ca="1">Tabela_Movimentacao_Geral[[#This Row],[Quantidade]] * Tabela_Movimentacao_Geral[[#This Row],[Valor Unitário]]</f>
        <v>4070</v>
      </c>
      <c r="K79" t="str">
        <f ca="1">IF(
   $O$7="Desbloqueado",
   CHOOSE(RANDBETWEEN(1,3),"Pago","Pendente","Atrasado"),
   Tabela_Movimentacao_Geral[[#This Row],[Status Financeiro]]
)</f>
        <v>Atrasado</v>
      </c>
      <c r="L79" t="str">
        <f ca="1">IF(
   $O$7="Desbloqueado",
   CHOOSE(RANDBETWEEN(1,3),"Entregue","Em Rota","Aguardando"),
   Tabela_Movimentacao_Geral[[#This Row],[Status Logistico]]
)</f>
        <v>Em Rota</v>
      </c>
      <c r="M7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45717</v>
      </c>
    </row>
    <row r="80" spans="1:13" x14ac:dyDescent="0.3">
      <c r="A80" t="str">
        <f t="shared" si="0"/>
        <v>T0079</v>
      </c>
      <c r="B80" s="1">
        <v>45702</v>
      </c>
      <c r="C80" t="str" cm="1">
        <f t="array" aca="1" ref="C80" ca="1">IF($O$7="Desbloqueado",
  _xlfn.LET(
    _xlpm.saldo_atual, SUM(($C$2:$C79="Entrada")*($F$2:$F79=Tabela_Movimentacao_Geral[[#This Row],[ID Produto]])*($H$2:$H79) - ($C$2:$C79="Saida")*($F$2:$F79=Tabela_Movimentacao_Geral[[#This Row],[ID Produto]])*($H$2:$H79)),
    IF(_xlpm.saldo_atual &gt; 0, IF(RANDBETWEEN(0,10)&gt;3,"Saida","Entrada"), "Entrada")
  ),
  Tabela_Movimentacao_Geral[[#This Row],[Tipo Fluxo]]
)</f>
        <v>Entrada</v>
      </c>
      <c r="D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80" t="str">
        <f ca="1">IF(
  $O$7="Desbloqueado",
  "PROD"&amp;TEXT(RANDBETWEEN(1,200),"000"),
  Tabela_Movimentacao_Geral[[#This Row],[ID Produto]]
)</f>
        <v>PROD085</v>
      </c>
      <c r="G80" t="str">
        <f ca="1">_xlfn.XLOOKUP(Tabela_Movimentacao_Geral[[#This Row],[ID Produto]], Tabela_Produtos[ID_Produto],Tabela_Produtos[Descricao_Produto],"Produto não encontrado")</f>
        <v>Cabo Optico Patch Cord 3m</v>
      </c>
      <c r="H80" cm="1">
        <f t="array" aca="1" ref="H80" ca="1">IF(
   $O$7="Desbloqueado",
   _xlfn.LET(
     _xlpm.saldo_atual, SUM(($C$2:$C79="Entrada")*($F$2:$F79=Tabela_Movimentacao_Geral[[#This Row],[ID Produto]])*($H$2:$H79) - ($C$2:$C79="Saida")*($F$2:$F79=Tabela_Movimentacao_Geral[[#This Row],[ID Produto]])*($H$2:$H79)),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80" s="5">
        <f ca="1">_xlfn.XLOOKUP(Tabela_Movimentacao_Geral[[#This Row],[ID Produto]], Tabela_Produtos[ID_Produto],Tabela_Produtos[Preco_Unitario_Venda])</f>
        <v>85</v>
      </c>
      <c r="J80" s="6">
        <f ca="1">Tabela_Movimentacao_Geral[[#This Row],[Quantidade]] * Tabela_Movimentacao_Geral[[#This Row],[Valor Unitário]]</f>
        <v>7140</v>
      </c>
      <c r="K80" t="str">
        <f ca="1">IF(
   $O$7="Desbloqueado",
   CHOOSE(RANDBETWEEN(1,3),"Pago","Pendente","Atrasado"),
   Tabela_Movimentacao_Geral[[#This Row],[Status Financeiro]]
)</f>
        <v>Atrasado</v>
      </c>
      <c r="L80" t="str">
        <f ca="1">IF(
   $O$7="Desbloqueado",
   CHOOSE(RANDBETWEEN(1,3),"Entregue","Em Rota","Aguardando"),
   Tabela_Movimentacao_Geral[[#This Row],[Status Logistico]]
)</f>
        <v>Em Rota</v>
      </c>
      <c r="M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45705</v>
      </c>
    </row>
    <row r="81" spans="1:13" x14ac:dyDescent="0.3">
      <c r="A81" t="str">
        <f t="shared" si="0"/>
        <v>T0080</v>
      </c>
      <c r="B81" s="1">
        <v>45704</v>
      </c>
      <c r="C81" t="str" cm="1">
        <f t="array" aca="1" ref="C81" ca="1">IF($O$7="Desbloqueado",
  _xlfn.LET(
    _xlpm.saldo_atual, SUM(($C$2:$C80="Entrada")*($F$2:$F80=Tabela_Movimentacao_Geral[[#This Row],[ID Produto]])*($H$2:$H80) - ($C$2:$C80="Saida")*($F$2:$F80=Tabela_Movimentacao_Geral[[#This Row],[ID Produto]])*($H$2:$H80)),
    IF(_xlpm.saldo_atual &gt; 0, IF(RANDBETWEEN(0,10)&gt;3,"Saida","Entrada"), "Entrada")
  ),
  Tabela_Movimentacao_Geral[[#This Row],[Tipo Fluxo]]
)</f>
        <v>Entrada</v>
      </c>
      <c r="D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81" t="str">
        <f ca="1">IF(
  $O$7="Desbloqueado",
  "PROD"&amp;TEXT(RANDBETWEEN(1,200),"000"),
  Tabela_Movimentacao_Geral[[#This Row],[ID Produto]]
)</f>
        <v>PROD174</v>
      </c>
      <c r="G81" t="str">
        <f ca="1">_xlfn.XLOOKUP(Tabela_Movimentacao_Geral[[#This Row],[ID Produto]], Tabela_Produtos[ID_Produto],Tabela_Produtos[Descricao_Produto],"Produto não encontrado")</f>
        <v>Filme Stretch Manual 50cm</v>
      </c>
      <c r="H81" cm="1">
        <f t="array" aca="1" ref="H81" ca="1">IF(
   $O$7="Desbloqueado",
   _xlfn.LET(
     _xlpm.saldo_atual, SUM(($C$2:$C80="Entrada")*($F$2:$F80=Tabela_Movimentacao_Geral[[#This Row],[ID Produto]])*($H$2:$H80) - ($C$2:$C80="Saida")*($F$2:$F80=Tabela_Movimentacao_Geral[[#This Row],[ID Produto]])*($H$2:$H80)),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100</v>
      </c>
      <c r="I81" s="5">
        <f ca="1">_xlfn.XLOOKUP(Tabela_Movimentacao_Geral[[#This Row],[ID Produto]], Tabela_Produtos[ID_Produto],Tabela_Produtos[Preco_Unitario_Venda])</f>
        <v>65</v>
      </c>
      <c r="J81" s="6">
        <f ca="1">Tabela_Movimentacao_Geral[[#This Row],[Quantidade]] * Tabela_Movimentacao_Geral[[#This Row],[Valor Unitário]]</f>
        <v>6500</v>
      </c>
      <c r="K81" t="str">
        <f ca="1">IF(
   $O$7="Desbloqueado",
   CHOOSE(RANDBETWEEN(1,3),"Pago","Pendente","Atrasado"),
   Tabela_Movimentacao_Geral[[#This Row],[Status Financeiro]]
)</f>
        <v>Atrasado</v>
      </c>
      <c r="L81" t="str">
        <f ca="1">IF(
   $O$7="Desbloqueado",
   CHOOSE(RANDBETWEEN(1,3),"Entregue","Em Rota","Aguardando"),
   Tabela_Movimentacao_Geral[[#This Row],[Status Logistico]]
)</f>
        <v>Aguardando</v>
      </c>
      <c r="M8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45705</v>
      </c>
    </row>
    <row r="82" spans="1:13" x14ac:dyDescent="0.3">
      <c r="A82" t="str">
        <f t="shared" si="0"/>
        <v>T0081</v>
      </c>
      <c r="B82" s="1">
        <v>45704</v>
      </c>
      <c r="C82" t="str" cm="1">
        <f t="array" aca="1" ref="C82" ca="1">IF($O$7="Desbloqueado",
  _xlfn.LET(
    _xlpm.saldo_atual, SUM(($C$2:$C81="Entrada")*($F$2:$F81=Tabela_Movimentacao_Geral[[#This Row],[ID Produto]])*($H$2:$H81) - ($C$2:$C81="Saida")*($F$2:$F81=Tabela_Movimentacao_Geral[[#This Row],[ID Produto]])*($H$2:$H81)),
    IF(_xlpm.saldo_atual &gt; 0, IF(RANDBETWEEN(0,10)&gt;3,"Saida","Entrada"), "Entrada")
  ),
  Tabela_Movimentacao_Geral[[#This Row],[Tipo Fluxo]]
)</f>
        <v>Entrada</v>
      </c>
      <c r="D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82" t="str">
        <f ca="1">IF(
  $O$7="Desbloqueado",
  "PROD"&amp;TEXT(RANDBETWEEN(1,200),"000"),
  Tabela_Movimentacao_Geral[[#This Row],[ID Produto]]
)</f>
        <v>PROD170</v>
      </c>
      <c r="G82" t="str">
        <f ca="1">_xlfn.XLOOKUP(Tabela_Movimentacao_Geral[[#This Row],[ID Produto]], Tabela_Produtos[ID_Produto],Tabela_Produtos[Descricao_Produto],"Produto não encontrado")</f>
        <v>Caixa Organizadora 20L</v>
      </c>
      <c r="H82" cm="1">
        <f t="array" aca="1" ref="H82" ca="1">IF(
   $O$7="Desbloqueado",
   _xlfn.LET(
     _xlpm.saldo_atual, SUM(($C$2:$C81="Entrada")*($F$2:$F81=Tabela_Movimentacao_Geral[[#This Row],[ID Produto]])*($H$2:$H81) - ($C$2:$C81="Saida")*($F$2:$F81=Tabela_Movimentacao_Geral[[#This Row],[ID Produto]])*($H$2:$H81)),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82" s="5">
        <f ca="1">_xlfn.XLOOKUP(Tabela_Movimentacao_Geral[[#This Row],[ID Produto]], Tabela_Produtos[ID_Produto],Tabela_Produtos[Preco_Unitario_Venda])</f>
        <v>55</v>
      </c>
      <c r="J82" s="6">
        <f ca="1">Tabela_Movimentacao_Geral[[#This Row],[Quantidade]] * Tabela_Movimentacao_Geral[[#This Row],[Valor Unitário]]</f>
        <v>4675</v>
      </c>
      <c r="K82" t="str">
        <f ca="1">IF(
   $O$7="Desbloqueado",
   CHOOSE(RANDBETWEEN(1,3),"Pago","Pendente","Atrasado"),
   Tabela_Movimentacao_Geral[[#This Row],[Status Financeiro]]
)</f>
        <v>Atrasado</v>
      </c>
      <c r="L82" t="str">
        <f ca="1">IF(
   $O$7="Desbloqueado",
   CHOOSE(RANDBETWEEN(1,3),"Entregue","Em Rota","Aguardando"),
   Tabela_Movimentacao_Geral[[#This Row],[Status Logistico]]
)</f>
        <v>Aguardando</v>
      </c>
      <c r="M8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45705</v>
      </c>
    </row>
    <row r="83" spans="1:13" x14ac:dyDescent="0.3">
      <c r="A83" t="str">
        <f t="shared" si="0"/>
        <v>T0082</v>
      </c>
      <c r="B83" s="1">
        <v>45704</v>
      </c>
      <c r="C83" t="str" cm="1">
        <f t="array" aca="1" ref="C83" ca="1">IF($O$7="Desbloqueado",
  _xlfn.LET(
    _xlpm.saldo_atual, SUM(($C$2:$C82="Entrada")*($F$2:$F82=Tabela_Movimentacao_Geral[[#This Row],[ID Produto]])*($H$2:$H82) - ($C$2:$C82="Saida")*($F$2:$F82=Tabela_Movimentacao_Geral[[#This Row],[ID Produto]])*($H$2:$H82)),
    IF(_xlpm.saldo_atual &gt; 0, IF(RANDBETWEEN(0,10)&gt;3,"Saida","Entrada"), "Entrada")
  ),
  Tabela_Movimentacao_Geral[[#This Row],[Tipo Fluxo]]
)</f>
        <v>Entrada</v>
      </c>
      <c r="D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83" t="str">
        <f ca="1">IF(
  $O$7="Desbloqueado",
  "PROD"&amp;TEXT(RANDBETWEEN(1,200),"000"),
  Tabela_Movimentacao_Geral[[#This Row],[ID Produto]]
)</f>
        <v>PROD177</v>
      </c>
      <c r="G83" t="str">
        <f ca="1">_xlfn.XLOOKUP(Tabela_Movimentacao_Geral[[#This Row],[ID Produto]], Tabela_Produtos[ID_Produto],Tabela_Produtos[Descricao_Produto],"Produto não encontrado")</f>
        <v>Estante de Aco 6 Prateiras</v>
      </c>
      <c r="H83" cm="1">
        <f t="array" aca="1" ref="H83" ca="1">IF(
   $O$7="Desbloqueado",
   _xlfn.LET(
     _xlpm.saldo_atual, SUM(($C$2:$C82="Entrada")*($F$2:$F82=Tabela_Movimentacao_Geral[[#This Row],[ID Produto]])*($H$2:$H82) - ($C$2:$C82="Saida")*($F$2:$F82=Tabela_Movimentacao_Geral[[#This Row],[ID Produto]])*($H$2:$H82)),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83" s="5">
        <f ca="1">_xlfn.XLOOKUP(Tabela_Movimentacao_Geral[[#This Row],[ID Produto]], Tabela_Produtos[ID_Produto],Tabela_Produtos[Preco_Unitario_Venda])</f>
        <v>280</v>
      </c>
      <c r="J83" s="6">
        <f ca="1">Tabela_Movimentacao_Geral[[#This Row],[Quantidade]] * Tabela_Movimentacao_Geral[[#This Row],[Valor Unitário]]</f>
        <v>3360</v>
      </c>
      <c r="K83" t="str">
        <f ca="1">IF(
   $O$7="Desbloqueado",
   CHOOSE(RANDBETWEEN(1,3),"Pago","Pendente","Atrasado"),
   Tabela_Movimentacao_Geral[[#This Row],[Status Financeiro]]
)</f>
        <v>Atrasado</v>
      </c>
      <c r="L83" t="str">
        <f ca="1">IF(
   $O$7="Desbloqueado",
   CHOOSE(RANDBETWEEN(1,3),"Entregue","Em Rota","Aguardando"),
   Tabela_Movimentacao_Geral[[#This Row],[Status Logistico]]
)</f>
        <v>Aguardando</v>
      </c>
      <c r="M8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45705</v>
      </c>
    </row>
    <row r="84" spans="1:13" x14ac:dyDescent="0.3">
      <c r="A84" t="str">
        <f t="shared" si="0"/>
        <v>T0083</v>
      </c>
      <c r="B84" s="1">
        <v>45704</v>
      </c>
      <c r="C84" t="str" cm="1">
        <f t="array" aca="1" ref="C84" ca="1">IF($O$7="Desbloqueado",
  _xlfn.LET(
    _xlpm.saldo_atual, SUM(($C$2:$C83="Entrada")*($F$2:$F83=Tabela_Movimentacao_Geral[[#This Row],[ID Produto]])*($H$2:$H83) - ($C$2:$C83="Saida")*($F$2:$F83=Tabela_Movimentacao_Geral[[#This Row],[ID Produto]])*($H$2:$H83)),
    IF(_xlpm.saldo_atual &gt; 0, IF(RANDBETWEEN(0,10)&gt;3,"Saida","Entrada"), "Entrada")
  ),
  Tabela_Movimentacao_Geral[[#This Row],[Tipo Fluxo]]
)</f>
        <v>Saida</v>
      </c>
      <c r="D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84" t="str">
        <f ca="1">IF(
  $O$7="Desbloqueado",
  "PROD"&amp;TEXT(RANDBETWEEN(1,200),"000"),
  Tabela_Movimentacao_Geral[[#This Row],[ID Produto]]
)</f>
        <v>PROD006</v>
      </c>
      <c r="G84" t="str">
        <f ca="1">_xlfn.XLOOKUP(Tabela_Movimentacao_Geral[[#This Row],[ID Produto]], Tabela_Produtos[ID_Produto],Tabela_Produtos[Descricao_Produto],"Produto não encontrado")</f>
        <v>Notebook i7 16GB 512GB SSD</v>
      </c>
      <c r="H84" cm="1">
        <f t="array" aca="1" ref="H84" ca="1">IF(
   $O$7="Desbloqueado",
   _xlfn.LET(
     _xlpm.saldo_atual, SUM(($C$2:$C83="Entrada")*($F$2:$F83=Tabela_Movimentacao_Geral[[#This Row],[ID Produto]])*($H$2:$H83) - ($C$2:$C83="Saida")*($F$2:$F83=Tabela_Movimentacao_Geral[[#This Row],[ID Produto]])*($H$2:$H83)),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36</v>
      </c>
      <c r="I84" s="5">
        <f ca="1">_xlfn.XLOOKUP(Tabela_Movimentacao_Geral[[#This Row],[ID Produto]], Tabela_Produtos[ID_Produto],Tabela_Produtos[Preco_Unitario_Venda])</f>
        <v>5500</v>
      </c>
      <c r="J84" s="6">
        <f ca="1">Tabela_Movimentacao_Geral[[#This Row],[Quantidade]] * Tabela_Movimentacao_Geral[[#This Row],[Valor Unitário]]</f>
        <v>198000</v>
      </c>
      <c r="K84" t="str">
        <f ca="1">IF(
   $O$7="Desbloqueado",
   CHOOSE(RANDBETWEEN(1,3),"Pago","Pendente","Atrasado"),
   Tabela_Movimentacao_Geral[[#This Row],[Status Financeiro]]
)</f>
        <v>Atrasado</v>
      </c>
      <c r="L84" t="str">
        <f ca="1">IF(
   $O$7="Desbloqueado",
   CHOOSE(RANDBETWEEN(1,3),"Entregue","Em Rota","Aguardando"),
   Tabela_Movimentacao_Geral[[#This Row],[Status Logistico]]
)</f>
        <v>Aguardando</v>
      </c>
      <c r="M8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" spans="1:13" x14ac:dyDescent="0.3">
      <c r="A85" t="str">
        <f t="shared" si="0"/>
        <v>T0084</v>
      </c>
      <c r="B85" s="1">
        <v>45705</v>
      </c>
      <c r="C85" t="str" cm="1">
        <f t="array" aca="1" ref="C85" ca="1">IF($O$7="Desbloqueado",
  _xlfn.LET(
    _xlpm.saldo_atual, SUM(($C$2:$C84="Entrada")*($F$2:$F84=Tabela_Movimentacao_Geral[[#This Row],[ID Produto]])*($H$2:$H84) - ($C$2:$C84="Saida")*($F$2:$F84=Tabela_Movimentacao_Geral[[#This Row],[ID Produto]])*($H$2:$H84)),
    IF(_xlpm.saldo_atual &gt; 0, IF(RANDBETWEEN(0,10)&gt;3,"Saida","Entrada"), "Entrada")
  ),
  Tabela_Movimentacao_Geral[[#This Row],[Tipo Fluxo]]
)</f>
        <v>Saida</v>
      </c>
      <c r="D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85" t="str">
        <f ca="1">IF(
  $O$7="Desbloqueado",
  "PROD"&amp;TEXT(RANDBETWEEN(1,200),"000"),
  Tabela_Movimentacao_Geral[[#This Row],[ID Produto]]
)</f>
        <v>PROD147</v>
      </c>
      <c r="G85" t="str">
        <f ca="1">_xlfn.XLOOKUP(Tabela_Movimentacao_Geral[[#This Row],[ID Produto]], Tabela_Produtos[ID_Produto],Tabela_Produtos[Descricao_Produto],"Produto não encontrado")</f>
        <v>Testador de Cabo de Rede</v>
      </c>
      <c r="H85" cm="1">
        <f t="array" aca="1" ref="H85" ca="1">IF(
   $O$7="Desbloqueado",
   _xlfn.LET(
     _xlpm.saldo_atual, SUM(($C$2:$C84="Entrada")*($F$2:$F84=Tabela_Movimentacao_Geral[[#This Row],[ID Produto]])*($H$2:$H84) - ($C$2:$C84="Saida")*($F$2:$F84=Tabela_Movimentacao_Geral[[#This Row],[ID Produto]])*($H$2:$H84)),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85" s="5">
        <f ca="1">_xlfn.XLOOKUP(Tabela_Movimentacao_Geral[[#This Row],[ID Produto]], Tabela_Produtos[ID_Produto],Tabela_Produtos[Preco_Unitario_Venda])</f>
        <v>65</v>
      </c>
      <c r="J85" s="6">
        <f ca="1">Tabela_Movimentacao_Geral[[#This Row],[Quantidade]] * Tabela_Movimentacao_Geral[[#This Row],[Valor Unitário]]</f>
        <v>650</v>
      </c>
      <c r="K85" t="str">
        <f ca="1">IF(
   $O$7="Desbloqueado",
   CHOOSE(RANDBETWEEN(1,3),"Pago","Pendente","Atrasado"),
   Tabela_Movimentacao_Geral[[#This Row],[Status Financeiro]]
)</f>
        <v>Atrasado</v>
      </c>
      <c r="L85" t="str">
        <f ca="1">IF(
   $O$7="Desbloqueado",
   CHOOSE(RANDBETWEEN(1,3),"Entregue","Em Rota","Aguardando"),
   Tabela_Movimentacao_Geral[[#This Row],[Status Logistico]]
)</f>
        <v>Em Rota</v>
      </c>
      <c r="M8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" spans="1:13" x14ac:dyDescent="0.3">
      <c r="A86" t="str">
        <f t="shared" si="0"/>
        <v>T0085</v>
      </c>
      <c r="B86" s="1">
        <v>45705</v>
      </c>
      <c r="C86" t="str" cm="1">
        <f t="array" aca="1" ref="C86" ca="1">IF($O$7="Desbloqueado",
  _xlfn.LET(
    _xlpm.saldo_atual, SUM(($C$2:$C85="Entrada")*($F$2:$F85=Tabela_Movimentacao_Geral[[#This Row],[ID Produto]])*($H$2:$H85) - ($C$2:$C85="Saida")*($F$2:$F85=Tabela_Movimentacao_Geral[[#This Row],[ID Produto]])*($H$2:$H85)),
    IF(_xlpm.saldo_atual &gt; 0, IF(RANDBETWEEN(0,10)&gt;3,"Saida","Entrada"), "Entrada")
  ),
  Tabela_Movimentacao_Geral[[#This Row],[Tipo Fluxo]]
)</f>
        <v>Entrada</v>
      </c>
      <c r="D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86" t="str">
        <f ca="1">IF(
  $O$7="Desbloqueado",
  "PROD"&amp;TEXT(RANDBETWEEN(1,200),"000"),
  Tabela_Movimentacao_Geral[[#This Row],[ID Produto]]
)</f>
        <v>PROD137</v>
      </c>
      <c r="G86" t="str">
        <f ca="1">_xlfn.XLOOKUP(Tabela_Movimentacao_Geral[[#This Row],[ID Produto]], Tabela_Produtos[ID_Produto],Tabela_Produtos[Descricao_Produto],"Produto não encontrado")</f>
        <v>Fonte ATX 600W 80 Plus</v>
      </c>
      <c r="H86" cm="1">
        <f t="array" aca="1" ref="H86" ca="1">IF(
   $O$7="Desbloqueado",
   _xlfn.LET(
     _xlpm.saldo_atual, SUM(($C$2:$C85="Entrada")*($F$2:$F85=Tabela_Movimentacao_Geral[[#This Row],[ID Produto]])*($H$2:$H85) - ($C$2:$C85="Saida")*($F$2:$F85=Tabela_Movimentacao_Geral[[#This Row],[ID Produto]])*($H$2:$H85)),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98</v>
      </c>
      <c r="I86" s="5">
        <f ca="1">_xlfn.XLOOKUP(Tabela_Movimentacao_Geral[[#This Row],[ID Produto]], Tabela_Produtos[ID_Produto],Tabela_Produtos[Preco_Unitario_Venda])</f>
        <v>450</v>
      </c>
      <c r="J86" s="6">
        <f ca="1">Tabela_Movimentacao_Geral[[#This Row],[Quantidade]] * Tabela_Movimentacao_Geral[[#This Row],[Valor Unitário]]</f>
        <v>44100</v>
      </c>
      <c r="K86" t="str">
        <f ca="1">IF(
   $O$7="Desbloqueado",
   CHOOSE(RANDBETWEEN(1,3),"Pago","Pendente","Atrasado"),
   Tabela_Movimentacao_Geral[[#This Row],[Status Financeiro]]
)</f>
        <v>Pendente</v>
      </c>
      <c r="L86" t="str">
        <f ca="1">IF(
   $O$7="Desbloqueado",
   CHOOSE(RANDBETWEEN(1,3),"Entregue","Em Rota","Aguardando"),
   Tabela_Movimentacao_Geral[[#This Row],[Status Logistico]]
)</f>
        <v>Aguardando</v>
      </c>
      <c r="M8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45706</v>
      </c>
    </row>
    <row r="87" spans="1:13" x14ac:dyDescent="0.3">
      <c r="A87" t="str">
        <f t="shared" ref="A87:A150" si="1">"T"&amp;TEXT(ROW(A87)-1,"0000")</f>
        <v>T0086</v>
      </c>
      <c r="B87" s="1">
        <v>45705</v>
      </c>
      <c r="C87" t="str" cm="1">
        <f t="array" aca="1" ref="C87" ca="1">IF($O$7="Desbloqueado",
  _xlfn.LET(
    _xlpm.saldo_atual, SUM(($C$2:$C86="Entrada")*($F$2:$F86=Tabela_Movimentacao_Geral[[#This Row],[ID Produto]])*($H$2:$H86) - ($C$2:$C86="Saida")*($F$2:$F86=Tabela_Movimentacao_Geral[[#This Row],[ID Produto]])*($H$2:$H86)),
    IF(_xlpm.saldo_atual &gt; 0, IF(RANDBETWEEN(0,10)&gt;3,"Saida","Entrada"), "Entrada")
  ),
  Tabela_Movimentacao_Geral[[#This Row],[Tipo Fluxo]]
)</f>
        <v>Entrada</v>
      </c>
      <c r="D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87" t="str">
        <f ca="1">IF(
  $O$7="Desbloqueado",
  "PROD"&amp;TEXT(RANDBETWEEN(1,200),"000"),
  Tabela_Movimentacao_Geral[[#This Row],[ID Produto]]
)</f>
        <v>PROD040</v>
      </c>
      <c r="G87" t="str">
        <f ca="1">_xlfn.XLOOKUP(Tabela_Movimentacao_Geral[[#This Row],[ID Produto]], Tabela_Produtos[ID_Produto],Tabela_Produtos[Descricao_Produto],"Produto não encontrado")</f>
        <v>Bateria de CMOS CR2032</v>
      </c>
      <c r="H87" cm="1">
        <f t="array" aca="1" ref="H87" ca="1">IF(
   $O$7="Desbloqueado",
   _xlfn.LET(
     _xlpm.saldo_atual, SUM(($C$2:$C86="Entrada")*($F$2:$F86=Tabela_Movimentacao_Geral[[#This Row],[ID Produto]])*($H$2:$H86) - ($C$2:$C86="Saida")*($F$2:$F86=Tabela_Movimentacao_Geral[[#This Row],[ID Produto]])*($H$2:$H86)),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151</v>
      </c>
      <c r="I87" s="5">
        <f ca="1">_xlfn.XLOOKUP(Tabela_Movimentacao_Geral[[#This Row],[ID Produto]], Tabela_Produtos[ID_Produto],Tabela_Produtos[Preco_Unitario_Venda])</f>
        <v>5</v>
      </c>
      <c r="J87" s="6">
        <f ca="1">Tabela_Movimentacao_Geral[[#This Row],[Quantidade]] * Tabela_Movimentacao_Geral[[#This Row],[Valor Unitário]]</f>
        <v>755</v>
      </c>
      <c r="K87" t="str">
        <f ca="1">IF(
   $O$7="Desbloqueado",
   CHOOSE(RANDBETWEEN(1,3),"Pago","Pendente","Atrasado"),
   Tabela_Movimentacao_Geral[[#This Row],[Status Financeiro]]
)</f>
        <v>Pendente</v>
      </c>
      <c r="L87" t="str">
        <f ca="1">IF(
   $O$7="Desbloqueado",
   CHOOSE(RANDBETWEEN(1,3),"Entregue","Em Rota","Aguardando"),
   Tabela_Movimentacao_Geral[[#This Row],[Status Logistico]]
)</f>
        <v>Entregue</v>
      </c>
      <c r="M8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45711</v>
      </c>
    </row>
    <row r="88" spans="1:13" x14ac:dyDescent="0.3">
      <c r="A88" t="str">
        <f t="shared" si="1"/>
        <v>T0087</v>
      </c>
      <c r="B88" s="1">
        <v>45705</v>
      </c>
      <c r="C88" t="str" cm="1">
        <f t="array" aca="1" ref="C88" ca="1">IF($O$7="Desbloqueado",
  _xlfn.LET(
    _xlpm.saldo_atual, SUM(($C$2:$C87="Entrada")*($F$2:$F87=Tabela_Movimentacao_Geral[[#This Row],[ID Produto]])*($H$2:$H87) - ($C$2:$C87="Saida")*($F$2:$F87=Tabela_Movimentacao_Geral[[#This Row],[ID Produto]])*($H$2:$H87)),
    IF(_xlpm.saldo_atual &gt; 0, IF(RANDBETWEEN(0,10)&gt;3,"Saida","Entrada"), "Entrada")
  ),
  Tabela_Movimentacao_Geral[[#This Row],[Tipo Fluxo]]
)</f>
        <v>Entrada</v>
      </c>
      <c r="D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88" t="str">
        <f ca="1">IF(
  $O$7="Desbloqueado",
  "PROD"&amp;TEXT(RANDBETWEEN(1,200),"000"),
  Tabela_Movimentacao_Geral[[#This Row],[ID Produto]]
)</f>
        <v>PROD077</v>
      </c>
      <c r="G88" t="str">
        <f ca="1">_xlfn.XLOOKUP(Tabela_Movimentacao_Geral[[#This Row],[ID Produto]], Tabela_Produtos[ID_Produto],Tabela_Produtos[Descricao_Produto],"Produto não encontrado")</f>
        <v>Lixeira de Escritorio 10L</v>
      </c>
      <c r="H88" cm="1">
        <f t="array" aca="1" ref="H88" ca="1">IF(
   $O$7="Desbloqueado",
   _xlfn.LET(
     _xlpm.saldo_atual, SUM(($C$2:$C87="Entrada")*($F$2:$F87=Tabela_Movimentacao_Geral[[#This Row],[ID Produto]])*($H$2:$H87) - ($C$2:$C87="Saida")*($F$2:$F87=Tabela_Movimentacao_Geral[[#This Row],[ID Produto]])*($H$2:$H87)),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88" s="5">
        <f ca="1">_xlfn.XLOOKUP(Tabela_Movimentacao_Geral[[#This Row],[ID Produto]], Tabela_Produtos[ID_Produto],Tabela_Produtos[Preco_Unitario_Venda])</f>
        <v>28</v>
      </c>
      <c r="J88" s="6">
        <f ca="1">Tabela_Movimentacao_Geral[[#This Row],[Quantidade]] * Tabela_Movimentacao_Geral[[#This Row],[Valor Unitário]]</f>
        <v>2072</v>
      </c>
      <c r="K88" t="str">
        <f ca="1">IF(
   $O$7="Desbloqueado",
   CHOOSE(RANDBETWEEN(1,3),"Pago","Pendente","Atrasado"),
   Tabela_Movimentacao_Geral[[#This Row],[Status Financeiro]]
)</f>
        <v>Pago</v>
      </c>
      <c r="L88" t="str">
        <f ca="1">IF(
   $O$7="Desbloqueado",
   CHOOSE(RANDBETWEEN(1,3),"Entregue","Em Rota","Aguardando"),
   Tabela_Movimentacao_Geral[[#This Row],[Status Logistico]]
)</f>
        <v>Entregue</v>
      </c>
      <c r="M8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45717</v>
      </c>
    </row>
    <row r="89" spans="1:13" x14ac:dyDescent="0.3">
      <c r="A89" t="str">
        <f t="shared" si="1"/>
        <v>T0088</v>
      </c>
      <c r="B89" s="1">
        <v>45705</v>
      </c>
      <c r="C89" t="str" cm="1">
        <f t="array" aca="1" ref="C89" ca="1">IF($O$7="Desbloqueado",
  _xlfn.LET(
    _xlpm.saldo_atual, SUM(($C$2:$C88="Entrada")*($F$2:$F88=Tabela_Movimentacao_Geral[[#This Row],[ID Produto]])*($H$2:$H88) - ($C$2:$C88="Saida")*($F$2:$F88=Tabela_Movimentacao_Geral[[#This Row],[ID Produto]])*($H$2:$H88)),
    IF(_xlpm.saldo_atual &gt; 0, IF(RANDBETWEEN(0,10)&gt;3,"Saida","Entrada"), "Entrada")
  ),
  Tabela_Movimentacao_Geral[[#This Row],[Tipo Fluxo]]
)</f>
        <v>Entrada</v>
      </c>
      <c r="D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89" t="str">
        <f ca="1">IF(
  $O$7="Desbloqueado",
  "PROD"&amp;TEXT(RANDBETWEEN(1,200),"000"),
  Tabela_Movimentacao_Geral[[#This Row],[ID Produto]]
)</f>
        <v>PROD079</v>
      </c>
      <c r="G89" t="str">
        <f ca="1">_xlfn.XLOOKUP(Tabela_Movimentacao_Geral[[#This Row],[ID Produto]], Tabela_Produtos[ID_Produto],Tabela_Produtos[Descricao_Produto],"Produto não encontrado")</f>
        <v>Maleta para Documentos</v>
      </c>
      <c r="H89" cm="1">
        <f t="array" aca="1" ref="H89" ca="1">IF(
   $O$7="Desbloqueado",
   _xlfn.LET(
     _xlpm.saldo_atual, SUM(($C$2:$C88="Entrada")*($F$2:$F88=Tabela_Movimentacao_Geral[[#This Row],[ID Produto]])*($H$2:$H88) - ($C$2:$C88="Saida")*($F$2:$F88=Tabela_Movimentacao_Geral[[#This Row],[ID Produto]])*($H$2:$H88)),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89" s="5">
        <f ca="1">_xlfn.XLOOKUP(Tabela_Movimentacao_Geral[[#This Row],[ID Produto]], Tabela_Produtos[ID_Produto],Tabela_Produtos[Preco_Unitario_Venda])</f>
        <v>65</v>
      </c>
      <c r="J89" s="6">
        <f ca="1">Tabela_Movimentacao_Geral[[#This Row],[Quantidade]] * Tabela_Movimentacao_Geral[[#This Row],[Valor Unitário]]</f>
        <v>4290</v>
      </c>
      <c r="K89" t="str">
        <f ca="1">IF(
   $O$7="Desbloqueado",
   CHOOSE(RANDBETWEEN(1,3),"Pago","Pendente","Atrasado"),
   Tabela_Movimentacao_Geral[[#This Row],[Status Financeiro]]
)</f>
        <v>Pago</v>
      </c>
      <c r="L89" t="str">
        <f ca="1">IF(
   $O$7="Desbloqueado",
   CHOOSE(RANDBETWEEN(1,3),"Entregue","Em Rota","Aguardando"),
   Tabela_Movimentacao_Geral[[#This Row],[Status Logistico]]
)</f>
        <v>Aguardando</v>
      </c>
      <c r="M8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45707</v>
      </c>
    </row>
    <row r="90" spans="1:13" x14ac:dyDescent="0.3">
      <c r="A90" t="str">
        <f t="shared" si="1"/>
        <v>T0089</v>
      </c>
      <c r="B90" s="1">
        <v>45706</v>
      </c>
      <c r="C90" t="str" cm="1">
        <f t="array" aca="1" ref="C90" ca="1">IF($O$7="Desbloqueado",
  _xlfn.LET(
    _xlpm.saldo_atual, SUM(($C$2:$C89="Entrada")*($F$2:$F89=Tabela_Movimentacao_Geral[[#This Row],[ID Produto]])*($H$2:$H89) - ($C$2:$C89="Saida")*($F$2:$F89=Tabela_Movimentacao_Geral[[#This Row],[ID Produto]])*($H$2:$H89)),
    IF(_xlpm.saldo_atual &gt; 0, IF(RANDBETWEEN(0,10)&gt;3,"Saida","Entrada"), "Entrada")
  ),
  Tabela_Movimentacao_Geral[[#This Row],[Tipo Fluxo]]
)</f>
        <v>Entrada</v>
      </c>
      <c r="D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90" t="str">
        <f ca="1">IF(
  $O$7="Desbloqueado",
  "PROD"&amp;TEXT(RANDBETWEEN(1,200),"000"),
  Tabela_Movimentacao_Geral[[#This Row],[ID Produto]]
)</f>
        <v>PROD026</v>
      </c>
      <c r="G90" t="str">
        <f ca="1">_xlfn.XLOOKUP(Tabela_Movimentacao_Geral[[#This Row],[ID Produto]], Tabela_Produtos[ID_Produto],Tabela_Produtos[Descricao_Produto],"Produto não encontrado")</f>
        <v>Mousepad Gamer Extra Large</v>
      </c>
      <c r="H90" cm="1">
        <f t="array" aca="1" ref="H90" ca="1">IF(
   $O$7="Desbloqueado",
   _xlfn.LET(
     _xlpm.saldo_atual, SUM(($C$2:$C89="Entrada")*($F$2:$F89=Tabela_Movimentacao_Geral[[#This Row],[ID Produto]])*($H$2:$H89) - ($C$2:$C89="Saida")*($F$2:$F89=Tabela_Movimentacao_Geral[[#This Row],[ID Produto]])*($H$2:$H89)),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64</v>
      </c>
      <c r="I90" s="5">
        <f ca="1">_xlfn.XLOOKUP(Tabela_Movimentacao_Geral[[#This Row],[ID Produto]], Tabela_Produtos[ID_Produto],Tabela_Produtos[Preco_Unitario_Venda])</f>
        <v>85</v>
      </c>
      <c r="J90" s="6">
        <f ca="1">Tabela_Movimentacao_Geral[[#This Row],[Quantidade]] * Tabela_Movimentacao_Geral[[#This Row],[Valor Unitário]]</f>
        <v>5440</v>
      </c>
      <c r="K90" t="str">
        <f ca="1">IF(
   $O$7="Desbloqueado",
   CHOOSE(RANDBETWEEN(1,3),"Pago","Pendente","Atrasado"),
   Tabela_Movimentacao_Geral[[#This Row],[Status Financeiro]]
)</f>
        <v>Pendente</v>
      </c>
      <c r="L90" t="str">
        <f ca="1">IF(
   $O$7="Desbloqueado",
   CHOOSE(RANDBETWEEN(1,3),"Entregue","Em Rota","Aguardando"),
   Tabela_Movimentacao_Geral[[#This Row],[Status Logistico]]
)</f>
        <v>Em Rota</v>
      </c>
      <c r="M9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45716</v>
      </c>
    </row>
    <row r="91" spans="1:13" x14ac:dyDescent="0.3">
      <c r="A91" t="str">
        <f t="shared" si="1"/>
        <v>T0090</v>
      </c>
      <c r="B91" s="1">
        <v>45706</v>
      </c>
      <c r="C91" t="str" cm="1">
        <f t="array" aca="1" ref="C91" ca="1">IF($O$7="Desbloqueado",
  _xlfn.LET(
    _xlpm.saldo_atual, SUM(($C$2:$C90="Entrada")*($F$2:$F90=Tabela_Movimentacao_Geral[[#This Row],[ID Produto]])*($H$2:$H90) - ($C$2:$C90="Saida")*($F$2:$F90=Tabela_Movimentacao_Geral[[#This Row],[ID Produto]])*($H$2:$H90)),
    IF(_xlpm.saldo_atual &gt; 0, IF(RANDBETWEEN(0,10)&gt;3,"Saida","Entrada"), "Entrada")
  ),
  Tabela_Movimentacao_Geral[[#This Row],[Tipo Fluxo]]
)</f>
        <v>Entrada</v>
      </c>
      <c r="D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91" t="str">
        <f ca="1">IF(
  $O$7="Desbloqueado",
  "PROD"&amp;TEXT(RANDBETWEEN(1,200),"000"),
  Tabela_Movimentacao_Geral[[#This Row],[ID Produto]]
)</f>
        <v>PROD140</v>
      </c>
      <c r="G91" t="str">
        <f ca="1">_xlfn.XLOOKUP(Tabela_Movimentacao_Geral[[#This Row],[ID Produto]], Tabela_Produtos[ID_Produto],Tabela_Produtos[Descricao_Produto],"Produto não encontrado")</f>
        <v>Leitor Cartao de Memoria</v>
      </c>
      <c r="H91" cm="1">
        <f t="array" aca="1" ref="H91" ca="1">IF(
   $O$7="Desbloqueado",
   _xlfn.LET(
     _xlpm.saldo_atual, SUM(($C$2:$C90="Entrada")*($F$2:$F90=Tabela_Movimentacao_Geral[[#This Row],[ID Produto]])*($H$2:$H90) - ($C$2:$C90="Saida")*($F$2:$F90=Tabela_Movimentacao_Geral[[#This Row],[ID Produto]])*($H$2:$H90)),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86</v>
      </c>
      <c r="I91" s="5">
        <f ca="1">_xlfn.XLOOKUP(Tabela_Movimentacao_Geral[[#This Row],[ID Produto]], Tabela_Produtos[ID_Produto],Tabela_Produtos[Preco_Unitario_Venda])</f>
        <v>45</v>
      </c>
      <c r="J91" s="6">
        <f ca="1">Tabela_Movimentacao_Geral[[#This Row],[Quantidade]] * Tabela_Movimentacao_Geral[[#This Row],[Valor Unitário]]</f>
        <v>3870</v>
      </c>
      <c r="K91" t="str">
        <f ca="1">IF(
   $O$7="Desbloqueado",
   CHOOSE(RANDBETWEEN(1,3),"Pago","Pendente","Atrasado"),
   Tabela_Movimentacao_Geral[[#This Row],[Status Financeiro]]
)</f>
        <v>Pendente</v>
      </c>
      <c r="L91" t="str">
        <f ca="1">IF(
   $O$7="Desbloqueado",
   CHOOSE(RANDBETWEEN(1,3),"Entregue","Em Rota","Aguardando"),
   Tabela_Movimentacao_Geral[[#This Row],[Status Logistico]]
)</f>
        <v>Aguardando</v>
      </c>
      <c r="M9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45708</v>
      </c>
    </row>
    <row r="92" spans="1:13" x14ac:dyDescent="0.3">
      <c r="A92" t="str">
        <f t="shared" si="1"/>
        <v>T0091</v>
      </c>
      <c r="B92" s="1">
        <v>45707</v>
      </c>
      <c r="C92" t="str" cm="1">
        <f t="array" aca="1" ref="C92" ca="1">IF($O$7="Desbloqueado",
  _xlfn.LET(
    _xlpm.saldo_atual, SUM(($C$2:$C91="Entrada")*($F$2:$F91=Tabela_Movimentacao_Geral[[#This Row],[ID Produto]])*($H$2:$H91) - ($C$2:$C91="Saida")*($F$2:$F91=Tabela_Movimentacao_Geral[[#This Row],[ID Produto]])*($H$2:$H91)),
    IF(_xlpm.saldo_atual &gt; 0, IF(RANDBETWEEN(0,10)&gt;3,"Saida","Entrada"), "Entrada")
  ),
  Tabela_Movimentacao_Geral[[#This Row],[Tipo Fluxo]]
)</f>
        <v>Entrada</v>
      </c>
      <c r="D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92" t="str">
        <f ca="1">IF(
  $O$7="Desbloqueado",
  "PROD"&amp;TEXT(RANDBETWEEN(1,200),"000"),
  Tabela_Movimentacao_Geral[[#This Row],[ID Produto]]
)</f>
        <v>PROD083</v>
      </c>
      <c r="G92" t="str">
        <f ca="1">_xlfn.XLOOKUP(Tabela_Movimentacao_Geral[[#This Row],[ID Produto]], Tabela_Produtos[ID_Produto],Tabela_Produtos[Descricao_Produto],"Produto não encontrado")</f>
        <v>Memoria Server 32GB ECC</v>
      </c>
      <c r="H92" cm="1">
        <f t="array" aca="1" ref="H92" ca="1">IF(
   $O$7="Desbloqueado",
   _xlfn.LET(
     _xlpm.saldo_atual, SUM(($C$2:$C91="Entrada")*($F$2:$F91=Tabela_Movimentacao_Geral[[#This Row],[ID Produto]])*($H$2:$H91) - ($C$2:$C91="Saida")*($F$2:$F91=Tabela_Movimentacao_Geral[[#This Row],[ID Produto]])*($H$2:$H91)),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92</v>
      </c>
      <c r="I92" s="5">
        <f ca="1">_xlfn.XLOOKUP(Tabela_Movimentacao_Geral[[#This Row],[ID Produto]], Tabela_Produtos[ID_Produto],Tabela_Produtos[Preco_Unitario_Venda])</f>
        <v>1450</v>
      </c>
      <c r="J92" s="6">
        <f ca="1">Tabela_Movimentacao_Geral[[#This Row],[Quantidade]] * Tabela_Movimentacao_Geral[[#This Row],[Valor Unitário]]</f>
        <v>133400</v>
      </c>
      <c r="K92" t="str">
        <f ca="1">IF(
   $O$7="Desbloqueado",
   CHOOSE(RANDBETWEEN(1,3),"Pago","Pendente","Atrasado"),
   Tabela_Movimentacao_Geral[[#This Row],[Status Financeiro]]
)</f>
        <v>Pendente</v>
      </c>
      <c r="L92" t="str">
        <f ca="1">IF(
   $O$7="Desbloqueado",
   CHOOSE(RANDBETWEEN(1,3),"Entregue","Em Rota","Aguardando"),
   Tabela_Movimentacao_Geral[[#This Row],[Status Logistico]]
)</f>
        <v>Em Rota</v>
      </c>
      <c r="M9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45708</v>
      </c>
    </row>
    <row r="93" spans="1:13" x14ac:dyDescent="0.3">
      <c r="A93" t="str">
        <f t="shared" si="1"/>
        <v>T0092</v>
      </c>
      <c r="B93" s="1">
        <v>45707</v>
      </c>
      <c r="C93" t="str" cm="1">
        <f t="array" aca="1" ref="C93" ca="1">IF($O$7="Desbloqueado",
  _xlfn.LET(
    _xlpm.saldo_atual, SUM(($C$2:$C92="Entrada")*($F$2:$F92=Tabela_Movimentacao_Geral[[#This Row],[ID Produto]])*($H$2:$H92) - ($C$2:$C92="Saida")*($F$2:$F92=Tabela_Movimentacao_Geral[[#This Row],[ID Produto]])*($H$2:$H92)),
    IF(_xlpm.saldo_atual &gt; 0, IF(RANDBETWEEN(0,10)&gt;3,"Saida","Entrada"), "Entrada")
  ),
  Tabela_Movimentacao_Geral[[#This Row],[Tipo Fluxo]]
)</f>
        <v>Entrada</v>
      </c>
      <c r="D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93" t="str">
        <f ca="1">IF(
  $O$7="Desbloqueado",
  "PROD"&amp;TEXT(RANDBETWEEN(1,200),"000"),
  Tabela_Movimentacao_Geral[[#This Row],[ID Produto]]
)</f>
        <v>PROD048</v>
      </c>
      <c r="G93" t="str">
        <f ca="1">_xlfn.XLOOKUP(Tabela_Movimentacao_Geral[[#This Row],[ID Produto]], Tabela_Produtos[ID_Produto],Tabela_Produtos[Descricao_Produto],"Produto não encontrado")</f>
        <v>Fita para Etiquetadora</v>
      </c>
      <c r="H93" cm="1">
        <f t="array" aca="1" ref="H93" ca="1">IF(
   $O$7="Desbloqueado",
   _xlfn.LET(
     _xlpm.saldo_atual, SUM(($C$2:$C92="Entrada")*($F$2:$F92=Tabela_Movimentacao_Geral[[#This Row],[ID Produto]])*($H$2:$H92) - ($C$2:$C92="Saida")*($F$2:$F92=Tabela_Movimentacao_Geral[[#This Row],[ID Produto]])*($H$2:$H92)),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111</v>
      </c>
      <c r="I93" s="5">
        <f ca="1">_xlfn.XLOOKUP(Tabela_Movimentacao_Geral[[#This Row],[ID Produto]], Tabela_Produtos[ID_Produto],Tabela_Produtos[Preco_Unitario_Venda])</f>
        <v>55</v>
      </c>
      <c r="J93" s="6">
        <f ca="1">Tabela_Movimentacao_Geral[[#This Row],[Quantidade]] * Tabela_Movimentacao_Geral[[#This Row],[Valor Unitário]]</f>
        <v>6105</v>
      </c>
      <c r="K93" t="str">
        <f ca="1">IF(
   $O$7="Desbloqueado",
   CHOOSE(RANDBETWEEN(1,3),"Pago","Pendente","Atrasado"),
   Tabela_Movimentacao_Geral[[#This Row],[Status Financeiro]]
)</f>
        <v>Atrasado</v>
      </c>
      <c r="L93" t="str">
        <f ca="1">IF(
   $O$7="Desbloqueado",
   CHOOSE(RANDBETWEEN(1,3),"Entregue","Em Rota","Aguardando"),
   Tabela_Movimentacao_Geral[[#This Row],[Status Logistico]]
)</f>
        <v>Aguardando</v>
      </c>
      <c r="M9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45709</v>
      </c>
    </row>
    <row r="94" spans="1:13" x14ac:dyDescent="0.3">
      <c r="A94" t="str">
        <f t="shared" si="1"/>
        <v>T0093</v>
      </c>
      <c r="B94" s="1">
        <v>45707</v>
      </c>
      <c r="C94" t="str" cm="1">
        <f t="array" aca="1" ref="C94" ca="1">IF($O$7="Desbloqueado",
  _xlfn.LET(
    _xlpm.saldo_atual, SUM(($C$2:$C93="Entrada")*($F$2:$F93=Tabela_Movimentacao_Geral[[#This Row],[ID Produto]])*($H$2:$H93) - ($C$2:$C93="Saida")*($F$2:$F93=Tabela_Movimentacao_Geral[[#This Row],[ID Produto]])*($H$2:$H93)),
    IF(_xlpm.saldo_atual &gt; 0, IF(RANDBETWEEN(0,10)&gt;3,"Saida","Entrada"), "Entrada")
  ),
  Tabela_Movimentacao_Geral[[#This Row],[Tipo Fluxo]]
)</f>
        <v>Entrada</v>
      </c>
      <c r="D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94" t="str">
        <f ca="1">IF(
  $O$7="Desbloqueado",
  "PROD"&amp;TEXT(RANDBETWEEN(1,200),"000"),
  Tabela_Movimentacao_Geral[[#This Row],[ID Produto]]
)</f>
        <v>PROD142</v>
      </c>
      <c r="G94" t="str">
        <f ca="1">_xlfn.XLOOKUP(Tabela_Movimentacao_Geral[[#This Row],[ID Produto]], Tabela_Produtos[ID_Produto],Tabela_Produtos[Descricao_Produto],"Produto não encontrado")</f>
        <v>Trava de Seguranca Note</v>
      </c>
      <c r="H94" cm="1">
        <f t="array" aca="1" ref="H94" ca="1">IF(
   $O$7="Desbloqueado",
   _xlfn.LET(
     _xlpm.saldo_atual, SUM(($C$2:$C93="Entrada")*($F$2:$F93=Tabela_Movimentacao_Geral[[#This Row],[ID Produto]])*($H$2:$H93) - ($C$2:$C93="Saida")*($F$2:$F93=Tabela_Movimentacao_Geral[[#This Row],[ID Produto]])*($H$2:$H93)),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121</v>
      </c>
      <c r="I94" s="5">
        <f ca="1">_xlfn.XLOOKUP(Tabela_Movimentacao_Geral[[#This Row],[ID Produto]], Tabela_Produtos[ID_Produto],Tabela_Produtos[Preco_Unitario_Venda])</f>
        <v>85</v>
      </c>
      <c r="J94" s="6">
        <f ca="1">Tabela_Movimentacao_Geral[[#This Row],[Quantidade]] * Tabela_Movimentacao_Geral[[#This Row],[Valor Unitário]]</f>
        <v>10285</v>
      </c>
      <c r="K94" t="str">
        <f ca="1">IF(
   $O$7="Desbloqueado",
   CHOOSE(RANDBETWEEN(1,3),"Pago","Pendente","Atrasado"),
   Tabela_Movimentacao_Geral[[#This Row],[Status Financeiro]]
)</f>
        <v>Atrasado</v>
      </c>
      <c r="L94" t="str">
        <f ca="1">IF(
   $O$7="Desbloqueado",
   CHOOSE(RANDBETWEEN(1,3),"Entregue","Em Rota","Aguardando"),
   Tabela_Movimentacao_Geral[[#This Row],[Status Logistico]]
)</f>
        <v>Entregue</v>
      </c>
      <c r="M9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45709</v>
      </c>
    </row>
    <row r="95" spans="1:13" x14ac:dyDescent="0.3">
      <c r="A95" t="str">
        <f t="shared" si="1"/>
        <v>T0094</v>
      </c>
      <c r="B95" s="1">
        <v>45708</v>
      </c>
      <c r="C95" t="str" cm="1">
        <f t="array" aca="1" ref="C95" ca="1">IF($O$7="Desbloqueado",
  _xlfn.LET(
    _xlpm.saldo_atual, SUM(($C$2:$C94="Entrada")*($F$2:$F94=Tabela_Movimentacao_Geral[[#This Row],[ID Produto]])*($H$2:$H94) - ($C$2:$C94="Saida")*($F$2:$F94=Tabela_Movimentacao_Geral[[#This Row],[ID Produto]])*($H$2:$H94)),
    IF(_xlpm.saldo_atual &gt; 0, IF(RANDBETWEEN(0,10)&gt;3,"Saida","Entrada"), "Entrada")
  ),
  Tabela_Movimentacao_Geral[[#This Row],[Tipo Fluxo]]
)</f>
        <v>Saida</v>
      </c>
      <c r="D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95" t="str">
        <f ca="1">IF(
  $O$7="Desbloqueado",
  "PROD"&amp;TEXT(RANDBETWEEN(1,200),"000"),
  Tabela_Movimentacao_Geral[[#This Row],[ID Produto]]
)</f>
        <v>PROD070</v>
      </c>
      <c r="G95" t="str">
        <f ca="1">_xlfn.XLOOKUP(Tabela_Movimentacao_Geral[[#This Row],[ID Produto]], Tabela_Produtos[ID_Produto],Tabela_Produtos[Descricao_Produto],"Produto não encontrado")</f>
        <v>Marcador para Quadro Azul</v>
      </c>
      <c r="H95" cm="1">
        <f t="array" aca="1" ref="H95" ca="1">IF(
   $O$7="Desbloqueado",
   _xlfn.LET(
     _xlpm.saldo_atual, SUM(($C$2:$C94="Entrada")*($F$2:$F94=Tabela_Movimentacao_Geral[[#This Row],[ID Produto]])*($H$2:$H94) - ($C$2:$C94="Saida")*($F$2:$F94=Tabela_Movimentacao_Geral[[#This Row],[ID Produto]])*($H$2:$H94)),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145</v>
      </c>
      <c r="I95" s="5">
        <f ca="1">_xlfn.XLOOKUP(Tabela_Movimentacao_Geral[[#This Row],[ID Produto]], Tabela_Produtos[ID_Produto],Tabela_Produtos[Preco_Unitario_Venda])</f>
        <v>7.5</v>
      </c>
      <c r="J95" s="6">
        <f ca="1">Tabela_Movimentacao_Geral[[#This Row],[Quantidade]] * Tabela_Movimentacao_Geral[[#This Row],[Valor Unitário]]</f>
        <v>1087.5</v>
      </c>
      <c r="K95" t="str">
        <f ca="1">IF(
   $O$7="Desbloqueado",
   CHOOSE(RANDBETWEEN(1,3),"Pago","Pendente","Atrasado"),
   Tabela_Movimentacao_Geral[[#This Row],[Status Financeiro]]
)</f>
        <v>Pendente</v>
      </c>
      <c r="L95" t="str">
        <f ca="1">IF(
   $O$7="Desbloqueado",
   CHOOSE(RANDBETWEEN(1,3),"Entregue","Em Rota","Aguardando"),
   Tabela_Movimentacao_Geral[[#This Row],[Status Logistico]]
)</f>
        <v>Em Rota</v>
      </c>
      <c r="M9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6" spans="1:13" x14ac:dyDescent="0.3">
      <c r="A96" t="str">
        <f t="shared" si="1"/>
        <v>T0095</v>
      </c>
      <c r="B96" s="1">
        <v>45709</v>
      </c>
      <c r="C96" t="str" cm="1">
        <f t="array" aca="1" ref="C96" ca="1">IF($O$7="Desbloqueado",
  _xlfn.LET(
    _xlpm.saldo_atual, SUM(($C$2:$C95="Entrada")*($F$2:$F95=Tabela_Movimentacao_Geral[[#This Row],[ID Produto]])*($H$2:$H95) - ($C$2:$C95="Saida")*($F$2:$F95=Tabela_Movimentacao_Geral[[#This Row],[ID Produto]])*($H$2:$H95)),
    IF(_xlpm.saldo_atual &gt; 0, IF(RANDBETWEEN(0,10)&gt;3,"Saida","Entrada"), "Entrada")
  ),
  Tabela_Movimentacao_Geral[[#This Row],[Tipo Fluxo]]
)</f>
        <v>Saida</v>
      </c>
      <c r="D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96" t="str">
        <f ca="1">IF(
  $O$7="Desbloqueado",
  "PROD"&amp;TEXT(RANDBETWEEN(1,200),"000"),
  Tabela_Movimentacao_Geral[[#This Row],[ID Produto]]
)</f>
        <v>PROD010</v>
      </c>
      <c r="G96" t="str">
        <f ca="1">_xlfn.XLOOKUP(Tabela_Movimentacao_Geral[[#This Row],[ID Produto]], Tabela_Produtos[ID_Produto],Tabela_Produtos[Descricao_Produto],"Produto não encontrado")</f>
        <v>SSD 480GB SATA3</v>
      </c>
      <c r="H96" cm="1">
        <f t="array" aca="1" ref="H96" ca="1">IF(
   $O$7="Desbloqueado",
   _xlfn.LET(
     _xlpm.saldo_atual, SUM(($C$2:$C95="Entrada")*($F$2:$F95=Tabela_Movimentacao_Geral[[#This Row],[ID Produto]])*($H$2:$H95) - ($C$2:$C95="Saida")*($F$2:$F95=Tabela_Movimentacao_Geral[[#This Row],[ID Produto]])*($H$2:$H95)),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96" s="5">
        <f ca="1">_xlfn.XLOOKUP(Tabela_Movimentacao_Geral[[#This Row],[ID Produto]], Tabela_Produtos[ID_Produto],Tabela_Produtos[Preco_Unitario_Venda])</f>
        <v>320</v>
      </c>
      <c r="J96" s="6">
        <f ca="1">Tabela_Movimentacao_Geral[[#This Row],[Quantidade]] * Tabela_Movimentacao_Geral[[#This Row],[Valor Unitário]]</f>
        <v>8000</v>
      </c>
      <c r="K96" t="str">
        <f ca="1">IF(
   $O$7="Desbloqueado",
   CHOOSE(RANDBETWEEN(1,3),"Pago","Pendente","Atrasado"),
   Tabela_Movimentacao_Geral[[#This Row],[Status Financeiro]]
)</f>
        <v>Pago</v>
      </c>
      <c r="L96" t="str">
        <f ca="1">IF(
   $O$7="Desbloqueado",
   CHOOSE(RANDBETWEEN(1,3),"Entregue","Em Rota","Aguardando"),
   Tabela_Movimentacao_Geral[[#This Row],[Status Logistico]]
)</f>
        <v>Entregue</v>
      </c>
      <c r="M9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" spans="1:13" x14ac:dyDescent="0.3">
      <c r="A97" t="str">
        <f t="shared" si="1"/>
        <v>T0096</v>
      </c>
      <c r="B97" s="1">
        <v>45711</v>
      </c>
      <c r="C97" t="str" cm="1">
        <f t="array" aca="1" ref="C97" ca="1">IF($O$7="Desbloqueado",
  _xlfn.LET(
    _xlpm.saldo_atual, SUM(($C$2:$C96="Entrada")*($F$2:$F96=Tabela_Movimentacao_Geral[[#This Row],[ID Produto]])*($H$2:$H96) - ($C$2:$C96="Saida")*($F$2:$F96=Tabela_Movimentacao_Geral[[#This Row],[ID Produto]])*($H$2:$H96)),
    IF(_xlpm.saldo_atual &gt; 0, IF(RANDBETWEEN(0,10)&gt;3,"Saida","Entrada"), "Entrada")
  ),
  Tabela_Movimentacao_Geral[[#This Row],[Tipo Fluxo]]
)</f>
        <v>Entrada</v>
      </c>
      <c r="D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97" t="str">
        <f ca="1">IF(
  $O$7="Desbloqueado",
  "PROD"&amp;TEXT(RANDBETWEEN(1,200),"000"),
  Tabela_Movimentacao_Geral[[#This Row],[ID Produto]]
)</f>
        <v>PROD176</v>
      </c>
      <c r="G97" t="str">
        <f ca="1">_xlfn.XLOOKUP(Tabela_Movimentacao_Geral[[#This Row],[ID Produto]], Tabela_Produtos[ID_Produto],Tabela_Produtos[Descricao_Produto],"Produto não encontrado")</f>
        <v>Envelope Bolha A4 10un</v>
      </c>
      <c r="H97" cm="1">
        <f t="array" aca="1" ref="H97" ca="1">IF(
   $O$7="Desbloqueado",
   _xlfn.LET(
     _xlpm.saldo_atual, SUM(($C$2:$C96="Entrada")*($F$2:$F96=Tabela_Movimentacao_Geral[[#This Row],[ID Produto]])*($H$2:$H96) - ($C$2:$C96="Saida")*($F$2:$F96=Tabela_Movimentacao_Geral[[#This Row],[ID Produto]])*($H$2:$H96)),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97" s="5">
        <f ca="1">_xlfn.XLOOKUP(Tabela_Movimentacao_Geral[[#This Row],[ID Produto]], Tabela_Produtos[ID_Produto],Tabela_Produtos[Preco_Unitario_Venda])</f>
        <v>35</v>
      </c>
      <c r="J97" s="6">
        <f ca="1">Tabela_Movimentacao_Geral[[#This Row],[Quantidade]] * Tabela_Movimentacao_Geral[[#This Row],[Valor Unitário]]</f>
        <v>2765</v>
      </c>
      <c r="K97" t="str">
        <f ca="1">IF(
   $O$7="Desbloqueado",
   CHOOSE(RANDBETWEEN(1,3),"Pago","Pendente","Atrasado"),
   Tabela_Movimentacao_Geral[[#This Row],[Status Financeiro]]
)</f>
        <v>Pendente</v>
      </c>
      <c r="L97" t="str">
        <f ca="1">IF(
   $O$7="Desbloqueado",
   CHOOSE(RANDBETWEEN(1,3),"Entregue","Em Rota","Aguardando"),
   Tabela_Movimentacao_Geral[[#This Row],[Status Logistico]]
)</f>
        <v>Aguardando</v>
      </c>
      <c r="M9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45713</v>
      </c>
    </row>
    <row r="98" spans="1:13" x14ac:dyDescent="0.3">
      <c r="A98" t="str">
        <f t="shared" si="1"/>
        <v>T0097</v>
      </c>
      <c r="B98" s="1">
        <v>45711</v>
      </c>
      <c r="C98" t="str" cm="1">
        <f t="array" aca="1" ref="C98" ca="1">IF($O$7="Desbloqueado",
  _xlfn.LET(
    _xlpm.saldo_atual, SUM(($C$2:$C97="Entrada")*($F$2:$F97=Tabela_Movimentacao_Geral[[#This Row],[ID Produto]])*($H$2:$H97) - ($C$2:$C97="Saida")*($F$2:$F97=Tabela_Movimentacao_Geral[[#This Row],[ID Produto]])*($H$2:$H97)),
    IF(_xlpm.saldo_atual &gt; 0, IF(RANDBETWEEN(0,10)&gt;3,"Saida","Entrada"), "Entrada")
  ),
  Tabela_Movimentacao_Geral[[#This Row],[Tipo Fluxo]]
)</f>
        <v>Entrada</v>
      </c>
      <c r="D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98" t="str">
        <f ca="1">IF(
  $O$7="Desbloqueado",
  "PROD"&amp;TEXT(RANDBETWEEN(1,200),"000"),
  Tabela_Movimentacao_Geral[[#This Row],[ID Produto]]
)</f>
        <v>PROD160</v>
      </c>
      <c r="G98" t="str">
        <f ca="1">_xlfn.XLOOKUP(Tabela_Movimentacao_Geral[[#This Row],[ID Produto]], Tabela_Produtos[ID_Produto],Tabela_Produtos[Descricao_Produto],"Produto não encontrado")</f>
        <v>Alfinete para Quadro 50un</v>
      </c>
      <c r="H98" cm="1">
        <f t="array" aca="1" ref="H98" ca="1">IF(
   $O$7="Desbloqueado",
   _xlfn.LET(
     _xlpm.saldo_atual, SUM(($C$2:$C97="Entrada")*($F$2:$F97=Tabela_Movimentacao_Geral[[#This Row],[ID Produto]])*($H$2:$H97) - ($C$2:$C97="Saida")*($F$2:$F97=Tabela_Movimentacao_Geral[[#This Row],[ID Produto]])*($H$2:$H97)),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205</v>
      </c>
      <c r="I98" s="5">
        <f ca="1">_xlfn.XLOOKUP(Tabela_Movimentacao_Geral[[#This Row],[ID Produto]], Tabela_Produtos[ID_Produto],Tabela_Produtos[Preco_Unitario_Venda])</f>
        <v>9</v>
      </c>
      <c r="J98" s="6">
        <f ca="1">Tabela_Movimentacao_Geral[[#This Row],[Quantidade]] * Tabela_Movimentacao_Geral[[#This Row],[Valor Unitário]]</f>
        <v>1845</v>
      </c>
      <c r="K98" t="str">
        <f ca="1">IF(
   $O$7="Desbloqueado",
   CHOOSE(RANDBETWEEN(1,3),"Pago","Pendente","Atrasado"),
   Tabela_Movimentacao_Geral[[#This Row],[Status Financeiro]]
)</f>
        <v>Pendente</v>
      </c>
      <c r="L98" t="str">
        <f ca="1">IF(
   $O$7="Desbloqueado",
   CHOOSE(RANDBETWEEN(1,3),"Entregue","Em Rota","Aguardando"),
   Tabela_Movimentacao_Geral[[#This Row],[Status Logistico]]
)</f>
        <v>Em Rota</v>
      </c>
      <c r="M9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45718</v>
      </c>
    </row>
    <row r="99" spans="1:13" x14ac:dyDescent="0.3">
      <c r="A99" t="str">
        <f t="shared" si="1"/>
        <v>T0098</v>
      </c>
      <c r="B99" s="1">
        <v>45711</v>
      </c>
      <c r="C99" t="str" cm="1">
        <f t="array" aca="1" ref="C99" ca="1">IF($O$7="Desbloqueado",
  _xlfn.LET(
    _xlpm.saldo_atual, SUM(($C$2:$C98="Entrada")*($F$2:$F98=Tabela_Movimentacao_Geral[[#This Row],[ID Produto]])*($H$2:$H98) - ($C$2:$C98="Saida")*($F$2:$F98=Tabela_Movimentacao_Geral[[#This Row],[ID Produto]])*($H$2:$H98)),
    IF(_xlpm.saldo_atual &gt; 0, IF(RANDBETWEEN(0,10)&gt;3,"Saida","Entrada"), "Entrada")
  ),
  Tabela_Movimentacao_Geral[[#This Row],[Tipo Fluxo]]
)</f>
        <v>Entrada</v>
      </c>
      <c r="D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99" t="str">
        <f ca="1">IF(
  $O$7="Desbloqueado",
  "PROD"&amp;TEXT(RANDBETWEEN(1,200),"000"),
  Tabela_Movimentacao_Geral[[#This Row],[ID Produto]]
)</f>
        <v>PROD102</v>
      </c>
      <c r="G99" t="str">
        <f ca="1">_xlfn.XLOOKUP(Tabela_Movimentacao_Geral[[#This Row],[ID Produto]], Tabela_Produtos[ID_Produto],Tabela_Produtos[Descricao_Produto],"Produto não encontrado")</f>
        <v>Teclado Wireless Logi</v>
      </c>
      <c r="H99" cm="1">
        <f t="array" aca="1" ref="H99" ca="1">IF(
   $O$7="Desbloqueado",
   _xlfn.LET(
     _xlpm.saldo_atual, SUM(($C$2:$C98="Entrada")*($F$2:$F98=Tabela_Movimentacao_Geral[[#This Row],[ID Produto]])*($H$2:$H98) - ($C$2:$C98="Saida")*($F$2:$F98=Tabela_Movimentacao_Geral[[#This Row],[ID Produto]])*($H$2:$H98)),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99" s="5">
        <f ca="1">_xlfn.XLOOKUP(Tabela_Movimentacao_Geral[[#This Row],[ID Produto]], Tabela_Produtos[ID_Produto],Tabela_Produtos[Preco_Unitario_Venda])</f>
        <v>290</v>
      </c>
      <c r="J99" s="6">
        <f ca="1">Tabela_Movimentacao_Geral[[#This Row],[Quantidade]] * Tabela_Movimentacao_Geral[[#This Row],[Valor Unitário]]</f>
        <v>6670</v>
      </c>
      <c r="K99" t="str">
        <f ca="1">IF(
   $O$7="Desbloqueado",
   CHOOSE(RANDBETWEEN(1,3),"Pago","Pendente","Atrasado"),
   Tabela_Movimentacao_Geral[[#This Row],[Status Financeiro]]
)</f>
        <v>Atrasado</v>
      </c>
      <c r="L99" t="str">
        <f ca="1">IF(
   $O$7="Desbloqueado",
   CHOOSE(RANDBETWEEN(1,3),"Entregue","Em Rota","Aguardando"),
   Tabela_Movimentacao_Geral[[#This Row],[Status Logistico]]
)</f>
        <v>Em Rota</v>
      </c>
      <c r="M9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45713</v>
      </c>
    </row>
    <row r="100" spans="1:13" x14ac:dyDescent="0.3">
      <c r="A100" t="str">
        <f t="shared" si="1"/>
        <v>T0099</v>
      </c>
      <c r="B100" s="1">
        <v>45712</v>
      </c>
      <c r="C100" t="str" cm="1">
        <f t="array" aca="1" ref="C100" ca="1">IF($O$7="Desbloqueado",
  _xlfn.LET(
    _xlpm.saldo_atual, SUM(($C$2:$C99="Entrada")*($F$2:$F99=Tabela_Movimentacao_Geral[[#This Row],[ID Produto]])*($H$2:$H99) - ($C$2:$C99="Saida")*($F$2:$F99=Tabela_Movimentacao_Geral[[#This Row],[ID Produto]])*($H$2:$H99)),
    IF(_xlpm.saldo_atual &gt; 0, IF(RANDBETWEEN(0,10)&gt;3,"Saida","Entrada"), "Entrada")
  ),
  Tabela_Movimentacao_Geral[[#This Row],[Tipo Fluxo]]
)</f>
        <v>Entrada</v>
      </c>
      <c r="D1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1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100" t="str">
        <f ca="1">IF(
  $O$7="Desbloqueado",
  "PROD"&amp;TEXT(RANDBETWEEN(1,200),"000"),
  Tabela_Movimentacao_Geral[[#This Row],[ID Produto]]
)</f>
        <v>PROD107</v>
      </c>
      <c r="G100" t="str">
        <f ca="1">_xlfn.XLOOKUP(Tabela_Movimentacao_Geral[[#This Row],[ID Produto]], Tabela_Produtos[ID_Produto],Tabela_Produtos[Descricao_Produto],"Produto não encontrado")</f>
        <v>Impressora Termica Cupom</v>
      </c>
      <c r="H100" cm="1">
        <f t="array" aca="1" ref="H100" ca="1">IF(
   $O$7="Desbloqueado",
   _xlfn.LET(
     _xlpm.saldo_atual, SUM(($C$2:$C99="Entrada")*($F$2:$F99=Tabela_Movimentacao_Geral[[#This Row],[ID Produto]])*($H$2:$H99) - ($C$2:$C99="Saida")*($F$2:$F99=Tabela_Movimentacao_Geral[[#This Row],[ID Produto]])*($H$2:$H99)),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107</v>
      </c>
      <c r="I100" s="5">
        <f ca="1">_xlfn.XLOOKUP(Tabela_Movimentacao_Geral[[#This Row],[ID Produto]], Tabela_Produtos[ID_Produto],Tabela_Produtos[Preco_Unitario_Venda])</f>
        <v>680</v>
      </c>
      <c r="J100" s="6">
        <f ca="1">Tabela_Movimentacao_Geral[[#This Row],[Quantidade]] * Tabela_Movimentacao_Geral[[#This Row],[Valor Unitário]]</f>
        <v>72760</v>
      </c>
      <c r="K100" t="str">
        <f ca="1">IF(
   $O$7="Desbloqueado",
   CHOOSE(RANDBETWEEN(1,3),"Pago","Pendente","Atrasado"),
   Tabela_Movimentacao_Geral[[#This Row],[Status Financeiro]]
)</f>
        <v>Pago</v>
      </c>
      <c r="L100" t="str">
        <f ca="1">IF(
   $O$7="Desbloqueado",
   CHOOSE(RANDBETWEEN(1,3),"Entregue","Em Rota","Aguardando"),
   Tabela_Movimentacao_Geral[[#This Row],[Status Logistico]]
)</f>
        <v>Em Rota</v>
      </c>
      <c r="M10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45715</v>
      </c>
    </row>
    <row r="101" spans="1:13" x14ac:dyDescent="0.3">
      <c r="A101" t="str">
        <f t="shared" si="1"/>
        <v>T0100</v>
      </c>
      <c r="B101" s="1">
        <v>45712</v>
      </c>
      <c r="C101" t="str" cm="1">
        <f t="array" aca="1" ref="C101" ca="1">IF($O$7="Desbloqueado",
  _xlfn.LET(
    _xlpm.saldo_atual, SUM(($C$2:$C100="Entrada")*($F$2:$F100=Tabela_Movimentacao_Geral[[#This Row],[ID Produto]])*($H$2:$H100) - ($C$2:$C100="Saida")*($F$2:$F100=Tabela_Movimentacao_Geral[[#This Row],[ID Produto]])*($H$2:$H100)),
    IF(_xlpm.saldo_atual &gt; 0, IF(RANDBETWEEN(0,10)&gt;3,"Saida","Entrada"), "Entrada")
  ),
  Tabela_Movimentacao_Geral[[#This Row],[Tipo Fluxo]]
)</f>
        <v>Entrada</v>
      </c>
      <c r="D1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1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101" t="str">
        <f ca="1">IF(
  $O$7="Desbloqueado",
  "PROD"&amp;TEXT(RANDBETWEEN(1,200),"000"),
  Tabela_Movimentacao_Geral[[#This Row],[ID Produto]]
)</f>
        <v>PROD199</v>
      </c>
      <c r="G101" t="str">
        <f ca="1">_xlfn.XLOOKUP(Tabela_Movimentacao_Geral[[#This Row],[ID Produto]], Tabela_Produtos[ID_Produto],Tabela_Produtos[Descricao_Produto],"Produto não encontrado")</f>
        <v>Sugador de Solda</v>
      </c>
      <c r="H101" cm="1">
        <f t="array" aca="1" ref="H101" ca="1">IF(
   $O$7="Desbloqueado",
   _xlfn.LET(
     _xlpm.saldo_atual, SUM(($C$2:$C100="Entrada")*($F$2:$F100=Tabela_Movimentacao_Geral[[#This Row],[ID Produto]])*($H$2:$H100) - ($C$2:$C100="Saida")*($F$2:$F100=Tabela_Movimentacao_Geral[[#This Row],[ID Produto]])*($H$2:$H100)),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101" s="5">
        <f ca="1">_xlfn.XLOOKUP(Tabela_Movimentacao_Geral[[#This Row],[ID Produto]], Tabela_Produtos[ID_Produto],Tabela_Produtos[Preco_Unitario_Venda])</f>
        <v>25</v>
      </c>
      <c r="J101" s="6">
        <f ca="1">Tabela_Movimentacao_Geral[[#This Row],[Quantidade]] * Tabela_Movimentacao_Geral[[#This Row],[Valor Unitário]]</f>
        <v>1700</v>
      </c>
      <c r="K101" t="str">
        <f ca="1">IF(
   $O$7="Desbloqueado",
   CHOOSE(RANDBETWEEN(1,3),"Pago","Pendente","Atrasado"),
   Tabela_Movimentacao_Geral[[#This Row],[Status Financeiro]]
)</f>
        <v>Atrasado</v>
      </c>
      <c r="L101" t="str">
        <f ca="1">IF(
   $O$7="Desbloqueado",
   CHOOSE(RANDBETWEEN(1,3),"Entregue","Em Rota","Aguardando"),
   Tabela_Movimentacao_Geral[[#This Row],[Status Logistico]]
)</f>
        <v>Entregue</v>
      </c>
      <c r="M1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45716</v>
      </c>
    </row>
    <row r="102" spans="1:13" x14ac:dyDescent="0.3">
      <c r="A102" t="str">
        <f t="shared" si="1"/>
        <v>T0101</v>
      </c>
      <c r="B102" s="1">
        <v>45712</v>
      </c>
      <c r="C102" t="str" cm="1">
        <f t="array" aca="1" ref="C102" ca="1">IF($O$7="Desbloqueado",
  _xlfn.LET(
    _xlpm.saldo_atual, SUM(($C$2:$C101="Entrada")*($F$2:$F101=Tabela_Movimentacao_Geral[[#This Row],[ID Produto]])*($H$2:$H101) - ($C$2:$C101="Saida")*($F$2:$F101=Tabela_Movimentacao_Geral[[#This Row],[ID Produto]])*($H$2:$H101)),
    IF(_xlpm.saldo_atual &gt; 0, IF(RANDBETWEEN(0,10)&gt;3,"Saida","Entrada"), "Entrada")
  ),
  Tabela_Movimentacao_Geral[[#This Row],[Tipo Fluxo]]
)</f>
        <v>Entrada</v>
      </c>
      <c r="D1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1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102" t="str">
        <f ca="1">IF(
  $O$7="Desbloqueado",
  "PROD"&amp;TEXT(RANDBETWEEN(1,200),"000"),
  Tabela_Movimentacao_Geral[[#This Row],[ID Produto]]
)</f>
        <v>PROD025</v>
      </c>
      <c r="G102" t="str">
        <f ca="1">_xlfn.XLOOKUP(Tabela_Movimentacao_Geral[[#This Row],[ID Produto]], Tabela_Produtos[ID_Produto],Tabela_Produtos[Descricao_Produto],"Produto não encontrado")</f>
        <v>Software de Backup Cloud</v>
      </c>
      <c r="H102" cm="1">
        <f t="array" aca="1" ref="H102" ca="1">IF(
   $O$7="Desbloqueado",
   _xlfn.LET(
     _xlpm.saldo_atual, SUM(($C$2:$C101="Entrada")*($F$2:$F101=Tabela_Movimentacao_Geral[[#This Row],[ID Produto]])*($H$2:$H101) - ($C$2:$C101="Saida")*($F$2:$F101=Tabela_Movimentacao_Geral[[#This Row],[ID Produto]])*($H$2:$H101)),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111</v>
      </c>
      <c r="I102" s="5">
        <f ca="1">_xlfn.XLOOKUP(Tabela_Movimentacao_Geral[[#This Row],[ID Produto]], Tabela_Produtos[ID_Produto],Tabela_Produtos[Preco_Unitario_Venda])</f>
        <v>85</v>
      </c>
      <c r="J102" s="6">
        <f ca="1">Tabela_Movimentacao_Geral[[#This Row],[Quantidade]] * Tabela_Movimentacao_Geral[[#This Row],[Valor Unitário]]</f>
        <v>9435</v>
      </c>
      <c r="K102" t="str">
        <f ca="1">IF(
   $O$7="Desbloqueado",
   CHOOSE(RANDBETWEEN(1,3),"Pago","Pendente","Atrasado"),
   Tabela_Movimentacao_Geral[[#This Row],[Status Financeiro]]
)</f>
        <v>Pendente</v>
      </c>
      <c r="L102" t="str">
        <f ca="1">IF(
   $O$7="Desbloqueado",
   CHOOSE(RANDBETWEEN(1,3),"Entregue","Em Rota","Aguardando"),
   Tabela_Movimentacao_Geral[[#This Row],[Status Logistico]]
)</f>
        <v>Em Rota</v>
      </c>
      <c r="M10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45714</v>
      </c>
    </row>
    <row r="103" spans="1:13" x14ac:dyDescent="0.3">
      <c r="A103" t="str">
        <f t="shared" si="1"/>
        <v>T0102</v>
      </c>
      <c r="B103" s="1">
        <v>45712</v>
      </c>
      <c r="C103" t="str" cm="1">
        <f t="array" aca="1" ref="C103" ca="1">IF($O$7="Desbloqueado",
  _xlfn.LET(
    _xlpm.saldo_atual, SUM(($C$2:$C102="Entrada")*($F$2:$F102=Tabela_Movimentacao_Geral[[#This Row],[ID Produto]])*($H$2:$H102) - ($C$2:$C102="Saida")*($F$2:$F102=Tabela_Movimentacao_Geral[[#This Row],[ID Produto]])*($H$2:$H102)),
    IF(_xlpm.saldo_atual &gt; 0, IF(RANDBETWEEN(0,10)&gt;3,"Saida","Entrada"), "Entrada")
  ),
  Tabela_Movimentacao_Geral[[#This Row],[Tipo Fluxo]]
)</f>
        <v>Entrada</v>
      </c>
      <c r="D1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1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103" t="str">
        <f ca="1">IF(
  $O$7="Desbloqueado",
  "PROD"&amp;TEXT(RANDBETWEEN(1,200),"000"),
  Tabela_Movimentacao_Geral[[#This Row],[ID Produto]]
)</f>
        <v>PROD154</v>
      </c>
      <c r="G103" t="str">
        <f ca="1">_xlfn.XLOOKUP(Tabela_Movimentacao_Geral[[#This Row],[ID Produto]], Tabela_Produtos[ID_Produto],Tabela_Produtos[Descricao_Produto],"Produto não encontrado")</f>
        <v>Estilete Largo Profissional</v>
      </c>
      <c r="H103" cm="1">
        <f t="array" aca="1" ref="H103" ca="1">IF(
   $O$7="Desbloqueado",
   _xlfn.LET(
     _xlpm.saldo_atual, SUM(($C$2:$C102="Entrada")*($F$2:$F102=Tabela_Movimentacao_Geral[[#This Row],[ID Produto]])*($H$2:$H102) - ($C$2:$C102="Saida")*($F$2:$F102=Tabela_Movimentacao_Geral[[#This Row],[ID Produto]])*($H$2:$H102)),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136</v>
      </c>
      <c r="I103" s="5">
        <f ca="1">_xlfn.XLOOKUP(Tabela_Movimentacao_Geral[[#This Row],[ID Produto]], Tabela_Produtos[ID_Produto],Tabela_Produtos[Preco_Unitario_Venda])</f>
        <v>18</v>
      </c>
      <c r="J103" s="6">
        <f ca="1">Tabela_Movimentacao_Geral[[#This Row],[Quantidade]] * Tabela_Movimentacao_Geral[[#This Row],[Valor Unitário]]</f>
        <v>2448</v>
      </c>
      <c r="K103" t="str">
        <f ca="1">IF(
   $O$7="Desbloqueado",
   CHOOSE(RANDBETWEEN(1,3),"Pago","Pendente","Atrasado"),
   Tabela_Movimentacao_Geral[[#This Row],[Status Financeiro]]
)</f>
        <v>Atrasado</v>
      </c>
      <c r="L103" t="str">
        <f ca="1">IF(
   $O$7="Desbloqueado",
   CHOOSE(RANDBETWEEN(1,3),"Entregue","Em Rota","Aguardando"),
   Tabela_Movimentacao_Geral[[#This Row],[Status Logistico]]
)</f>
        <v>Em Rota</v>
      </c>
      <c r="M10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45727</v>
      </c>
    </row>
    <row r="104" spans="1:13" x14ac:dyDescent="0.3">
      <c r="A104" t="str">
        <f t="shared" si="1"/>
        <v>T0103</v>
      </c>
      <c r="B104" s="1">
        <v>45712</v>
      </c>
      <c r="C104" t="str" cm="1">
        <f t="array" aca="1" ref="C104" ca="1">IF($O$7="Desbloqueado",
  _xlfn.LET(
    _xlpm.saldo_atual, SUM(($C$2:$C103="Entrada")*($F$2:$F103=Tabela_Movimentacao_Geral[[#This Row],[ID Produto]])*($H$2:$H103) - ($C$2:$C103="Saida")*($F$2:$F103=Tabela_Movimentacao_Geral[[#This Row],[ID Produto]])*($H$2:$H103)),
    IF(_xlpm.saldo_atual &gt; 0, IF(RANDBETWEEN(0,10)&gt;3,"Saida","Entrada"), "Entrada")
  ),
  Tabela_Movimentacao_Geral[[#This Row],[Tipo Fluxo]]
)</f>
        <v>Entrada</v>
      </c>
      <c r="D1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1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104" t="str">
        <f ca="1">IF(
  $O$7="Desbloqueado",
  "PROD"&amp;TEXT(RANDBETWEEN(1,200),"000"),
  Tabela_Movimentacao_Geral[[#This Row],[ID Produto]]
)</f>
        <v>PROD166</v>
      </c>
      <c r="G104" t="str">
        <f ca="1">_xlfn.XLOOKUP(Tabela_Movimentacao_Geral[[#This Row],[ID Produto]], Tabela_Produtos[ID_Produto],Tabela_Produtos[Descricao_Produto],"Produto não encontrado")</f>
        <v>Tinta para Carimbo 30ml</v>
      </c>
      <c r="H104" cm="1">
        <f t="array" aca="1" ref="H104" ca="1">IF(
   $O$7="Desbloqueado",
   _xlfn.LET(
     _xlpm.saldo_atual, SUM(($C$2:$C103="Entrada")*($F$2:$F103=Tabela_Movimentacao_Geral[[#This Row],[ID Produto]])*($H$2:$H103) - ($C$2:$C103="Saida")*($F$2:$F103=Tabela_Movimentacao_Geral[[#This Row],[ID Produto]])*($H$2:$H103)),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113</v>
      </c>
      <c r="I104" s="5">
        <f ca="1">_xlfn.XLOOKUP(Tabela_Movimentacao_Geral[[#This Row],[ID Produto]], Tabela_Produtos[ID_Produto],Tabela_Produtos[Preco_Unitario_Venda])</f>
        <v>12</v>
      </c>
      <c r="J104" s="6">
        <f ca="1">Tabela_Movimentacao_Geral[[#This Row],[Quantidade]] * Tabela_Movimentacao_Geral[[#This Row],[Valor Unitário]]</f>
        <v>1356</v>
      </c>
      <c r="K104" t="str">
        <f ca="1">IF(
   $O$7="Desbloqueado",
   CHOOSE(RANDBETWEEN(1,3),"Pago","Pendente","Atrasado"),
   Tabela_Movimentacao_Geral[[#This Row],[Status Financeiro]]
)</f>
        <v>Pago</v>
      </c>
      <c r="L104" t="str">
        <f ca="1">IF(
   $O$7="Desbloqueado",
   CHOOSE(RANDBETWEEN(1,3),"Entregue","Em Rota","Aguardando"),
   Tabela_Movimentacao_Geral[[#This Row],[Status Logistico]]
)</f>
        <v>Em Rota</v>
      </c>
      <c r="M10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45715</v>
      </c>
    </row>
    <row r="105" spans="1:13" x14ac:dyDescent="0.3">
      <c r="A105" t="str">
        <f t="shared" si="1"/>
        <v>T0104</v>
      </c>
      <c r="B105" s="1">
        <v>45713</v>
      </c>
      <c r="C105" t="str" cm="1">
        <f t="array" aca="1" ref="C105" ca="1">IF($O$7="Desbloqueado",
  _xlfn.LET(
    _xlpm.saldo_atual, SUM(($C$2:$C104="Entrada")*($F$2:$F104=Tabela_Movimentacao_Geral[[#This Row],[ID Produto]])*($H$2:$H104) - ($C$2:$C104="Saida")*($F$2:$F104=Tabela_Movimentacao_Geral[[#This Row],[ID Produto]])*($H$2:$H104)),
    IF(_xlpm.saldo_atual &gt; 0, IF(RANDBETWEEN(0,10)&gt;3,"Saida","Entrada"), "Entrada")
  ),
  Tabela_Movimentacao_Geral[[#This Row],[Tipo Fluxo]]
)</f>
        <v>Entrada</v>
      </c>
      <c r="D1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1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105" t="str">
        <f ca="1">IF(
  $O$7="Desbloqueado",
  "PROD"&amp;TEXT(RANDBETWEEN(1,200),"000"),
  Tabela_Movimentacao_Geral[[#This Row],[ID Produto]]
)</f>
        <v>PROD168</v>
      </c>
      <c r="G105" t="str">
        <f ca="1">_xlfn.XLOOKUP(Tabela_Movimentacao_Geral[[#This Row],[ID Produto]], Tabela_Produtos[ID_Produto],Tabela_Produtos[Descricao_Produto],"Produto não encontrado")</f>
        <v>Pasta Catalogo 50 Envelopes</v>
      </c>
      <c r="H105" cm="1">
        <f t="array" aca="1" ref="H105" ca="1">IF(
   $O$7="Desbloqueado",
   _xlfn.LET(
     _xlpm.saldo_atual, SUM(($C$2:$C104="Entrada")*($F$2:$F104=Tabela_Movimentacao_Geral[[#This Row],[ID Produto]])*($H$2:$H104) - ($C$2:$C104="Saida")*($F$2:$F104=Tabela_Movimentacao_Geral[[#This Row],[ID Produto]])*($H$2:$H104)),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</v>
      </c>
      <c r="I105" s="5">
        <f ca="1">_xlfn.XLOOKUP(Tabela_Movimentacao_Geral[[#This Row],[ID Produto]], Tabela_Produtos[ID_Produto],Tabela_Produtos[Preco_Unitario_Venda])</f>
        <v>45</v>
      </c>
      <c r="J105" s="6">
        <f ca="1">Tabela_Movimentacao_Geral[[#This Row],[Quantidade]] * Tabela_Movimentacao_Geral[[#This Row],[Valor Unitário]]</f>
        <v>2565</v>
      </c>
      <c r="K105" t="str">
        <f ca="1">IF(
   $O$7="Desbloqueado",
   CHOOSE(RANDBETWEEN(1,3),"Pago","Pendente","Atrasado"),
   Tabela_Movimentacao_Geral[[#This Row],[Status Financeiro]]
)</f>
        <v>Pago</v>
      </c>
      <c r="L105" t="str">
        <f ca="1">IF(
   $O$7="Desbloqueado",
   CHOOSE(RANDBETWEEN(1,3),"Entregue","Em Rota","Aguardando"),
   Tabela_Movimentacao_Geral[[#This Row],[Status Logistico]]
)</f>
        <v>Entregue</v>
      </c>
      <c r="M10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45715</v>
      </c>
    </row>
    <row r="106" spans="1:13" x14ac:dyDescent="0.3">
      <c r="A106" t="str">
        <f t="shared" si="1"/>
        <v>T0105</v>
      </c>
      <c r="B106" s="1">
        <v>45713</v>
      </c>
      <c r="C106" t="str" cm="1">
        <f t="array" aca="1" ref="C106" ca="1">IF($O$7="Desbloqueado",
  _xlfn.LET(
    _xlpm.saldo_atual, SUM(($C$2:$C105="Entrada")*($F$2:$F105=Tabela_Movimentacao_Geral[[#This Row],[ID Produto]])*($H$2:$H105) - ($C$2:$C105="Saida")*($F$2:$F105=Tabela_Movimentacao_Geral[[#This Row],[ID Produto]])*($H$2:$H105)),
    IF(_xlpm.saldo_atual &gt; 0, IF(RANDBETWEEN(0,10)&gt;3,"Saida","Entrada"), "Entrada")
  ),
  Tabela_Movimentacao_Geral[[#This Row],[Tipo Fluxo]]
)</f>
        <v>Entrada</v>
      </c>
      <c r="D1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1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06" t="str">
        <f ca="1">IF(
  $O$7="Desbloqueado",
  "PROD"&amp;TEXT(RANDBETWEEN(1,200),"000"),
  Tabela_Movimentacao_Geral[[#This Row],[ID Produto]]
)</f>
        <v>PROD087</v>
      </c>
      <c r="G106" t="str">
        <f ca="1">_xlfn.XLOOKUP(Tabela_Movimentacao_Geral[[#This Row],[ID Produto]], Tabela_Produtos[ID_Produto],Tabela_Produtos[Descricao_Produto],"Produto não encontrado")</f>
        <v>Patch Panel 24 Portas</v>
      </c>
      <c r="H106" cm="1">
        <f t="array" aca="1" ref="H106" ca="1">IF(
   $O$7="Desbloqueado",
   _xlfn.LET(
     _xlpm.saldo_atual, SUM(($C$2:$C105="Entrada")*($F$2:$F105=Tabela_Movimentacao_Geral[[#This Row],[ID Produto]])*($H$2:$H105) - ($C$2:$C105="Saida")*($F$2:$F105=Tabela_Movimentacao_Geral[[#This Row],[ID Produto]])*($H$2:$H105)),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106" s="5">
        <f ca="1">_xlfn.XLOOKUP(Tabela_Movimentacao_Geral[[#This Row],[ID Produto]], Tabela_Produtos[ID_Produto],Tabela_Produtos[Preco_Unitario_Venda])</f>
        <v>450</v>
      </c>
      <c r="J106" s="6">
        <f ca="1">Tabela_Movimentacao_Geral[[#This Row],[Quantidade]] * Tabela_Movimentacao_Geral[[#This Row],[Valor Unitário]]</f>
        <v>5850</v>
      </c>
      <c r="K106" t="str">
        <f ca="1">IF(
   $O$7="Desbloqueado",
   CHOOSE(RANDBETWEEN(1,3),"Pago","Pendente","Atrasado"),
   Tabela_Movimentacao_Geral[[#This Row],[Status Financeiro]]
)</f>
        <v>Atrasado</v>
      </c>
      <c r="L106" t="str">
        <f ca="1">IF(
   $O$7="Desbloqueado",
   CHOOSE(RANDBETWEEN(1,3),"Entregue","Em Rota","Aguardando"),
   Tabela_Movimentacao_Geral[[#This Row],[Status Logistico]]
)</f>
        <v>Em Rota</v>
      </c>
      <c r="M10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45714</v>
      </c>
    </row>
    <row r="107" spans="1:13" x14ac:dyDescent="0.3">
      <c r="A107" t="str">
        <f t="shared" si="1"/>
        <v>T0106</v>
      </c>
      <c r="B107" s="1">
        <v>45713</v>
      </c>
      <c r="C107" t="str" cm="1">
        <f t="array" aca="1" ref="C107" ca="1">IF($O$7="Desbloqueado",
  _xlfn.LET(
    _xlpm.saldo_atual, SUM(($C$2:$C106="Entrada")*($F$2:$F106=Tabela_Movimentacao_Geral[[#This Row],[ID Produto]])*($H$2:$H106) - ($C$2:$C106="Saida")*($F$2:$F106=Tabela_Movimentacao_Geral[[#This Row],[ID Produto]])*($H$2:$H106)),
    IF(_xlpm.saldo_atual &gt; 0, IF(RANDBETWEEN(0,10)&gt;3,"Saida","Entrada"), "Entrada")
  ),
  Tabela_Movimentacao_Geral[[#This Row],[Tipo Fluxo]]
)</f>
        <v>Saida</v>
      </c>
      <c r="D1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1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107" t="str">
        <f ca="1">IF(
  $O$7="Desbloqueado",
  "PROD"&amp;TEXT(RANDBETWEEN(1,200),"000"),
  Tabela_Movimentacao_Geral[[#This Row],[ID Produto]]
)</f>
        <v>PROD131</v>
      </c>
      <c r="G107" t="str">
        <f ca="1">_xlfn.XLOOKUP(Tabela_Movimentacao_Geral[[#This Row],[ID Produto]], Tabela_Produtos[ID_Produto],Tabela_Produtos[Descricao_Produto],"Produto não encontrado")</f>
        <v>Bateria Nobreak 12V 7Ah</v>
      </c>
      <c r="H107" cm="1">
        <f t="array" aca="1" ref="H107" ca="1">IF(
   $O$7="Desbloqueado",
   _xlfn.LET(
     _xlpm.saldo_atual, SUM(($C$2:$C106="Entrada")*($F$2:$F106=Tabela_Movimentacao_Geral[[#This Row],[ID Produto]])*($H$2:$H106) - ($C$2:$C106="Saida")*($F$2:$F106=Tabela_Movimentacao_Geral[[#This Row],[ID Produto]])*($H$2:$H106)),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107" s="5">
        <f ca="1">_xlfn.XLOOKUP(Tabela_Movimentacao_Geral[[#This Row],[ID Produto]], Tabela_Produtos[ID_Produto],Tabela_Produtos[Preco_Unitario_Venda])</f>
        <v>145</v>
      </c>
      <c r="J107" s="6">
        <f ca="1">Tabela_Movimentacao_Geral[[#This Row],[Quantidade]] * Tabela_Movimentacao_Geral[[#This Row],[Valor Unitário]]</f>
        <v>580</v>
      </c>
      <c r="K107" t="str">
        <f ca="1">IF(
   $O$7="Desbloqueado",
   CHOOSE(RANDBETWEEN(1,3),"Pago","Pendente","Atrasado"),
   Tabela_Movimentacao_Geral[[#This Row],[Status Financeiro]]
)</f>
        <v>Pendente</v>
      </c>
      <c r="L107" t="str">
        <f ca="1">IF(
   $O$7="Desbloqueado",
   CHOOSE(RANDBETWEEN(1,3),"Entregue","Em Rota","Aguardando"),
   Tabela_Movimentacao_Geral[[#This Row],[Status Logistico]]
)</f>
        <v>Aguardando</v>
      </c>
      <c r="M10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8" spans="1:13" x14ac:dyDescent="0.3">
      <c r="A108" t="str">
        <f t="shared" si="1"/>
        <v>T0107</v>
      </c>
      <c r="B108" s="1">
        <v>45714</v>
      </c>
      <c r="C108" t="str" cm="1">
        <f t="array" aca="1" ref="C108" ca="1">IF($O$7="Desbloqueado",
  _xlfn.LET(
    _xlpm.saldo_atual, SUM(($C$2:$C107="Entrada")*($F$2:$F107=Tabela_Movimentacao_Geral[[#This Row],[ID Produto]])*($H$2:$H107) - ($C$2:$C107="Saida")*($F$2:$F107=Tabela_Movimentacao_Geral[[#This Row],[ID Produto]])*($H$2:$H107)),
    IF(_xlpm.saldo_atual &gt; 0, IF(RANDBETWEEN(0,10)&gt;3,"Saida","Entrada"), "Entrada")
  ),
  Tabela_Movimentacao_Geral[[#This Row],[Tipo Fluxo]]
)</f>
        <v>Entrada</v>
      </c>
      <c r="D1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1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108" t="str">
        <f ca="1">IF(
  $O$7="Desbloqueado",
  "PROD"&amp;TEXT(RANDBETWEEN(1,200),"000"),
  Tabela_Movimentacao_Geral[[#This Row],[ID Produto]]
)</f>
        <v>PROD035</v>
      </c>
      <c r="G108" t="str">
        <f ca="1">_xlfn.XLOOKUP(Tabela_Movimentacao_Geral[[#This Row],[ID Produto]], Tabela_Produtos[ID_Produto],Tabela_Produtos[Descricao_Produto],"Produto não encontrado")</f>
        <v>Tela de Projecao 100 pol</v>
      </c>
      <c r="H108" cm="1">
        <f t="array" aca="1" ref="H108" ca="1">IF(
   $O$7="Desbloqueado",
   _xlfn.LET(
     _xlpm.saldo_atual, SUM(($C$2:$C107="Entrada")*($F$2:$F107=Tabela_Movimentacao_Geral[[#This Row],[ID Produto]])*($H$2:$H107) - ($C$2:$C107="Saida")*($F$2:$F107=Tabela_Movimentacao_Geral[[#This Row],[ID Produto]])*($H$2:$H107)),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83</v>
      </c>
      <c r="I108" s="5">
        <f ca="1">_xlfn.XLOOKUP(Tabela_Movimentacao_Geral[[#This Row],[ID Produto]], Tabela_Produtos[ID_Produto],Tabela_Produtos[Preco_Unitario_Venda])</f>
        <v>600</v>
      </c>
      <c r="J108" s="6">
        <f ca="1">Tabela_Movimentacao_Geral[[#This Row],[Quantidade]] * Tabela_Movimentacao_Geral[[#This Row],[Valor Unitário]]</f>
        <v>49800</v>
      </c>
      <c r="K108" t="str">
        <f ca="1">IF(
   $O$7="Desbloqueado",
   CHOOSE(RANDBETWEEN(1,3),"Pago","Pendente","Atrasado"),
   Tabela_Movimentacao_Geral[[#This Row],[Status Financeiro]]
)</f>
        <v>Pago</v>
      </c>
      <c r="L108" t="str">
        <f ca="1">IF(
   $O$7="Desbloqueado",
   CHOOSE(RANDBETWEEN(1,3),"Entregue","Em Rota","Aguardando"),
   Tabela_Movimentacao_Geral[[#This Row],[Status Logistico]]
)</f>
        <v>Entregue</v>
      </c>
      <c r="M10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45717</v>
      </c>
    </row>
    <row r="109" spans="1:13" x14ac:dyDescent="0.3">
      <c r="A109" t="str">
        <f t="shared" si="1"/>
        <v>T0108</v>
      </c>
      <c r="B109" s="1">
        <v>45714</v>
      </c>
      <c r="C109" t="str" cm="1">
        <f t="array" aca="1" ref="C109" ca="1">IF($O$7="Desbloqueado",
  _xlfn.LET(
    _xlpm.saldo_atual, SUM(($C$2:$C108="Entrada")*($F$2:$F108=Tabela_Movimentacao_Geral[[#This Row],[ID Produto]])*($H$2:$H108) - ($C$2:$C108="Saida")*($F$2:$F108=Tabela_Movimentacao_Geral[[#This Row],[ID Produto]])*($H$2:$H108)),
    IF(_xlpm.saldo_atual &gt; 0, IF(RANDBETWEEN(0,10)&gt;3,"Saida","Entrada"), "Entrada")
  ),
  Tabela_Movimentacao_Geral[[#This Row],[Tipo Fluxo]]
)</f>
        <v>Saida</v>
      </c>
      <c r="D1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1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109" t="str">
        <f ca="1">IF(
  $O$7="Desbloqueado",
  "PROD"&amp;TEXT(RANDBETWEEN(1,200),"000"),
  Tabela_Movimentacao_Geral[[#This Row],[ID Produto]]
)</f>
        <v>PROD051</v>
      </c>
      <c r="G109" t="str">
        <f ca="1">_xlfn.XLOOKUP(Tabela_Movimentacao_Geral[[#This Row],[ID Produto]], Tabela_Produtos[ID_Produto],Tabela_Produtos[Descricao_Produto],"Produto não encontrado")</f>
        <v>Papel A4 Report 500fls</v>
      </c>
      <c r="H109" cm="1">
        <f t="array" aca="1" ref="H109" ca="1">IF(
   $O$7="Desbloqueado",
   _xlfn.LET(
     _xlpm.saldo_atual, SUM(($C$2:$C108="Entrada")*($F$2:$F108=Tabela_Movimentacao_Geral[[#This Row],[ID Produto]])*($H$2:$H108) - ($C$2:$C108="Saida")*($F$2:$F108=Tabela_Movimentacao_Geral[[#This Row],[ID Produto]])*($H$2:$H108)),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150</v>
      </c>
      <c r="I109" s="5">
        <f ca="1">_xlfn.XLOOKUP(Tabela_Movimentacao_Geral[[#This Row],[ID Produto]], Tabela_Produtos[ID_Produto],Tabela_Produtos[Preco_Unitario_Venda])</f>
        <v>28</v>
      </c>
      <c r="J109" s="6">
        <f ca="1">Tabela_Movimentacao_Geral[[#This Row],[Quantidade]] * Tabela_Movimentacao_Geral[[#This Row],[Valor Unitário]]</f>
        <v>4200</v>
      </c>
      <c r="K109" t="str">
        <f ca="1">IF(
   $O$7="Desbloqueado",
   CHOOSE(RANDBETWEEN(1,3),"Pago","Pendente","Atrasado"),
   Tabela_Movimentacao_Geral[[#This Row],[Status Financeiro]]
)</f>
        <v>Atrasado</v>
      </c>
      <c r="L109" t="str">
        <f ca="1">IF(
   $O$7="Desbloqueado",
   CHOOSE(RANDBETWEEN(1,3),"Entregue","Em Rota","Aguardando"),
   Tabela_Movimentacao_Geral[[#This Row],[Status Logistico]]
)</f>
        <v>Aguardando</v>
      </c>
      <c r="M10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10" spans="1:13" x14ac:dyDescent="0.3">
      <c r="A110" t="str">
        <f t="shared" si="1"/>
        <v>T0109</v>
      </c>
      <c r="B110" s="1">
        <v>45716</v>
      </c>
      <c r="C110" t="str" cm="1">
        <f t="array" aca="1" ref="C110" ca="1">IF($O$7="Desbloqueado",
  _xlfn.LET(
    _xlpm.saldo_atual, SUM(($C$2:$C109="Entrada")*($F$2:$F109=Tabela_Movimentacao_Geral[[#This Row],[ID Produto]])*($H$2:$H109) - ($C$2:$C109="Saida")*($F$2:$F109=Tabela_Movimentacao_Geral[[#This Row],[ID Produto]])*($H$2:$H109)),
    IF(_xlpm.saldo_atual &gt; 0, IF(RANDBETWEEN(0,10)&gt;3,"Saida","Entrada"), "Entrada")
  ),
  Tabela_Movimentacao_Geral[[#This Row],[Tipo Fluxo]]
)</f>
        <v>Entrada</v>
      </c>
      <c r="D1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1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110" t="str">
        <f ca="1">IF(
  $O$7="Desbloqueado",
  "PROD"&amp;TEXT(RANDBETWEEN(1,200),"000"),
  Tabela_Movimentacao_Geral[[#This Row],[ID Produto]]
)</f>
        <v>PROD188</v>
      </c>
      <c r="G110" t="str">
        <f ca="1">_xlfn.XLOOKUP(Tabela_Movimentacao_Geral[[#This Row],[ID Produto]], Tabela_Produtos[ID_Produto],Tabela_Produtos[Descricao_Produto],"Produto não encontrado")</f>
        <v>Chassis para Media Conv</v>
      </c>
      <c r="H110" cm="1">
        <f t="array" aca="1" ref="H110" ca="1">IF(
   $O$7="Desbloqueado",
   _xlfn.LET(
     _xlpm.saldo_atual, SUM(($C$2:$C109="Entrada")*($F$2:$F109=Tabela_Movimentacao_Geral[[#This Row],[ID Produto]])*($H$2:$H109) - ($C$2:$C109="Saida")*($F$2:$F109=Tabela_Movimentacao_Geral[[#This Row],[ID Produto]])*($H$2:$H109)),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110" s="5">
        <f ca="1">_xlfn.XLOOKUP(Tabela_Movimentacao_Geral[[#This Row],[ID Produto]], Tabela_Produtos[ID_Produto],Tabela_Produtos[Preco_Unitario_Venda])</f>
        <v>1550</v>
      </c>
      <c r="J110" s="6">
        <f ca="1">Tabela_Movimentacao_Geral[[#This Row],[Quantidade]] * Tabela_Movimentacao_Geral[[#This Row],[Valor Unitário]]</f>
        <v>69750</v>
      </c>
      <c r="K110" t="str">
        <f ca="1">IF(
   $O$7="Desbloqueado",
   CHOOSE(RANDBETWEEN(1,3),"Pago","Pendente","Atrasado"),
   Tabela_Movimentacao_Geral[[#This Row],[Status Financeiro]]
)</f>
        <v>Pago</v>
      </c>
      <c r="L110" t="str">
        <f ca="1">IF(
   $O$7="Desbloqueado",
   CHOOSE(RANDBETWEEN(1,3),"Entregue","Em Rota","Aguardando"),
   Tabela_Movimentacao_Geral[[#This Row],[Status Logistico]]
)</f>
        <v>Entregue</v>
      </c>
      <c r="M11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45717</v>
      </c>
    </row>
    <row r="111" spans="1:13" x14ac:dyDescent="0.3">
      <c r="A111" t="str">
        <f t="shared" si="1"/>
        <v>T0110</v>
      </c>
      <c r="B111" s="1">
        <v>45717</v>
      </c>
      <c r="C111" t="str" cm="1">
        <f t="array" aca="1" ref="C111" ca="1">IF($O$7="Desbloqueado",
  _xlfn.LET(
    _xlpm.saldo_atual, SUM(($C$2:$C110="Entrada")*($F$2:$F110=Tabela_Movimentacao_Geral[[#This Row],[ID Produto]])*($H$2:$H110) - ($C$2:$C110="Saida")*($F$2:$F110=Tabela_Movimentacao_Geral[[#This Row],[ID Produto]])*($H$2:$H110)),
    IF(_xlpm.saldo_atual &gt; 0, IF(RANDBETWEEN(0,10)&gt;3,"Saida","Entrada"), "Entrada")
  ),
  Tabela_Movimentacao_Geral[[#This Row],[Tipo Fluxo]]
)</f>
        <v>Entrada</v>
      </c>
      <c r="D1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1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111" t="str">
        <f ca="1">IF(
  $O$7="Desbloqueado",
  "PROD"&amp;TEXT(RANDBETWEEN(1,200),"000"),
  Tabela_Movimentacao_Geral[[#This Row],[ID Produto]]
)</f>
        <v>PROD110</v>
      </c>
      <c r="G111" t="str">
        <f ca="1">_xlfn.XLOOKUP(Tabela_Movimentacao_Geral[[#This Row],[ID Produto]], Tabela_Produtos[ID_Produto],Tabela_Produtos[Descricao_Produto],"Produto não encontrado")</f>
        <v>SSD M.2 NVMe 1TB</v>
      </c>
      <c r="H111" cm="1">
        <f t="array" aca="1" ref="H111" ca="1">IF(
   $O$7="Desbloqueado",
   _xlfn.LET(
     _xlpm.saldo_atual, SUM(($C$2:$C110="Entrada")*($F$2:$F110=Tabela_Movimentacao_Geral[[#This Row],[ID Produto]])*($H$2:$H110) - ($C$2:$C110="Saida")*($F$2:$F110=Tabela_Movimentacao_Geral[[#This Row],[ID Produto]])*($H$2:$H110)),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111" s="5">
        <f ca="1">_xlfn.XLOOKUP(Tabela_Movimentacao_Geral[[#This Row],[ID Produto]], Tabela_Produtos[ID_Produto],Tabela_Produtos[Preco_Unitario_Venda])</f>
        <v>580</v>
      </c>
      <c r="J111" s="6">
        <f ca="1">Tabela_Movimentacao_Geral[[#This Row],[Quantidade]] * Tabela_Movimentacao_Geral[[#This Row],[Valor Unitário]]</f>
        <v>40020</v>
      </c>
      <c r="K111" t="str">
        <f ca="1">IF(
   $O$7="Desbloqueado",
   CHOOSE(RANDBETWEEN(1,3),"Pago","Pendente","Atrasado"),
   Tabela_Movimentacao_Geral[[#This Row],[Status Financeiro]]
)</f>
        <v>Pendente</v>
      </c>
      <c r="L111" t="str">
        <f ca="1">IF(
   $O$7="Desbloqueado",
   CHOOSE(RANDBETWEEN(1,3),"Entregue","Em Rota","Aguardando"),
   Tabela_Movimentacao_Geral[[#This Row],[Status Logistico]]
)</f>
        <v>Aguardando</v>
      </c>
      <c r="M11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45718</v>
      </c>
    </row>
    <row r="112" spans="1:13" x14ac:dyDescent="0.3">
      <c r="A112" t="str">
        <f t="shared" si="1"/>
        <v>T0111</v>
      </c>
      <c r="B112" s="1">
        <v>45718</v>
      </c>
      <c r="C112" t="str" cm="1">
        <f t="array" aca="1" ref="C112" ca="1">IF($O$7="Desbloqueado",
  _xlfn.LET(
    _xlpm.saldo_atual, SUM(($C$2:$C111="Entrada")*($F$2:$F111=Tabela_Movimentacao_Geral[[#This Row],[ID Produto]])*($H$2:$H111) - ($C$2:$C111="Saida")*($F$2:$F111=Tabela_Movimentacao_Geral[[#This Row],[ID Produto]])*($H$2:$H111)),
    IF(_xlpm.saldo_atual &gt; 0, IF(RANDBETWEEN(0,10)&gt;3,"Saida","Entrada"), "Entrada")
  ),
  Tabela_Movimentacao_Geral[[#This Row],[Tipo Fluxo]]
)</f>
        <v>Entrada</v>
      </c>
      <c r="D1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1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112" t="str">
        <f ca="1">IF(
  $O$7="Desbloqueado",
  "PROD"&amp;TEXT(RANDBETWEEN(1,200),"000"),
  Tabela_Movimentacao_Geral[[#This Row],[ID Produto]]
)</f>
        <v>PROD152</v>
      </c>
      <c r="G112" t="str">
        <f ca="1">_xlfn.XLOOKUP(Tabela_Movimentacao_Geral[[#This Row],[ID Produto]], Tabela_Produtos[ID_Produto],Tabela_Produtos[Descricao_Produto],"Produto não encontrado")</f>
        <v>Bloco de Notas Espiral</v>
      </c>
      <c r="H112" cm="1">
        <f t="array" aca="1" ref="H112" ca="1">IF(
   $O$7="Desbloqueado",
   _xlfn.LET(
     _xlpm.saldo_atual, SUM(($C$2:$C111="Entrada")*($F$2:$F111=Tabela_Movimentacao_Geral[[#This Row],[ID Produto]])*($H$2:$H111) - ($C$2:$C111="Saida")*($F$2:$F111=Tabela_Movimentacao_Geral[[#This Row],[ID Produto]])*($H$2:$H111)),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104</v>
      </c>
      <c r="I112" s="5">
        <f ca="1">_xlfn.XLOOKUP(Tabela_Movimentacao_Geral[[#This Row],[ID Produto]], Tabela_Produtos[ID_Produto],Tabela_Produtos[Preco_Unitario_Venda])</f>
        <v>12</v>
      </c>
      <c r="J112" s="6">
        <f ca="1">Tabela_Movimentacao_Geral[[#This Row],[Quantidade]] * Tabela_Movimentacao_Geral[[#This Row],[Valor Unitário]]</f>
        <v>1248</v>
      </c>
      <c r="K112" t="str">
        <f ca="1">IF(
   $O$7="Desbloqueado",
   CHOOSE(RANDBETWEEN(1,3),"Pago","Pendente","Atrasado"),
   Tabela_Movimentacao_Geral[[#This Row],[Status Financeiro]]
)</f>
        <v>Pago</v>
      </c>
      <c r="L112" t="str">
        <f ca="1">IF(
   $O$7="Desbloqueado",
   CHOOSE(RANDBETWEEN(1,3),"Entregue","Em Rota","Aguardando"),
   Tabela_Movimentacao_Geral[[#This Row],[Status Logistico]]
)</f>
        <v>Entregue</v>
      </c>
      <c r="M11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45728</v>
      </c>
    </row>
    <row r="113" spans="1:13" x14ac:dyDescent="0.3">
      <c r="A113" t="str">
        <f t="shared" si="1"/>
        <v>T0112</v>
      </c>
      <c r="B113" s="1">
        <v>45718</v>
      </c>
      <c r="C113" t="str" cm="1">
        <f t="array" aca="1" ref="C113" ca="1">IF($O$7="Desbloqueado",
  _xlfn.LET(
    _xlpm.saldo_atual, SUM(($C$2:$C112="Entrada")*($F$2:$F112=Tabela_Movimentacao_Geral[[#This Row],[ID Produto]])*($H$2:$H112) - ($C$2:$C112="Saida")*($F$2:$F112=Tabela_Movimentacao_Geral[[#This Row],[ID Produto]])*($H$2:$H112)),
    IF(_xlpm.saldo_atual &gt; 0, IF(RANDBETWEEN(0,10)&gt;3,"Saida","Entrada"), "Entrada")
  ),
  Tabela_Movimentacao_Geral[[#This Row],[Tipo Fluxo]]
)</f>
        <v>Saida</v>
      </c>
      <c r="D1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1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113" t="str">
        <f ca="1">IF(
  $O$7="Desbloqueado",
  "PROD"&amp;TEXT(RANDBETWEEN(1,200),"000"),
  Tabela_Movimentacao_Geral[[#This Row],[ID Produto]]
)</f>
        <v>PROD057</v>
      </c>
      <c r="G113" t="str">
        <f ca="1">_xlfn.XLOOKUP(Tabela_Movimentacao_Geral[[#This Row],[ID Produto]], Tabela_Produtos[ID_Produto],Tabela_Produtos[Descricao_Produto],"Produto não encontrado")</f>
        <v>Caneta Esferografica Azul</v>
      </c>
      <c r="H113" cm="1">
        <f t="array" aca="1" ref="H113" ca="1">IF(
   $O$7="Desbloqueado",
   _xlfn.LET(
     _xlpm.saldo_atual, SUM(($C$2:$C112="Entrada")*($F$2:$F112=Tabela_Movimentacao_Geral[[#This Row],[ID Produto]])*($H$2:$H112) - ($C$2:$C112="Saida")*($F$2:$F112=Tabela_Movimentacao_Geral[[#This Row],[ID Produto]])*($H$2:$H112)),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266</v>
      </c>
      <c r="I113" s="5">
        <f ca="1">_xlfn.XLOOKUP(Tabela_Movimentacao_Geral[[#This Row],[ID Produto]], Tabela_Produtos[ID_Produto],Tabela_Produtos[Preco_Unitario_Venda])</f>
        <v>1.5</v>
      </c>
      <c r="J113" s="6">
        <f ca="1">Tabela_Movimentacao_Geral[[#This Row],[Quantidade]] * Tabela_Movimentacao_Geral[[#This Row],[Valor Unitário]]</f>
        <v>399</v>
      </c>
      <c r="K113" t="str">
        <f ca="1">IF(
   $O$7="Desbloqueado",
   CHOOSE(RANDBETWEEN(1,3),"Pago","Pendente","Atrasado"),
   Tabela_Movimentacao_Geral[[#This Row],[Status Financeiro]]
)</f>
        <v>Atrasado</v>
      </c>
      <c r="L113" t="str">
        <f ca="1">IF(
   $O$7="Desbloqueado",
   CHOOSE(RANDBETWEEN(1,3),"Entregue","Em Rota","Aguardando"),
   Tabela_Movimentacao_Geral[[#This Row],[Status Logistico]]
)</f>
        <v>Em Rota</v>
      </c>
      <c r="M11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14" spans="1:13" x14ac:dyDescent="0.3">
      <c r="A114" t="str">
        <f t="shared" si="1"/>
        <v>T0113</v>
      </c>
      <c r="B114" s="1">
        <v>45719</v>
      </c>
      <c r="C114" t="str" cm="1">
        <f t="array" aca="1" ref="C114" ca="1">IF($O$7="Desbloqueado",
  _xlfn.LET(
    _xlpm.saldo_atual, SUM(($C$2:$C113="Entrada")*($F$2:$F113=Tabela_Movimentacao_Geral[[#This Row],[ID Produto]])*($H$2:$H113) - ($C$2:$C113="Saida")*($F$2:$F113=Tabela_Movimentacao_Geral[[#This Row],[ID Produto]])*($H$2:$H113)),
    IF(_xlpm.saldo_atual &gt; 0, IF(RANDBETWEEN(0,10)&gt;3,"Saida","Entrada"), "Entrada")
  ),
  Tabela_Movimentacao_Geral[[#This Row],[Tipo Fluxo]]
)</f>
        <v>Entrada</v>
      </c>
      <c r="D1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1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114" t="str">
        <f ca="1">IF(
  $O$7="Desbloqueado",
  "PROD"&amp;TEXT(RANDBETWEEN(1,200),"000"),
  Tabela_Movimentacao_Geral[[#This Row],[ID Produto]]
)</f>
        <v>PROD012</v>
      </c>
      <c r="G114" t="str">
        <f ca="1">_xlfn.XLOOKUP(Tabela_Movimentacao_Geral[[#This Row],[ID Produto]], Tabela_Produtos[ID_Produto],Tabela_Produtos[Descricao_Produto],"Produto não encontrado")</f>
        <v>Webcam 1080p Business</v>
      </c>
      <c r="H114" cm="1">
        <f t="array" aca="1" ref="H114" ca="1">IF(
   $O$7="Desbloqueado",
   _xlfn.LET(
     _xlpm.saldo_atual, SUM(($C$2:$C113="Entrada")*($F$2:$F113=Tabela_Movimentacao_Geral[[#This Row],[ID Produto]])*($H$2:$H113) - ($C$2:$C113="Saida")*($F$2:$F113=Tabela_Movimentacao_Geral[[#This Row],[ID Produto]])*($H$2:$H113)),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37</v>
      </c>
      <c r="I114" s="5">
        <f ca="1">_xlfn.XLOOKUP(Tabela_Movimentacao_Geral[[#This Row],[ID Produto]], Tabela_Produtos[ID_Produto],Tabela_Produtos[Preco_Unitario_Venda])</f>
        <v>450</v>
      </c>
      <c r="J114" s="6">
        <f ca="1">Tabela_Movimentacao_Geral[[#This Row],[Quantidade]] * Tabela_Movimentacao_Geral[[#This Row],[Valor Unitário]]</f>
        <v>16650</v>
      </c>
      <c r="K114" t="str">
        <f ca="1">IF(
   $O$7="Desbloqueado",
   CHOOSE(RANDBETWEEN(1,3),"Pago","Pendente","Atrasado"),
   Tabela_Movimentacao_Geral[[#This Row],[Status Financeiro]]
)</f>
        <v>Atrasado</v>
      </c>
      <c r="L114" t="str">
        <f ca="1">IF(
   $O$7="Desbloqueado",
   CHOOSE(RANDBETWEEN(1,3),"Entregue","Em Rota","Aguardando"),
   Tabela_Movimentacao_Geral[[#This Row],[Status Logistico]]
)</f>
        <v>Entregue</v>
      </c>
      <c r="M11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45720</v>
      </c>
    </row>
    <row r="115" spans="1:13" x14ac:dyDescent="0.3">
      <c r="A115" t="str">
        <f t="shared" si="1"/>
        <v>T0114</v>
      </c>
      <c r="B115" s="1">
        <v>45720</v>
      </c>
      <c r="C115" t="str" cm="1">
        <f t="array" aca="1" ref="C115" ca="1">IF($O$7="Desbloqueado",
  _xlfn.LET(
    _xlpm.saldo_atual, SUM(($C$2:$C114="Entrada")*($F$2:$F114=Tabela_Movimentacao_Geral[[#This Row],[ID Produto]])*($H$2:$H114) - ($C$2:$C114="Saida")*($F$2:$F114=Tabela_Movimentacao_Geral[[#This Row],[ID Produto]])*($H$2:$H114)),
    IF(_xlpm.saldo_atual &gt; 0, IF(RANDBETWEEN(0,10)&gt;3,"Saida","Entrada"), "Entrada")
  ),
  Tabela_Movimentacao_Geral[[#This Row],[Tipo Fluxo]]
)</f>
        <v>Entrada</v>
      </c>
      <c r="D1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1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15" t="str">
        <f ca="1">IF(
  $O$7="Desbloqueado",
  "PROD"&amp;TEXT(RANDBETWEEN(1,200),"000"),
  Tabela_Movimentacao_Geral[[#This Row],[ID Produto]]
)</f>
        <v>PROD013</v>
      </c>
      <c r="G115" t="str">
        <f ca="1">_xlfn.XLOOKUP(Tabela_Movimentacao_Geral[[#This Row],[ID Produto]], Tabela_Produtos[ID_Produto],Tabela_Produtos[Descricao_Produto],"Produto não encontrado")</f>
        <v>Headset com Microfone</v>
      </c>
      <c r="H115" cm="1">
        <f t="array" aca="1" ref="H115" ca="1">IF(
   $O$7="Desbloqueado",
   _xlfn.LET(
     _xlpm.saldo_atual, SUM(($C$2:$C114="Entrada")*($F$2:$F114=Tabela_Movimentacao_Geral[[#This Row],[ID Produto]])*($H$2:$H114) - ($C$2:$C114="Saida")*($F$2:$F114=Tabela_Movimentacao_Geral[[#This Row],[ID Produto]])*($H$2:$H114)),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88</v>
      </c>
      <c r="I115" s="5">
        <f ca="1">_xlfn.XLOOKUP(Tabela_Movimentacao_Geral[[#This Row],[ID Produto]], Tabela_Produtos[ID_Produto],Tabela_Produtos[Preco_Unitario_Venda])</f>
        <v>180</v>
      </c>
      <c r="J115" s="6">
        <f ca="1">Tabela_Movimentacao_Geral[[#This Row],[Quantidade]] * Tabela_Movimentacao_Geral[[#This Row],[Valor Unitário]]</f>
        <v>15840</v>
      </c>
      <c r="K115" t="str">
        <f ca="1">IF(
   $O$7="Desbloqueado",
   CHOOSE(RANDBETWEEN(1,3),"Pago","Pendente","Atrasado"),
   Tabela_Movimentacao_Geral[[#This Row],[Status Financeiro]]
)</f>
        <v>Pendente</v>
      </c>
      <c r="L115" t="str">
        <f ca="1">IF(
   $O$7="Desbloqueado",
   CHOOSE(RANDBETWEEN(1,3),"Entregue","Em Rota","Aguardando"),
   Tabela_Movimentacao_Geral[[#This Row],[Status Logistico]]
)</f>
        <v>Entregue</v>
      </c>
      <c r="M11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45721</v>
      </c>
    </row>
    <row r="116" spans="1:13" x14ac:dyDescent="0.3">
      <c r="A116" t="str">
        <f t="shared" si="1"/>
        <v>T0115</v>
      </c>
      <c r="B116" s="1">
        <v>45721</v>
      </c>
      <c r="C116" t="str" cm="1">
        <f t="array" aca="1" ref="C116" ca="1">IF($O$7="Desbloqueado",
  _xlfn.LET(
    _xlpm.saldo_atual, SUM(($C$2:$C115="Entrada")*($F$2:$F115=Tabela_Movimentacao_Geral[[#This Row],[ID Produto]])*($H$2:$H115) - ($C$2:$C115="Saida")*($F$2:$F115=Tabela_Movimentacao_Geral[[#This Row],[ID Produto]])*($H$2:$H115)),
    IF(_xlpm.saldo_atual &gt; 0, IF(RANDBETWEEN(0,10)&gt;3,"Saida","Entrada"), "Entrada")
  ),
  Tabela_Movimentacao_Geral[[#This Row],[Tipo Fluxo]]
)</f>
        <v>Saida</v>
      </c>
      <c r="D1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1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116" t="str">
        <f ca="1">IF(
  $O$7="Desbloqueado",
  "PROD"&amp;TEXT(RANDBETWEEN(1,200),"000"),
  Tabela_Movimentacao_Geral[[#This Row],[ID Produto]]
)</f>
        <v>PROD109</v>
      </c>
      <c r="G116" t="str">
        <f ca="1">_xlfn.XLOOKUP(Tabela_Movimentacao_Geral[[#This Row],[ID Produto]], Tabela_Produtos[ID_Produto],Tabela_Produtos[Descricao_Produto],"Produto não encontrado")</f>
        <v>Cabo DisplayPort 1.4</v>
      </c>
      <c r="H116" cm="1">
        <f t="array" aca="1" ref="H116" ca="1">IF(
   $O$7="Desbloqueado",
   _xlfn.LET(
     _xlpm.saldo_atual, SUM(($C$2:$C115="Entrada")*($F$2:$F115=Tabela_Movimentacao_Geral[[#This Row],[ID Produto]])*($H$2:$H115) - ($C$2:$C115="Saida")*($F$2:$F115=Tabela_Movimentacao_Geral[[#This Row],[ID Produto]])*($H$2:$H115)),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116" s="5">
        <f ca="1">_xlfn.XLOOKUP(Tabela_Movimentacao_Geral[[#This Row],[ID Produto]], Tabela_Produtos[ID_Produto],Tabela_Produtos[Preco_Unitario_Venda])</f>
        <v>75</v>
      </c>
      <c r="J116" s="6">
        <f ca="1">Tabela_Movimentacao_Geral[[#This Row],[Quantidade]] * Tabela_Movimentacao_Geral[[#This Row],[Valor Unitário]]</f>
        <v>6375</v>
      </c>
      <c r="K116" t="str">
        <f ca="1">IF(
   $O$7="Desbloqueado",
   CHOOSE(RANDBETWEEN(1,3),"Pago","Pendente","Atrasado"),
   Tabela_Movimentacao_Geral[[#This Row],[Status Financeiro]]
)</f>
        <v>Pago</v>
      </c>
      <c r="L116" t="str">
        <f ca="1">IF(
   $O$7="Desbloqueado",
   CHOOSE(RANDBETWEEN(1,3),"Entregue","Em Rota","Aguardando"),
   Tabela_Movimentacao_Geral[[#This Row],[Status Logistico]]
)</f>
        <v>Aguardando</v>
      </c>
      <c r="M11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17" spans="1:13" x14ac:dyDescent="0.3">
      <c r="A117" t="str">
        <f t="shared" si="1"/>
        <v>T0116</v>
      </c>
      <c r="B117" s="1">
        <v>45722</v>
      </c>
      <c r="C117" t="str" cm="1">
        <f t="array" aca="1" ref="C117" ca="1">IF($O$7="Desbloqueado",
  _xlfn.LET(
    _xlpm.saldo_atual, SUM(($C$2:$C116="Entrada")*($F$2:$F116=Tabela_Movimentacao_Geral[[#This Row],[ID Produto]])*($H$2:$H116) - ($C$2:$C116="Saida")*($F$2:$F116=Tabela_Movimentacao_Geral[[#This Row],[ID Produto]])*($H$2:$H116)),
    IF(_xlpm.saldo_atual &gt; 0, IF(RANDBETWEEN(0,10)&gt;3,"Saida","Entrada"), "Entrada")
  ),
  Tabela_Movimentacao_Geral[[#This Row],[Tipo Fluxo]]
)</f>
        <v>Saida</v>
      </c>
      <c r="D1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1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117" t="str">
        <f ca="1">IF(
  $O$7="Desbloqueado",
  "PROD"&amp;TEXT(RANDBETWEEN(1,200),"000"),
  Tabela_Movimentacao_Geral[[#This Row],[ID Produto]]
)</f>
        <v>PROD177</v>
      </c>
      <c r="G117" t="str">
        <f ca="1">_xlfn.XLOOKUP(Tabela_Movimentacao_Geral[[#This Row],[ID Produto]], Tabela_Produtos[ID_Produto],Tabela_Produtos[Descricao_Produto],"Produto não encontrado")</f>
        <v>Estante de Aco 6 Prateiras</v>
      </c>
      <c r="H117" cm="1">
        <f t="array" aca="1" ref="H117" ca="1">IF(
   $O$7="Desbloqueado",
   _xlfn.LET(
     _xlpm.saldo_atual, SUM(($C$2:$C116="Entrada")*($F$2:$F116=Tabela_Movimentacao_Geral[[#This Row],[ID Produto]])*($H$2:$H116) - ($C$2:$C116="Saida")*($F$2:$F116=Tabela_Movimentacao_Geral[[#This Row],[ID Produto]])*($H$2:$H116)),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117" s="5">
        <f ca="1">_xlfn.XLOOKUP(Tabela_Movimentacao_Geral[[#This Row],[ID Produto]], Tabela_Produtos[ID_Produto],Tabela_Produtos[Preco_Unitario_Venda])</f>
        <v>280</v>
      </c>
      <c r="J117" s="6">
        <f ca="1">Tabela_Movimentacao_Geral[[#This Row],[Quantidade]] * Tabela_Movimentacao_Geral[[#This Row],[Valor Unitário]]</f>
        <v>560</v>
      </c>
      <c r="K117" t="str">
        <f ca="1">IF(
   $O$7="Desbloqueado",
   CHOOSE(RANDBETWEEN(1,3),"Pago","Pendente","Atrasado"),
   Tabela_Movimentacao_Geral[[#This Row],[Status Financeiro]]
)</f>
        <v>Pendente</v>
      </c>
      <c r="L117" t="str">
        <f ca="1">IF(
   $O$7="Desbloqueado",
   CHOOSE(RANDBETWEEN(1,3),"Entregue","Em Rota","Aguardando"),
   Tabela_Movimentacao_Geral[[#This Row],[Status Logistico]]
)</f>
        <v>Aguardando</v>
      </c>
      <c r="M11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18" spans="1:13" x14ac:dyDescent="0.3">
      <c r="A118" t="str">
        <f t="shared" si="1"/>
        <v>T0117</v>
      </c>
      <c r="B118" s="1">
        <v>45722</v>
      </c>
      <c r="C118" t="str" cm="1">
        <f t="array" aca="1" ref="C118" ca="1">IF($O$7="Desbloqueado",
  _xlfn.LET(
    _xlpm.saldo_atual, SUM(($C$2:$C117="Entrada")*($F$2:$F117=Tabela_Movimentacao_Geral[[#This Row],[ID Produto]])*($H$2:$H117) - ($C$2:$C117="Saida")*($F$2:$F117=Tabela_Movimentacao_Geral[[#This Row],[ID Produto]])*($H$2:$H117)),
    IF(_xlpm.saldo_atual &gt; 0, IF(RANDBETWEEN(0,10)&gt;3,"Saida","Entrada"), "Entrada")
  ),
  Tabela_Movimentacao_Geral[[#This Row],[Tipo Fluxo]]
)</f>
        <v>Entrada</v>
      </c>
      <c r="D1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1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118" t="str">
        <f ca="1">IF(
  $O$7="Desbloqueado",
  "PROD"&amp;TEXT(RANDBETWEEN(1,200),"000"),
  Tabela_Movimentacao_Geral[[#This Row],[ID Produto]]
)</f>
        <v>PROD125</v>
      </c>
      <c r="G118" t="str">
        <f ca="1">_xlfn.XLOOKUP(Tabela_Movimentacao_Geral[[#This Row],[ID Produto]], Tabela_Produtos[ID_Produto],Tabela_Produtos[Descricao_Produto],"Produto não encontrado")</f>
        <v>Licenca Firewall Sophos</v>
      </c>
      <c r="H118" cm="1">
        <f t="array" aca="1" ref="H118" ca="1">IF(
   $O$7="Desbloqueado",
   _xlfn.LET(
     _xlpm.saldo_atual, SUM(($C$2:$C117="Entrada")*($F$2:$F117=Tabela_Movimentacao_Geral[[#This Row],[ID Produto]])*($H$2:$H117) - ($C$2:$C117="Saida")*($F$2:$F117=Tabela_Movimentacao_Geral[[#This Row],[ID Produto]])*($H$2:$H117)),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118" s="5">
        <f ca="1">_xlfn.XLOOKUP(Tabela_Movimentacao_Geral[[#This Row],[ID Produto]], Tabela_Produtos[ID_Produto],Tabela_Produtos[Preco_Unitario_Venda])</f>
        <v>3200</v>
      </c>
      <c r="J118" s="6">
        <f ca="1">Tabela_Movimentacao_Geral[[#This Row],[Quantidade]] * Tabela_Movimentacao_Geral[[#This Row],[Valor Unitário]]</f>
        <v>144000</v>
      </c>
      <c r="K118" t="str">
        <f ca="1">IF(
   $O$7="Desbloqueado",
   CHOOSE(RANDBETWEEN(1,3),"Pago","Pendente","Atrasado"),
   Tabela_Movimentacao_Geral[[#This Row],[Status Financeiro]]
)</f>
        <v>Pendente</v>
      </c>
      <c r="L118" t="str">
        <f ca="1">IF(
   $O$7="Desbloqueado",
   CHOOSE(RANDBETWEEN(1,3),"Entregue","Em Rota","Aguardando"),
   Tabela_Movimentacao_Geral[[#This Row],[Status Logistico]]
)</f>
        <v>Entregue</v>
      </c>
      <c r="M11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45727</v>
      </c>
    </row>
    <row r="119" spans="1:13" x14ac:dyDescent="0.3">
      <c r="A119" t="str">
        <f t="shared" si="1"/>
        <v>T0118</v>
      </c>
      <c r="B119" s="1">
        <v>45723</v>
      </c>
      <c r="C119" t="str" cm="1">
        <f t="array" aca="1" ref="C119" ca="1">IF($O$7="Desbloqueado",
  _xlfn.LET(
    _xlpm.saldo_atual, SUM(($C$2:$C118="Entrada")*($F$2:$F118=Tabela_Movimentacao_Geral[[#This Row],[ID Produto]])*($H$2:$H118) - ($C$2:$C118="Saida")*($F$2:$F118=Tabela_Movimentacao_Geral[[#This Row],[ID Produto]])*($H$2:$H118)),
    IF(_xlpm.saldo_atual &gt; 0, IF(RANDBETWEEN(0,10)&gt;3,"Saida","Entrada"), "Entrada")
  ),
  Tabela_Movimentacao_Geral[[#This Row],[Tipo Fluxo]]
)</f>
        <v>Entrada</v>
      </c>
      <c r="D1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1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119" t="str">
        <f ca="1">IF(
  $O$7="Desbloqueado",
  "PROD"&amp;TEXT(RANDBETWEEN(1,200),"000"),
  Tabela_Movimentacao_Geral[[#This Row],[ID Produto]]
)</f>
        <v>PROD141</v>
      </c>
      <c r="G119" t="str">
        <f ca="1">_xlfn.XLOOKUP(Tabela_Movimentacao_Geral[[#This Row],[ID Produto]], Tabela_Produtos[ID_Produto],Tabela_Produtos[Descricao_Produto],"Produto não encontrado")</f>
        <v>Filtro Privacidade 14pol</v>
      </c>
      <c r="H119" cm="1">
        <f t="array" aca="1" ref="H119" ca="1">IF(
   $O$7="Desbloqueado",
   _xlfn.LET(
     _xlpm.saldo_atual, SUM(($C$2:$C118="Entrada")*($F$2:$F118=Tabela_Movimentacao_Geral[[#This Row],[ID Produto]])*($H$2:$H118) - ($C$2:$C118="Saida")*($F$2:$F118=Tabela_Movimentacao_Geral[[#This Row],[ID Produto]])*($H$2:$H118)),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119" s="5">
        <f ca="1">_xlfn.XLOOKUP(Tabela_Movimentacao_Geral[[#This Row],[ID Produto]], Tabela_Produtos[ID_Produto],Tabela_Produtos[Preco_Unitario_Venda])</f>
        <v>190</v>
      </c>
      <c r="J119" s="6">
        <f ca="1">Tabela_Movimentacao_Geral[[#This Row],[Quantidade]] * Tabela_Movimentacao_Geral[[#This Row],[Valor Unitário]]</f>
        <v>16150</v>
      </c>
      <c r="K119" t="str">
        <f ca="1">IF(
   $O$7="Desbloqueado",
   CHOOSE(RANDBETWEEN(1,3),"Pago","Pendente","Atrasado"),
   Tabela_Movimentacao_Geral[[#This Row],[Status Financeiro]]
)</f>
        <v>Pendente</v>
      </c>
      <c r="L119" t="str">
        <f ca="1">IF(
   $O$7="Desbloqueado",
   CHOOSE(RANDBETWEEN(1,3),"Entregue","Em Rota","Aguardando"),
   Tabela_Movimentacao_Geral[[#This Row],[Status Logistico]]
)</f>
        <v>Aguardando</v>
      </c>
      <c r="M11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45725</v>
      </c>
    </row>
    <row r="120" spans="1:13" x14ac:dyDescent="0.3">
      <c r="A120" t="str">
        <f t="shared" si="1"/>
        <v>T0119</v>
      </c>
      <c r="B120" s="1">
        <v>45723</v>
      </c>
      <c r="C120" t="str" cm="1">
        <f t="array" aca="1" ref="C120" ca="1">IF($O$7="Desbloqueado",
  _xlfn.LET(
    _xlpm.saldo_atual, SUM(($C$2:$C119="Entrada")*($F$2:$F119=Tabela_Movimentacao_Geral[[#This Row],[ID Produto]])*($H$2:$H119) - ($C$2:$C119="Saida")*($F$2:$F119=Tabela_Movimentacao_Geral[[#This Row],[ID Produto]])*($H$2:$H119)),
    IF(_xlpm.saldo_atual &gt; 0, IF(RANDBETWEEN(0,10)&gt;3,"Saida","Entrada"), "Entrada")
  ),
  Tabela_Movimentacao_Geral[[#This Row],[Tipo Fluxo]]
)</f>
        <v>Entrada</v>
      </c>
      <c r="D1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1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120" t="str">
        <f ca="1">IF(
  $O$7="Desbloqueado",
  "PROD"&amp;TEXT(RANDBETWEEN(1,200),"000"),
  Tabela_Movimentacao_Geral[[#This Row],[ID Produto]]
)</f>
        <v>PROD027</v>
      </c>
      <c r="G120" t="str">
        <f ca="1">_xlfn.XLOOKUP(Tabela_Movimentacao_Geral[[#This Row],[ID Produto]], Tabela_Produtos[ID_Produto],Tabela_Produtos[Descricao_Produto],"Produto não encontrado")</f>
        <v>Hub USB 3.0 4 Portas</v>
      </c>
      <c r="H120" cm="1">
        <f t="array" aca="1" ref="H120" ca="1">IF(
   $O$7="Desbloqueado",
   _xlfn.LET(
     _xlpm.saldo_atual, SUM(($C$2:$C119="Entrada")*($F$2:$F119=Tabela_Movimentacao_Geral[[#This Row],[ID Produto]])*($H$2:$H119) - ($C$2:$C119="Saida")*($F$2:$F119=Tabela_Movimentacao_Geral[[#This Row],[ID Produto]])*($H$2:$H119)),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108</v>
      </c>
      <c r="I120" s="5">
        <f ca="1">_xlfn.XLOOKUP(Tabela_Movimentacao_Geral[[#This Row],[ID Produto]], Tabela_Produtos[ID_Produto],Tabela_Produtos[Preco_Unitario_Venda])</f>
        <v>75</v>
      </c>
      <c r="J120" s="6">
        <f ca="1">Tabela_Movimentacao_Geral[[#This Row],[Quantidade]] * Tabela_Movimentacao_Geral[[#This Row],[Valor Unitário]]</f>
        <v>8100</v>
      </c>
      <c r="K120" t="str">
        <f ca="1">IF(
   $O$7="Desbloqueado",
   CHOOSE(RANDBETWEEN(1,3),"Pago","Pendente","Atrasado"),
   Tabela_Movimentacao_Geral[[#This Row],[Status Financeiro]]
)</f>
        <v>Atrasado</v>
      </c>
      <c r="L120" t="str">
        <f ca="1">IF(
   $O$7="Desbloqueado",
   CHOOSE(RANDBETWEEN(1,3),"Entregue","Em Rota","Aguardando"),
   Tabela_Movimentacao_Geral[[#This Row],[Status Logistico]]
)</f>
        <v>Entregue</v>
      </c>
      <c r="M12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45725</v>
      </c>
    </row>
    <row r="121" spans="1:13" x14ac:dyDescent="0.3">
      <c r="A121" t="str">
        <f t="shared" si="1"/>
        <v>T0120</v>
      </c>
      <c r="B121" s="1">
        <v>45724</v>
      </c>
      <c r="C121" t="str" cm="1">
        <f t="array" aca="1" ref="C121" ca="1">IF($O$7="Desbloqueado",
  _xlfn.LET(
    _xlpm.saldo_atual, SUM(($C$2:$C120="Entrada")*($F$2:$F120=Tabela_Movimentacao_Geral[[#This Row],[ID Produto]])*($H$2:$H120) - ($C$2:$C120="Saida")*($F$2:$F120=Tabela_Movimentacao_Geral[[#This Row],[ID Produto]])*($H$2:$H120)),
    IF(_xlpm.saldo_atual &gt; 0, IF(RANDBETWEEN(0,10)&gt;3,"Saida","Entrada"), "Entrada")
  ),
  Tabela_Movimentacao_Geral[[#This Row],[Tipo Fluxo]]
)</f>
        <v>Entrada</v>
      </c>
      <c r="D1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1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121" t="str">
        <f ca="1">IF(
  $O$7="Desbloqueado",
  "PROD"&amp;TEXT(RANDBETWEEN(1,200),"000"),
  Tabela_Movimentacao_Geral[[#This Row],[ID Produto]]
)</f>
        <v>PROD031</v>
      </c>
      <c r="G121" t="str">
        <f ca="1">_xlfn.XLOOKUP(Tabela_Movimentacao_Geral[[#This Row],[ID Produto]], Tabela_Produtos[ID_Produto],Tabela_Produtos[Descricao_Produto],"Produto não encontrado")</f>
        <v>Nobreak 1500VA Biz</v>
      </c>
      <c r="H121" cm="1">
        <f t="array" aca="1" ref="H121" ca="1">IF(
   $O$7="Desbloqueado",
   _xlfn.LET(
     _xlpm.saldo_atual, SUM(($C$2:$C120="Entrada")*($F$2:$F120=Tabela_Movimentacao_Geral[[#This Row],[ID Produto]])*($H$2:$H120) - ($C$2:$C120="Saida")*($F$2:$F120=Tabela_Movimentacao_Geral[[#This Row],[ID Produto]])*($H$2:$H120)),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121" s="5">
        <f ca="1">_xlfn.XLOOKUP(Tabela_Movimentacao_Geral[[#This Row],[ID Produto]], Tabela_Produtos[ID_Produto],Tabela_Produtos[Preco_Unitario_Venda])</f>
        <v>1450</v>
      </c>
      <c r="J121" s="6">
        <f ca="1">Tabela_Movimentacao_Geral[[#This Row],[Quantidade]] * Tabela_Movimentacao_Geral[[#This Row],[Valor Unitário]]</f>
        <v>26100</v>
      </c>
      <c r="K121" t="str">
        <f ca="1">IF(
   $O$7="Desbloqueado",
   CHOOSE(RANDBETWEEN(1,3),"Pago","Pendente","Atrasado"),
   Tabela_Movimentacao_Geral[[#This Row],[Status Financeiro]]
)</f>
        <v>Pendente</v>
      </c>
      <c r="L121" t="str">
        <f ca="1">IF(
   $O$7="Desbloqueado",
   CHOOSE(RANDBETWEEN(1,3),"Entregue","Em Rota","Aguardando"),
   Tabela_Movimentacao_Geral[[#This Row],[Status Logistico]]
)</f>
        <v>Entregue</v>
      </c>
      <c r="M12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45734</v>
      </c>
    </row>
    <row r="122" spans="1:13" x14ac:dyDescent="0.3">
      <c r="A122" t="str">
        <f t="shared" si="1"/>
        <v>T0121</v>
      </c>
      <c r="B122" s="1">
        <v>45724</v>
      </c>
      <c r="C122" t="str" cm="1">
        <f t="array" aca="1" ref="C122" ca="1">IF($O$7="Desbloqueado",
  _xlfn.LET(
    _xlpm.saldo_atual, SUM(($C$2:$C121="Entrada")*($F$2:$F121=Tabela_Movimentacao_Geral[[#This Row],[ID Produto]])*($H$2:$H121) - ($C$2:$C121="Saida")*($F$2:$F121=Tabela_Movimentacao_Geral[[#This Row],[ID Produto]])*($H$2:$H121)),
    IF(_xlpm.saldo_atual &gt; 0, IF(RANDBETWEEN(0,10)&gt;3,"Saida","Entrada"), "Entrada")
  ),
  Tabela_Movimentacao_Geral[[#This Row],[Tipo Fluxo]]
)</f>
        <v>Entrada</v>
      </c>
      <c r="D1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1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122" t="str">
        <f ca="1">IF(
  $O$7="Desbloqueado",
  "PROD"&amp;TEXT(RANDBETWEEN(1,200),"000"),
  Tabela_Movimentacao_Geral[[#This Row],[ID Produto]]
)</f>
        <v>PROD115</v>
      </c>
      <c r="G122" t="str">
        <f ca="1">_xlfn.XLOOKUP(Tabela_Movimentacao_Geral[[#This Row],[ID Produto]], Tabela_Produtos[ID_Produto],Tabela_Produtos[Descricao_Produto],"Produto não encontrado")</f>
        <v>Switch Poe 8 Portas</v>
      </c>
      <c r="H122" cm="1">
        <f t="array" aca="1" ref="H122" ca="1">IF(
   $O$7="Desbloqueado",
   _xlfn.LET(
     _xlpm.saldo_atual, SUM(($C$2:$C121="Entrada")*($F$2:$F121=Tabela_Movimentacao_Geral[[#This Row],[ID Produto]])*($H$2:$H121) - ($C$2:$C121="Saida")*($F$2:$F121=Tabela_Movimentacao_Geral[[#This Row],[ID Produto]])*($H$2:$H121)),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106</v>
      </c>
      <c r="I122" s="5">
        <f ca="1">_xlfn.XLOOKUP(Tabela_Movimentacao_Geral[[#This Row],[ID Produto]], Tabela_Produtos[ID_Produto],Tabela_Produtos[Preco_Unitario_Venda])</f>
        <v>980</v>
      </c>
      <c r="J122" s="6">
        <f ca="1">Tabela_Movimentacao_Geral[[#This Row],[Quantidade]] * Tabela_Movimentacao_Geral[[#This Row],[Valor Unitário]]</f>
        <v>103880</v>
      </c>
      <c r="K122" t="str">
        <f ca="1">IF(
   $O$7="Desbloqueado",
   CHOOSE(RANDBETWEEN(1,3),"Pago","Pendente","Atrasado"),
   Tabela_Movimentacao_Geral[[#This Row],[Status Financeiro]]
)</f>
        <v>Pago</v>
      </c>
      <c r="L122" t="str">
        <f ca="1">IF(
   $O$7="Desbloqueado",
   CHOOSE(RANDBETWEEN(1,3),"Entregue","Em Rota","Aguardando"),
   Tabela_Movimentacao_Geral[[#This Row],[Status Logistico]]
)</f>
        <v>Entregue</v>
      </c>
      <c r="M12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45725</v>
      </c>
    </row>
    <row r="123" spans="1:13" x14ac:dyDescent="0.3">
      <c r="A123" t="str">
        <f t="shared" si="1"/>
        <v>T0122</v>
      </c>
      <c r="B123" s="1">
        <v>45725</v>
      </c>
      <c r="C123" t="str" cm="1">
        <f t="array" aca="1" ref="C123" ca="1">IF($O$7="Desbloqueado",
  _xlfn.LET(
    _xlpm.saldo_atual, SUM(($C$2:$C122="Entrada")*($F$2:$F122=Tabela_Movimentacao_Geral[[#This Row],[ID Produto]])*($H$2:$H122) - ($C$2:$C122="Saida")*($F$2:$F122=Tabela_Movimentacao_Geral[[#This Row],[ID Produto]])*($H$2:$H122)),
    IF(_xlpm.saldo_atual &gt; 0, IF(RANDBETWEEN(0,10)&gt;3,"Saida","Entrada"), "Entrada")
  ),
  Tabela_Movimentacao_Geral[[#This Row],[Tipo Fluxo]]
)</f>
        <v>Entrada</v>
      </c>
      <c r="D1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1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123" t="str">
        <f ca="1">IF(
  $O$7="Desbloqueado",
  "PROD"&amp;TEXT(RANDBETWEEN(1,200),"000"),
  Tabela_Movimentacao_Geral[[#This Row],[ID Produto]]
)</f>
        <v>PROD173</v>
      </c>
      <c r="G123" t="str">
        <f ca="1">_xlfn.XLOOKUP(Tabela_Movimentacao_Geral[[#This Row],[ID Produto]], Tabela_Produtos[ID_Produto],Tabela_Produtos[Descricao_Produto],"Produto não encontrado")</f>
        <v>Fita para Empacotamento</v>
      </c>
      <c r="H123" cm="1">
        <f t="array" aca="1" ref="H123" ca="1">IF(
   $O$7="Desbloqueado",
   _xlfn.LET(
     _xlpm.saldo_atual, SUM(($C$2:$C122="Entrada")*($F$2:$F122=Tabela_Movimentacao_Geral[[#This Row],[ID Produto]])*($H$2:$H122) - ($C$2:$C122="Saida")*($F$2:$F122=Tabela_Movimentacao_Geral[[#This Row],[ID Produto]])*($H$2:$H122)),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126</v>
      </c>
      <c r="I123" s="5">
        <f ca="1">_xlfn.XLOOKUP(Tabela_Movimentacao_Geral[[#This Row],[ID Produto]], Tabela_Produtos[ID_Produto],Tabela_Produtos[Preco_Unitario_Venda])</f>
        <v>15</v>
      </c>
      <c r="J123" s="6">
        <f ca="1">Tabela_Movimentacao_Geral[[#This Row],[Quantidade]] * Tabela_Movimentacao_Geral[[#This Row],[Valor Unitário]]</f>
        <v>1890</v>
      </c>
      <c r="K123" t="str">
        <f ca="1">IF(
   $O$7="Desbloqueado",
   CHOOSE(RANDBETWEEN(1,3),"Pago","Pendente","Atrasado"),
   Tabela_Movimentacao_Geral[[#This Row],[Status Financeiro]]
)</f>
        <v>Pendente</v>
      </c>
      <c r="L123" t="str">
        <f ca="1">IF(
   $O$7="Desbloqueado",
   CHOOSE(RANDBETWEEN(1,3),"Entregue","Em Rota","Aguardando"),
   Tabela_Movimentacao_Geral[[#This Row],[Status Logistico]]
)</f>
        <v>Aguardando</v>
      </c>
      <c r="M12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45730</v>
      </c>
    </row>
    <row r="124" spans="1:13" x14ac:dyDescent="0.3">
      <c r="A124" t="str">
        <f t="shared" si="1"/>
        <v>T0123</v>
      </c>
      <c r="B124" s="1">
        <v>45725</v>
      </c>
      <c r="C124" t="str" cm="1">
        <f t="array" aca="1" ref="C124" ca="1">IF($O$7="Desbloqueado",
  _xlfn.LET(
    _xlpm.saldo_atual, SUM(($C$2:$C123="Entrada")*($F$2:$F123=Tabela_Movimentacao_Geral[[#This Row],[ID Produto]])*($H$2:$H123) - ($C$2:$C123="Saida")*($F$2:$F123=Tabela_Movimentacao_Geral[[#This Row],[ID Produto]])*($H$2:$H123)),
    IF(_xlpm.saldo_atual &gt; 0, IF(RANDBETWEEN(0,10)&gt;3,"Saida","Entrada"), "Entrada")
  ),
  Tabela_Movimentacao_Geral[[#This Row],[Tipo Fluxo]]
)</f>
        <v>Entrada</v>
      </c>
      <c r="D1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1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24" t="str">
        <f ca="1">IF(
  $O$7="Desbloqueado",
  "PROD"&amp;TEXT(RANDBETWEEN(1,200),"000"),
  Tabela_Movimentacao_Geral[[#This Row],[ID Produto]]
)</f>
        <v>PROD155</v>
      </c>
      <c r="G124" t="str">
        <f ca="1">_xlfn.XLOOKUP(Tabela_Movimentacao_Geral[[#This Row],[ID Produto]], Tabela_Produtos[ID_Produto],Tabela_Produtos[Descricao_Produto],"Produto não encontrado")</f>
        <v>Lâmina Estilete 10un</v>
      </c>
      <c r="H124" cm="1">
        <f t="array" aca="1" ref="H124" ca="1">IF(
   $O$7="Desbloqueado",
   _xlfn.LET(
     _xlpm.saldo_atual, SUM(($C$2:$C123="Entrada")*($F$2:$F123=Tabela_Movimentacao_Geral[[#This Row],[ID Produto]])*($H$2:$H123) - ($C$2:$C123="Saida")*($F$2:$F123=Tabela_Movimentacao_Geral[[#This Row],[ID Produto]])*($H$2:$H123)),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89</v>
      </c>
      <c r="I124" s="5">
        <f ca="1">_xlfn.XLOOKUP(Tabela_Movimentacao_Geral[[#This Row],[ID Produto]], Tabela_Produtos[ID_Produto],Tabela_Produtos[Preco_Unitario_Venda])</f>
        <v>12</v>
      </c>
      <c r="J124" s="6">
        <f ca="1">Tabela_Movimentacao_Geral[[#This Row],[Quantidade]] * Tabela_Movimentacao_Geral[[#This Row],[Valor Unitário]]</f>
        <v>1068</v>
      </c>
      <c r="K124" t="str">
        <f ca="1">IF(
   $O$7="Desbloqueado",
   CHOOSE(RANDBETWEEN(1,3),"Pago","Pendente","Atrasado"),
   Tabela_Movimentacao_Geral[[#This Row],[Status Financeiro]]
)</f>
        <v>Pago</v>
      </c>
      <c r="L124" t="str">
        <f ca="1">IF(
   $O$7="Desbloqueado",
   CHOOSE(RANDBETWEEN(1,3),"Entregue","Em Rota","Aguardando"),
   Tabela_Movimentacao_Geral[[#This Row],[Status Logistico]]
)</f>
        <v>Aguardando</v>
      </c>
      <c r="M12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45726</v>
      </c>
    </row>
    <row r="125" spans="1:13" x14ac:dyDescent="0.3">
      <c r="A125" t="str">
        <f t="shared" si="1"/>
        <v>T0124</v>
      </c>
      <c r="B125" s="1">
        <v>45725</v>
      </c>
      <c r="C125" t="str" cm="1">
        <f t="array" aca="1" ref="C125" ca="1">IF($O$7="Desbloqueado",
  _xlfn.LET(
    _xlpm.saldo_atual, SUM(($C$2:$C124="Entrada")*($F$2:$F124=Tabela_Movimentacao_Geral[[#This Row],[ID Produto]])*($H$2:$H124) - ($C$2:$C124="Saida")*($F$2:$F124=Tabela_Movimentacao_Geral[[#This Row],[ID Produto]])*($H$2:$H124)),
    IF(_xlpm.saldo_atual &gt; 0, IF(RANDBETWEEN(0,10)&gt;3,"Saida","Entrada"), "Entrada")
  ),
  Tabela_Movimentacao_Geral[[#This Row],[Tipo Fluxo]]
)</f>
        <v>Entrada</v>
      </c>
      <c r="D1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1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125" t="str">
        <f ca="1">IF(
  $O$7="Desbloqueado",
  "PROD"&amp;TEXT(RANDBETWEEN(1,200),"000"),
  Tabela_Movimentacao_Geral[[#This Row],[ID Produto]]
)</f>
        <v>PROD086</v>
      </c>
      <c r="G125" t="str">
        <f ca="1">_xlfn.XLOOKUP(Tabela_Movimentacao_Geral[[#This Row],[ID Produto]], Tabela_Produtos[ID_Produto],Tabela_Produtos[Descricao_Produto],"Produto não encontrado")</f>
        <v>Transceiver SFP+ 10G</v>
      </c>
      <c r="H125" cm="1">
        <f t="array" aca="1" ref="H125" ca="1">IF(
   $O$7="Desbloqueado",
   _xlfn.LET(
     _xlpm.saldo_atual, SUM(($C$2:$C124="Entrada")*($F$2:$F124=Tabela_Movimentacao_Geral[[#This Row],[ID Produto]])*($H$2:$H124) - ($C$2:$C124="Saida")*($F$2:$F124=Tabela_Movimentacao_Geral[[#This Row],[ID Produto]])*($H$2:$H124)),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125" s="5">
        <f ca="1">_xlfn.XLOOKUP(Tabela_Movimentacao_Geral[[#This Row],[ID Produto]], Tabela_Produtos[ID_Produto],Tabela_Produtos[Preco_Unitario_Venda])</f>
        <v>320</v>
      </c>
      <c r="J125" s="6">
        <f ca="1">Tabela_Movimentacao_Geral[[#This Row],[Quantidade]] * Tabela_Movimentacao_Geral[[#This Row],[Valor Unitário]]</f>
        <v>27200</v>
      </c>
      <c r="K125" t="str">
        <f ca="1">IF(
   $O$7="Desbloqueado",
   CHOOSE(RANDBETWEEN(1,3),"Pago","Pendente","Atrasado"),
   Tabela_Movimentacao_Geral[[#This Row],[Status Financeiro]]
)</f>
        <v>Pago</v>
      </c>
      <c r="L125" t="str">
        <f ca="1">IF(
   $O$7="Desbloqueado",
   CHOOSE(RANDBETWEEN(1,3),"Entregue","Em Rota","Aguardando"),
   Tabela_Movimentacao_Geral[[#This Row],[Status Logistico]]
)</f>
        <v>Em Rota</v>
      </c>
      <c r="M12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45733</v>
      </c>
    </row>
    <row r="126" spans="1:13" x14ac:dyDescent="0.3">
      <c r="A126" t="str">
        <f t="shared" si="1"/>
        <v>T0125</v>
      </c>
      <c r="B126" s="1">
        <v>45725</v>
      </c>
      <c r="C126" t="str" cm="1">
        <f t="array" aca="1" ref="C126" ca="1">IF($O$7="Desbloqueado",
  _xlfn.LET(
    _xlpm.saldo_atual, SUM(($C$2:$C125="Entrada")*($F$2:$F125=Tabela_Movimentacao_Geral[[#This Row],[ID Produto]])*($H$2:$H125) - ($C$2:$C125="Saida")*($F$2:$F125=Tabela_Movimentacao_Geral[[#This Row],[ID Produto]])*($H$2:$H125)),
    IF(_xlpm.saldo_atual &gt; 0, IF(RANDBETWEEN(0,10)&gt;3,"Saida","Entrada"), "Entrada")
  ),
  Tabela_Movimentacao_Geral[[#This Row],[Tipo Fluxo]]
)</f>
        <v>Entrada</v>
      </c>
      <c r="D1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1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126" t="str">
        <f ca="1">IF(
  $O$7="Desbloqueado",
  "PROD"&amp;TEXT(RANDBETWEEN(1,200),"000"),
  Tabela_Movimentacao_Geral[[#This Row],[ID Produto]]
)</f>
        <v>PROD015</v>
      </c>
      <c r="G126" t="str">
        <f ca="1">_xlfn.XLOOKUP(Tabela_Movimentacao_Geral[[#This Row],[ID Produto]], Tabela_Produtos[ID_Produto],Tabela_Produtos[Descricao_Produto],"Produto não encontrado")</f>
        <v>Switch 24 Portas Giga</v>
      </c>
      <c r="H126" cm="1">
        <f t="array" aca="1" ref="H126" ca="1">IF(
   $O$7="Desbloqueado",
   _xlfn.LET(
     _xlpm.saldo_atual, SUM(($C$2:$C125="Entrada")*($F$2:$F125=Tabela_Movimentacao_Geral[[#This Row],[ID Produto]])*($H$2:$H125) - ($C$2:$C125="Saida")*($F$2:$F125=Tabela_Movimentacao_Geral[[#This Row],[ID Produto]])*($H$2:$H125)),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91</v>
      </c>
      <c r="I126" s="5">
        <f ca="1">_xlfn.XLOOKUP(Tabela_Movimentacao_Geral[[#This Row],[ID Produto]], Tabela_Produtos[ID_Produto],Tabela_Produtos[Preco_Unitario_Venda])</f>
        <v>1200</v>
      </c>
      <c r="J126" s="6">
        <f ca="1">Tabela_Movimentacao_Geral[[#This Row],[Quantidade]] * Tabela_Movimentacao_Geral[[#This Row],[Valor Unitário]]</f>
        <v>109200</v>
      </c>
      <c r="K126" t="str">
        <f ca="1">IF(
   $O$7="Desbloqueado",
   CHOOSE(RANDBETWEEN(1,3),"Pago","Pendente","Atrasado"),
   Tabela_Movimentacao_Geral[[#This Row],[Status Financeiro]]
)</f>
        <v>Atrasado</v>
      </c>
      <c r="L126" t="str">
        <f ca="1">IF(
   $O$7="Desbloqueado",
   CHOOSE(RANDBETWEEN(1,3),"Entregue","Em Rota","Aguardando"),
   Tabela_Movimentacao_Geral[[#This Row],[Status Logistico]]
)</f>
        <v>Aguardando</v>
      </c>
      <c r="M12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45728</v>
      </c>
    </row>
    <row r="127" spans="1:13" x14ac:dyDescent="0.3">
      <c r="A127" t="str">
        <f t="shared" si="1"/>
        <v>T0126</v>
      </c>
      <c r="B127" s="1">
        <v>45725</v>
      </c>
      <c r="C127" t="str" cm="1">
        <f t="array" aca="1" ref="C127" ca="1">IF($O$7="Desbloqueado",
  _xlfn.LET(
    _xlpm.saldo_atual, SUM(($C$2:$C126="Entrada")*($F$2:$F126=Tabela_Movimentacao_Geral[[#This Row],[ID Produto]])*($H$2:$H126) - ($C$2:$C126="Saida")*($F$2:$F126=Tabela_Movimentacao_Geral[[#This Row],[ID Produto]])*($H$2:$H126)),
    IF(_xlpm.saldo_atual &gt; 0, IF(RANDBETWEEN(0,10)&gt;3,"Saida","Entrada"), "Entrada")
  ),
  Tabela_Movimentacao_Geral[[#This Row],[Tipo Fluxo]]
)</f>
        <v>Saida</v>
      </c>
      <c r="D1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1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127" t="str">
        <f ca="1">IF(
  $O$7="Desbloqueado",
  "PROD"&amp;TEXT(RANDBETWEEN(1,200),"000"),
  Tabela_Movimentacao_Geral[[#This Row],[ID Produto]]
)</f>
        <v>PROD190</v>
      </c>
      <c r="G127" t="str">
        <f ca="1">_xlfn.XLOOKUP(Tabela_Movimentacao_Geral[[#This Row],[ID Produto]], Tabela_Produtos[ID_Produto],Tabela_Produtos[Descricao_Produto],"Produto não encontrado")</f>
        <v>Firewall Hardware Mid</v>
      </c>
      <c r="H127" cm="1">
        <f t="array" aca="1" ref="H127" ca="1">IF(
   $O$7="Desbloqueado",
   _xlfn.LET(
     _xlpm.saldo_atual, SUM(($C$2:$C126="Entrada")*($F$2:$F126=Tabela_Movimentacao_Geral[[#This Row],[ID Produto]])*($H$2:$H126) - ($C$2:$C126="Saida")*($F$2:$F126=Tabela_Movimentacao_Geral[[#This Row],[ID Produto]])*($H$2:$H126)),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127" s="5">
        <f ca="1">_xlfn.XLOOKUP(Tabela_Movimentacao_Geral[[#This Row],[ID Produto]], Tabela_Produtos[ID_Produto],Tabela_Produtos[Preco_Unitario_Venda])</f>
        <v>8500</v>
      </c>
      <c r="J127" s="6">
        <f ca="1">Tabela_Movimentacao_Geral[[#This Row],[Quantidade]] * Tabela_Movimentacao_Geral[[#This Row],[Valor Unitário]]</f>
        <v>399500</v>
      </c>
      <c r="K127" t="str">
        <f ca="1">IF(
   $O$7="Desbloqueado",
   CHOOSE(RANDBETWEEN(1,3),"Pago","Pendente","Atrasado"),
   Tabela_Movimentacao_Geral[[#This Row],[Status Financeiro]]
)</f>
        <v>Pendente</v>
      </c>
      <c r="L127" t="str">
        <f ca="1">IF(
   $O$7="Desbloqueado",
   CHOOSE(RANDBETWEEN(1,3),"Entregue","Em Rota","Aguardando"),
   Tabela_Movimentacao_Geral[[#This Row],[Status Logistico]]
)</f>
        <v>Entregue</v>
      </c>
      <c r="M12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28" spans="1:13" x14ac:dyDescent="0.3">
      <c r="A128" t="str">
        <f t="shared" si="1"/>
        <v>T0127</v>
      </c>
      <c r="B128" s="1">
        <v>45726</v>
      </c>
      <c r="C128" t="str" cm="1">
        <f t="array" aca="1" ref="C128" ca="1">IF($O$7="Desbloqueado",
  _xlfn.LET(
    _xlpm.saldo_atual, SUM(($C$2:$C127="Entrada")*($F$2:$F127=Tabela_Movimentacao_Geral[[#This Row],[ID Produto]])*($H$2:$H127) - ($C$2:$C127="Saida")*($F$2:$F127=Tabela_Movimentacao_Geral[[#This Row],[ID Produto]])*($H$2:$H127)),
    IF(_xlpm.saldo_atual &gt; 0, IF(RANDBETWEEN(0,10)&gt;3,"Saida","Entrada"), "Entrada")
  ),
  Tabela_Movimentacao_Geral[[#This Row],[Tipo Fluxo]]
)</f>
        <v>Saida</v>
      </c>
      <c r="D1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1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128" t="str">
        <f ca="1">IF(
  $O$7="Desbloqueado",
  "PROD"&amp;TEXT(RANDBETWEEN(1,200),"000"),
  Tabela_Movimentacao_Geral[[#This Row],[ID Produto]]
)</f>
        <v>PROD076</v>
      </c>
      <c r="G128" t="str">
        <f ca="1">_xlfn.XLOOKUP(Tabela_Movimentacao_Geral[[#This Row],[ID Produto]], Tabela_Produtos[ID_Produto],Tabela_Produtos[Descricao_Produto],"Produto não encontrado")</f>
        <v>Fragmentadora de Papel</v>
      </c>
      <c r="H128" cm="1">
        <f t="array" aca="1" ref="H128" ca="1">IF(
   $O$7="Desbloqueado",
   _xlfn.LET(
     _xlpm.saldo_atual, SUM(($C$2:$C127="Entrada")*($F$2:$F127=Tabela_Movimentacao_Geral[[#This Row],[ID Produto]])*($H$2:$H127) - ($C$2:$C127="Saida")*($F$2:$F127=Tabela_Movimentacao_Geral[[#This Row],[ID Produto]])*($H$2:$H127)),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128" s="5">
        <f ca="1">_xlfn.XLOOKUP(Tabela_Movimentacao_Geral[[#This Row],[ID Produto]], Tabela_Produtos[ID_Produto],Tabela_Produtos[Preco_Unitario_Venda])</f>
        <v>750</v>
      </c>
      <c r="J128" s="6">
        <f ca="1">Tabela_Movimentacao_Geral[[#This Row],[Quantidade]] * Tabela_Movimentacao_Geral[[#This Row],[Valor Unitário]]</f>
        <v>1500</v>
      </c>
      <c r="K128" t="str">
        <f ca="1">IF(
   $O$7="Desbloqueado",
   CHOOSE(RANDBETWEEN(1,3),"Pago","Pendente","Atrasado"),
   Tabela_Movimentacao_Geral[[#This Row],[Status Financeiro]]
)</f>
        <v>Pago</v>
      </c>
      <c r="L128" t="str">
        <f ca="1">IF(
   $O$7="Desbloqueado",
   CHOOSE(RANDBETWEEN(1,3),"Entregue","Em Rota","Aguardando"),
   Tabela_Movimentacao_Geral[[#This Row],[Status Logistico]]
)</f>
        <v>Aguardando</v>
      </c>
      <c r="M12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29" spans="1:13" x14ac:dyDescent="0.3">
      <c r="A129" t="str">
        <f t="shared" si="1"/>
        <v>T0128</v>
      </c>
      <c r="B129" s="1">
        <v>45727</v>
      </c>
      <c r="C129" t="str" cm="1">
        <f t="array" aca="1" ref="C129" ca="1">IF($O$7="Desbloqueado",
  _xlfn.LET(
    _xlpm.saldo_atual, SUM(($C$2:$C128="Entrada")*($F$2:$F128=Tabela_Movimentacao_Geral[[#This Row],[ID Produto]])*($H$2:$H128) - ($C$2:$C128="Saida")*($F$2:$F128=Tabela_Movimentacao_Geral[[#This Row],[ID Produto]])*($H$2:$H128)),
    IF(_xlpm.saldo_atual &gt; 0, IF(RANDBETWEEN(0,10)&gt;3,"Saida","Entrada"), "Entrada")
  ),
  Tabela_Movimentacao_Geral[[#This Row],[Tipo Fluxo]]
)</f>
        <v>Entrada</v>
      </c>
      <c r="D1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1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129" t="str">
        <f ca="1">IF(
  $O$7="Desbloqueado",
  "PROD"&amp;TEXT(RANDBETWEEN(1,200),"000"),
  Tabela_Movimentacao_Geral[[#This Row],[ID Produto]]
)</f>
        <v>PROD144</v>
      </c>
      <c r="G129" t="str">
        <f ca="1">_xlfn.XLOOKUP(Tabela_Movimentacao_Geral[[#This Row],[ID Produto]], Tabela_Produtos[ID_Produto],Tabela_Produtos[Descricao_Produto],"Produto não encontrado")</f>
        <v>Ar Comprimido Limpeza</v>
      </c>
      <c r="H129" cm="1">
        <f t="array" aca="1" ref="H129" ca="1">IF(
   $O$7="Desbloqueado",
   _xlfn.LET(
     _xlpm.saldo_atual, SUM(($C$2:$C128="Entrada")*($F$2:$F128=Tabela_Movimentacao_Geral[[#This Row],[ID Produto]])*($H$2:$H128) - ($C$2:$C128="Saida")*($F$2:$F128=Tabela_Movimentacao_Geral[[#This Row],[ID Produto]])*($H$2:$H128)),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129" s="5">
        <f ca="1">_xlfn.XLOOKUP(Tabela_Movimentacao_Geral[[#This Row],[ID Produto]], Tabela_Produtos[ID_Produto],Tabela_Produtos[Preco_Unitario_Venda])</f>
        <v>55</v>
      </c>
      <c r="J129" s="6">
        <f ca="1">Tabela_Movimentacao_Geral[[#This Row],[Quantidade]] * Tabela_Movimentacao_Geral[[#This Row],[Valor Unitário]]</f>
        <v>3960</v>
      </c>
      <c r="K129" t="str">
        <f ca="1">IF(
   $O$7="Desbloqueado",
   CHOOSE(RANDBETWEEN(1,3),"Pago","Pendente","Atrasado"),
   Tabela_Movimentacao_Geral[[#This Row],[Status Financeiro]]
)</f>
        <v>Pendente</v>
      </c>
      <c r="L129" t="str">
        <f ca="1">IF(
   $O$7="Desbloqueado",
   CHOOSE(RANDBETWEEN(1,3),"Entregue","Em Rota","Aguardando"),
   Tabela_Movimentacao_Geral[[#This Row],[Status Logistico]]
)</f>
        <v>Em Rota</v>
      </c>
      <c r="M12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45729</v>
      </c>
    </row>
    <row r="130" spans="1:13" x14ac:dyDescent="0.3">
      <c r="A130" t="str">
        <f t="shared" si="1"/>
        <v>T0129</v>
      </c>
      <c r="B130" s="1">
        <v>45727</v>
      </c>
      <c r="C130" t="str" cm="1">
        <f t="array" aca="1" ref="C130" ca="1">IF($O$7="Desbloqueado",
  _xlfn.LET(
    _xlpm.saldo_atual, SUM(($C$2:$C129="Entrada")*($F$2:$F129=Tabela_Movimentacao_Geral[[#This Row],[ID Produto]])*($H$2:$H129) - ($C$2:$C129="Saida")*($F$2:$F129=Tabela_Movimentacao_Geral[[#This Row],[ID Produto]])*($H$2:$H129)),
    IF(_xlpm.saldo_atual &gt; 0, IF(RANDBETWEEN(0,10)&gt;3,"Saida","Entrada"), "Entrada")
  ),
  Tabela_Movimentacao_Geral[[#This Row],[Tipo Fluxo]]
)</f>
        <v>Entrada</v>
      </c>
      <c r="D1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1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130" t="str">
        <f ca="1">IF(
  $O$7="Desbloqueado",
  "PROD"&amp;TEXT(RANDBETWEEN(1,200),"000"),
  Tabela_Movimentacao_Geral[[#This Row],[ID Produto]]
)</f>
        <v>PROD144</v>
      </c>
      <c r="G130" t="str">
        <f ca="1">_xlfn.XLOOKUP(Tabela_Movimentacao_Geral[[#This Row],[ID Produto]], Tabela_Produtos[ID_Produto],Tabela_Produtos[Descricao_Produto],"Produto não encontrado")</f>
        <v>Ar Comprimido Limpeza</v>
      </c>
      <c r="H130" cm="1">
        <f t="array" aca="1" ref="H130" ca="1">IF(
   $O$7="Desbloqueado",
   _xlfn.LET(
     _xlpm.saldo_atual, SUM(($C$2:$C129="Entrada")*($F$2:$F129=Tabela_Movimentacao_Geral[[#This Row],[ID Produto]])*($H$2:$H129) - ($C$2:$C129="Saida")*($F$2:$F129=Tabela_Movimentacao_Geral[[#This Row],[ID Produto]])*($H$2:$H129)),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130" s="5">
        <f ca="1">_xlfn.XLOOKUP(Tabela_Movimentacao_Geral[[#This Row],[ID Produto]], Tabela_Produtos[ID_Produto],Tabela_Produtos[Preco_Unitario_Venda])</f>
        <v>55</v>
      </c>
      <c r="J130" s="6">
        <f ca="1">Tabela_Movimentacao_Geral[[#This Row],[Quantidade]] * Tabela_Movimentacao_Geral[[#This Row],[Valor Unitário]]</f>
        <v>2310</v>
      </c>
      <c r="K130" t="str">
        <f ca="1">IF(
   $O$7="Desbloqueado",
   CHOOSE(RANDBETWEEN(1,3),"Pago","Pendente","Atrasado"),
   Tabela_Movimentacao_Geral[[#This Row],[Status Financeiro]]
)</f>
        <v>Atrasado</v>
      </c>
      <c r="L130" t="str">
        <f ca="1">IF(
   $O$7="Desbloqueado",
   CHOOSE(RANDBETWEEN(1,3),"Entregue","Em Rota","Aguardando"),
   Tabela_Movimentacao_Geral[[#This Row],[Status Logistico]]
)</f>
        <v>Em Rota</v>
      </c>
      <c r="M13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45739</v>
      </c>
    </row>
    <row r="131" spans="1:13" x14ac:dyDescent="0.3">
      <c r="A131" t="str">
        <f t="shared" si="1"/>
        <v>T0130</v>
      </c>
      <c r="B131" s="1">
        <v>45728</v>
      </c>
      <c r="C131" t="str" cm="1">
        <f t="array" aca="1" ref="C131" ca="1">IF($O$7="Desbloqueado",
  _xlfn.LET(
    _xlpm.saldo_atual, SUM(($C$2:$C130="Entrada")*($F$2:$F130=Tabela_Movimentacao_Geral[[#This Row],[ID Produto]])*($H$2:$H130) - ($C$2:$C130="Saida")*($F$2:$F130=Tabela_Movimentacao_Geral[[#This Row],[ID Produto]])*($H$2:$H130)),
    IF(_xlpm.saldo_atual &gt; 0, IF(RANDBETWEEN(0,10)&gt;3,"Saida","Entrada"), "Entrada")
  ),
  Tabela_Movimentacao_Geral[[#This Row],[Tipo Fluxo]]
)</f>
        <v>Entrada</v>
      </c>
      <c r="D1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1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131" t="str">
        <f ca="1">IF(
  $O$7="Desbloqueado",
  "PROD"&amp;TEXT(RANDBETWEEN(1,200),"000"),
  Tabela_Movimentacao_Geral[[#This Row],[ID Produto]]
)</f>
        <v>PROD181</v>
      </c>
      <c r="G131" t="str">
        <f ca="1">_xlfn.XLOOKUP(Tabela_Movimentacao_Geral[[#This Row],[ID Produto]], Tabela_Produtos[ID_Produto],Tabela_Produtos[Descricao_Produto],"Produto não encontrado")</f>
        <v>Servidor Tower i3 16GB</v>
      </c>
      <c r="H131" cm="1">
        <f t="array" aca="1" ref="H131" ca="1">IF(
   $O$7="Desbloqueado",
   _xlfn.LET(
     _xlpm.saldo_atual, SUM(($C$2:$C130="Entrada")*($F$2:$F130=Tabela_Movimentacao_Geral[[#This Row],[ID Produto]])*($H$2:$H130) - ($C$2:$C130="Saida")*($F$2:$F130=Tabela_Movimentacao_Geral[[#This Row],[ID Produto]])*($H$2:$H130)),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131" s="5">
        <f ca="1">_xlfn.XLOOKUP(Tabela_Movimentacao_Geral[[#This Row],[ID Produto]], Tabela_Produtos[ID_Produto],Tabela_Produtos[Preco_Unitario_Venda])</f>
        <v>6500</v>
      </c>
      <c r="J131" s="6">
        <f ca="1">Tabela_Movimentacao_Geral[[#This Row],[Quantidade]] * Tabela_Movimentacao_Geral[[#This Row],[Valor Unitário]]</f>
        <v>513500</v>
      </c>
      <c r="K131" t="str">
        <f ca="1">IF(
   $O$7="Desbloqueado",
   CHOOSE(RANDBETWEEN(1,3),"Pago","Pendente","Atrasado"),
   Tabela_Movimentacao_Geral[[#This Row],[Status Financeiro]]
)</f>
        <v>Atrasado</v>
      </c>
      <c r="L131" t="str">
        <f ca="1">IF(
   $O$7="Desbloqueado",
   CHOOSE(RANDBETWEEN(1,3),"Entregue","Em Rota","Aguardando"),
   Tabela_Movimentacao_Geral[[#This Row],[Status Logistico]]
)</f>
        <v>Aguardando</v>
      </c>
      <c r="M13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45730</v>
      </c>
    </row>
    <row r="132" spans="1:13" x14ac:dyDescent="0.3">
      <c r="A132" t="str">
        <f t="shared" si="1"/>
        <v>T0131</v>
      </c>
      <c r="B132" s="1">
        <v>45728</v>
      </c>
      <c r="C132" t="str" cm="1">
        <f t="array" aca="1" ref="C132" ca="1">IF($O$7="Desbloqueado",
  _xlfn.LET(
    _xlpm.saldo_atual, SUM(($C$2:$C131="Entrada")*($F$2:$F131=Tabela_Movimentacao_Geral[[#This Row],[ID Produto]])*($H$2:$H131) - ($C$2:$C131="Saida")*($F$2:$F131=Tabela_Movimentacao_Geral[[#This Row],[ID Produto]])*($H$2:$H131)),
    IF(_xlpm.saldo_atual &gt; 0, IF(RANDBETWEEN(0,10)&gt;3,"Saida","Entrada"), "Entrada")
  ),
  Tabela_Movimentacao_Geral[[#This Row],[Tipo Fluxo]]
)</f>
        <v>Entrada</v>
      </c>
      <c r="D1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1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132" t="str">
        <f ca="1">IF(
  $O$7="Desbloqueado",
  "PROD"&amp;TEXT(RANDBETWEEN(1,200),"000"),
  Tabela_Movimentacao_Geral[[#This Row],[ID Produto]]
)</f>
        <v>PROD100</v>
      </c>
      <c r="G132" t="str">
        <f ca="1">_xlfn.XLOOKUP(Tabela_Movimentacao_Geral[[#This Row],[ID Produto]], Tabela_Produtos[ID_Produto],Tabela_Produtos[Descricao_Produto],"Produto não encontrado")</f>
        <v>Injetor PoE Gigabit</v>
      </c>
      <c r="H132" cm="1">
        <f t="array" aca="1" ref="H132" ca="1">IF(
   $O$7="Desbloqueado",
   _xlfn.LET(
     _xlpm.saldo_atual, SUM(($C$2:$C131="Entrada")*($F$2:$F131=Tabela_Movimentacao_Geral[[#This Row],[ID Produto]])*($H$2:$H131) - ($C$2:$C131="Saida")*($F$2:$F131=Tabela_Movimentacao_Geral[[#This Row],[ID Produto]])*($H$2:$H131)),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70</v>
      </c>
      <c r="I132" s="5">
        <f ca="1">_xlfn.XLOOKUP(Tabela_Movimentacao_Geral[[#This Row],[ID Produto]], Tabela_Produtos[ID_Produto],Tabela_Produtos[Preco_Unitario_Venda])</f>
        <v>180</v>
      </c>
      <c r="J132" s="6">
        <f ca="1">Tabela_Movimentacao_Geral[[#This Row],[Quantidade]] * Tabela_Movimentacao_Geral[[#This Row],[Valor Unitário]]</f>
        <v>12600</v>
      </c>
      <c r="K132" t="str">
        <f ca="1">IF(
   $O$7="Desbloqueado",
   CHOOSE(RANDBETWEEN(1,3),"Pago","Pendente","Atrasado"),
   Tabela_Movimentacao_Geral[[#This Row],[Status Financeiro]]
)</f>
        <v>Pago</v>
      </c>
      <c r="L132" t="str">
        <f ca="1">IF(
   $O$7="Desbloqueado",
   CHOOSE(RANDBETWEEN(1,3),"Entregue","Em Rota","Aguardando"),
   Tabela_Movimentacao_Geral[[#This Row],[Status Logistico]]
)</f>
        <v>Em Rota</v>
      </c>
      <c r="M13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45740</v>
      </c>
    </row>
    <row r="133" spans="1:13" x14ac:dyDescent="0.3">
      <c r="A133" t="str">
        <f t="shared" si="1"/>
        <v>T0132</v>
      </c>
      <c r="B133" s="1">
        <v>45729</v>
      </c>
      <c r="C133" t="str" cm="1">
        <f t="array" aca="1" ref="C133" ca="1">IF($O$7="Desbloqueado",
  _xlfn.LET(
    _xlpm.saldo_atual, SUM(($C$2:$C132="Entrada")*($F$2:$F132=Tabela_Movimentacao_Geral[[#This Row],[ID Produto]])*($H$2:$H132) - ($C$2:$C132="Saida")*($F$2:$F132=Tabela_Movimentacao_Geral[[#This Row],[ID Produto]])*($H$2:$H132)),
    IF(_xlpm.saldo_atual &gt; 0, IF(RANDBETWEEN(0,10)&gt;3,"Saida","Entrada"), "Entrada")
  ),
  Tabela_Movimentacao_Geral[[#This Row],[Tipo Fluxo]]
)</f>
        <v>Entrada</v>
      </c>
      <c r="D1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1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133" t="str">
        <f ca="1">IF(
  $O$7="Desbloqueado",
  "PROD"&amp;TEXT(RANDBETWEEN(1,200),"000"),
  Tabela_Movimentacao_Geral[[#This Row],[ID Produto]]
)</f>
        <v>PROD065</v>
      </c>
      <c r="G133" t="str">
        <f ca="1">_xlfn.XLOOKUP(Tabela_Movimentacao_Geral[[#This Row],[ID Produto]], Tabela_Produtos[ID_Produto],Tabela_Produtos[Descricao_Produto],"Produto não encontrado")</f>
        <v>Fita Adesiva Transp 45x40</v>
      </c>
      <c r="H133" cm="1">
        <f t="array" aca="1" ref="H133" ca="1">IF(
   $O$7="Desbloqueado",
   _xlfn.LET(
     _xlpm.saldo_atual, SUM(($C$2:$C132="Entrada")*($F$2:$F132=Tabela_Movimentacao_Geral[[#This Row],[ID Produto]])*($H$2:$H132) - ($C$2:$C132="Saida")*($F$2:$F132=Tabela_Movimentacao_Geral[[#This Row],[ID Produto]])*($H$2:$H132)),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127</v>
      </c>
      <c r="I133" s="5">
        <f ca="1">_xlfn.XLOOKUP(Tabela_Movimentacao_Geral[[#This Row],[ID Produto]], Tabela_Produtos[ID_Produto],Tabela_Produtos[Preco_Unitario_Venda])</f>
        <v>12</v>
      </c>
      <c r="J133" s="6">
        <f ca="1">Tabela_Movimentacao_Geral[[#This Row],[Quantidade]] * Tabela_Movimentacao_Geral[[#This Row],[Valor Unitário]]</f>
        <v>1524</v>
      </c>
      <c r="K133" t="str">
        <f ca="1">IF(
   $O$7="Desbloqueado",
   CHOOSE(RANDBETWEEN(1,3),"Pago","Pendente","Atrasado"),
   Tabela_Movimentacao_Geral[[#This Row],[Status Financeiro]]
)</f>
        <v>Atrasado</v>
      </c>
      <c r="L133" t="str">
        <f ca="1">IF(
   $O$7="Desbloqueado",
   CHOOSE(RANDBETWEEN(1,3),"Entregue","Em Rota","Aguardando"),
   Tabela_Movimentacao_Geral[[#This Row],[Status Logistico]]
)</f>
        <v>Em Rota</v>
      </c>
      <c r="M13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45741</v>
      </c>
    </row>
    <row r="134" spans="1:13" x14ac:dyDescent="0.3">
      <c r="A134" t="str">
        <f t="shared" si="1"/>
        <v>T0133</v>
      </c>
      <c r="B134" s="1">
        <v>45729</v>
      </c>
      <c r="C134" t="str" cm="1">
        <f t="array" aca="1" ref="C134" ca="1">IF($O$7="Desbloqueado",
  _xlfn.LET(
    _xlpm.saldo_atual, SUM(($C$2:$C133="Entrada")*($F$2:$F133=Tabela_Movimentacao_Geral[[#This Row],[ID Produto]])*($H$2:$H133) - ($C$2:$C133="Saida")*($F$2:$F133=Tabela_Movimentacao_Geral[[#This Row],[ID Produto]])*($H$2:$H133)),
    IF(_xlpm.saldo_atual &gt; 0, IF(RANDBETWEEN(0,10)&gt;3,"Saida","Entrada"), "Entrada")
  ),
  Tabela_Movimentacao_Geral[[#This Row],[Tipo Fluxo]]
)</f>
        <v>Entrada</v>
      </c>
      <c r="D1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1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134" t="str">
        <f ca="1">IF(
  $O$7="Desbloqueado",
  "PROD"&amp;TEXT(RANDBETWEEN(1,200),"000"),
  Tabela_Movimentacao_Geral[[#This Row],[ID Produto]]
)</f>
        <v>PROD182</v>
      </c>
      <c r="G134" t="str">
        <f ca="1">_xlfn.XLOOKUP(Tabela_Movimentacao_Geral[[#This Row],[ID Produto]], Tabela_Produtos[ID_Produto],Tabela_Produtos[Descricao_Produto],"Produto não encontrado")</f>
        <v>Fonte Redundante 750W</v>
      </c>
      <c r="H134" cm="1">
        <f t="array" aca="1" ref="H134" ca="1">IF(
   $O$7="Desbloqueado",
   _xlfn.LET(
     _xlpm.saldo_atual, SUM(($C$2:$C133="Entrada")*($F$2:$F133=Tabela_Movimentacao_Geral[[#This Row],[ID Produto]])*($H$2:$H133) - ($C$2:$C133="Saida")*($F$2:$F133=Tabela_Movimentacao_Geral[[#This Row],[ID Produto]])*($H$2:$H133)),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134" s="5">
        <f ca="1">_xlfn.XLOOKUP(Tabela_Movimentacao_Geral[[#This Row],[ID Produto]], Tabela_Produtos[ID_Produto],Tabela_Produtos[Preco_Unitario_Venda])</f>
        <v>1850</v>
      </c>
      <c r="J134" s="6">
        <f ca="1">Tabela_Movimentacao_Geral[[#This Row],[Quantidade]] * Tabela_Movimentacao_Geral[[#This Row],[Valor Unitário]]</f>
        <v>146150</v>
      </c>
      <c r="K134" t="str">
        <f ca="1">IF(
   $O$7="Desbloqueado",
   CHOOSE(RANDBETWEEN(1,3),"Pago","Pendente","Atrasado"),
   Tabela_Movimentacao_Geral[[#This Row],[Status Financeiro]]
)</f>
        <v>Atrasado</v>
      </c>
      <c r="L134" t="str">
        <f ca="1">IF(
   $O$7="Desbloqueado",
   CHOOSE(RANDBETWEEN(1,3),"Entregue","Em Rota","Aguardando"),
   Tabela_Movimentacao_Geral[[#This Row],[Status Logistico]]
)</f>
        <v>Entregue</v>
      </c>
      <c r="M13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45731</v>
      </c>
    </row>
    <row r="135" spans="1:13" x14ac:dyDescent="0.3">
      <c r="A135" t="str">
        <f t="shared" si="1"/>
        <v>T0134</v>
      </c>
      <c r="B135" s="1">
        <v>45730</v>
      </c>
      <c r="C135" t="str" cm="1">
        <f t="array" aca="1" ref="C135" ca="1">IF($O$7="Desbloqueado",
  _xlfn.LET(
    _xlpm.saldo_atual, SUM(($C$2:$C134="Entrada")*($F$2:$F134=Tabela_Movimentacao_Geral[[#This Row],[ID Produto]])*($H$2:$H134) - ($C$2:$C134="Saida")*($F$2:$F134=Tabela_Movimentacao_Geral[[#This Row],[ID Produto]])*($H$2:$H134)),
    IF(_xlpm.saldo_atual &gt; 0, IF(RANDBETWEEN(0,10)&gt;3,"Saida","Entrada"), "Entrada")
  ),
  Tabela_Movimentacao_Geral[[#This Row],[Tipo Fluxo]]
)</f>
        <v>Entrada</v>
      </c>
      <c r="D1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1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135" t="str">
        <f ca="1">IF(
  $O$7="Desbloqueado",
  "PROD"&amp;TEXT(RANDBETWEEN(1,200),"000"),
  Tabela_Movimentacao_Geral[[#This Row],[ID Produto]]
)</f>
        <v>PROD062</v>
      </c>
      <c r="G135" t="str">
        <f ca="1">_xlfn.XLOOKUP(Tabela_Movimentacao_Geral[[#This Row],[ID Produto]], Tabela_Produtos[ID_Produto],Tabela_Produtos[Descricao_Produto],"Produto não encontrado")</f>
        <v>Regua 30cm Acrilico</v>
      </c>
      <c r="H135" cm="1">
        <f t="array" aca="1" ref="H135" ca="1">IF(
   $O$7="Desbloqueado",
   _xlfn.LET(
     _xlpm.saldo_atual, SUM(($C$2:$C134="Entrada")*($F$2:$F134=Tabela_Movimentacao_Geral[[#This Row],[ID Produto]])*($H$2:$H134) - ($C$2:$C134="Saida")*($F$2:$F134=Tabela_Movimentacao_Geral[[#This Row],[ID Produto]])*($H$2:$H134)),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75</v>
      </c>
      <c r="I135" s="5">
        <f ca="1">_xlfn.XLOOKUP(Tabela_Movimentacao_Geral[[#This Row],[ID Produto]], Tabela_Produtos[ID_Produto],Tabela_Produtos[Preco_Unitario_Venda])</f>
        <v>4.5</v>
      </c>
      <c r="J135" s="6">
        <f ca="1">Tabela_Movimentacao_Geral[[#This Row],[Quantidade]] * Tabela_Movimentacao_Geral[[#This Row],[Valor Unitário]]</f>
        <v>337.5</v>
      </c>
      <c r="K135" t="str">
        <f ca="1">IF(
   $O$7="Desbloqueado",
   CHOOSE(RANDBETWEEN(1,3),"Pago","Pendente","Atrasado"),
   Tabela_Movimentacao_Geral[[#This Row],[Status Financeiro]]
)</f>
        <v>Atrasado</v>
      </c>
      <c r="L135" t="str">
        <f ca="1">IF(
   $O$7="Desbloqueado",
   CHOOSE(RANDBETWEEN(1,3),"Entregue","Em Rota","Aguardando"),
   Tabela_Movimentacao_Geral[[#This Row],[Status Logistico]]
)</f>
        <v>Aguardando</v>
      </c>
      <c r="M13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45742</v>
      </c>
    </row>
    <row r="136" spans="1:13" x14ac:dyDescent="0.3">
      <c r="A136" t="str">
        <f t="shared" si="1"/>
        <v>T0135</v>
      </c>
      <c r="B136" s="1">
        <v>45730</v>
      </c>
      <c r="C136" t="str" cm="1">
        <f t="array" aca="1" ref="C136" ca="1">IF($O$7="Desbloqueado",
  _xlfn.LET(
    _xlpm.saldo_atual, SUM(($C$2:$C135="Entrada")*($F$2:$F135=Tabela_Movimentacao_Geral[[#This Row],[ID Produto]])*($H$2:$H135) - ($C$2:$C135="Saida")*($F$2:$F135=Tabela_Movimentacao_Geral[[#This Row],[ID Produto]])*($H$2:$H135)),
    IF(_xlpm.saldo_atual &gt; 0, IF(RANDBETWEEN(0,10)&gt;3,"Saida","Entrada"), "Entrada")
  ),
  Tabela_Movimentacao_Geral[[#This Row],[Tipo Fluxo]]
)</f>
        <v>Entrada</v>
      </c>
      <c r="D1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1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136" t="str">
        <f ca="1">IF(
  $O$7="Desbloqueado",
  "PROD"&amp;TEXT(RANDBETWEEN(1,200),"000"),
  Tabela_Movimentacao_Geral[[#This Row],[ID Produto]]
)</f>
        <v>PROD093</v>
      </c>
      <c r="G136" t="str">
        <f ca="1">_xlfn.XLOOKUP(Tabela_Movimentacao_Geral[[#This Row],[ID Produto]], Tabela_Produtos[ID_Produto],Tabela_Produtos[Descricao_Produto],"Produto não encontrado")</f>
        <v>KVM Switch 4 Portas</v>
      </c>
      <c r="H136" cm="1">
        <f t="array" aca="1" ref="H136" ca="1">IF(
   $O$7="Desbloqueado",
   _xlfn.LET(
     _xlpm.saldo_atual, SUM(($C$2:$C135="Entrada")*($F$2:$F135=Tabela_Movimentacao_Geral[[#This Row],[ID Produto]])*($H$2:$H135) - ($C$2:$C135="Saida")*($F$2:$F135=Tabela_Movimentacao_Geral[[#This Row],[ID Produto]])*($H$2:$H135)),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51</v>
      </c>
      <c r="I136" s="5">
        <f ca="1">_xlfn.XLOOKUP(Tabela_Movimentacao_Geral[[#This Row],[ID Produto]], Tabela_Produtos[ID_Produto],Tabela_Produtos[Preco_Unitario_Venda])</f>
        <v>1200</v>
      </c>
      <c r="J136" s="6">
        <f ca="1">Tabela_Movimentacao_Geral[[#This Row],[Quantidade]] * Tabela_Movimentacao_Geral[[#This Row],[Valor Unitário]]</f>
        <v>61200</v>
      </c>
      <c r="K136" t="str">
        <f ca="1">IF(
   $O$7="Desbloqueado",
   CHOOSE(RANDBETWEEN(1,3),"Pago","Pendente","Atrasado"),
   Tabela_Movimentacao_Geral[[#This Row],[Status Financeiro]]
)</f>
        <v>Pago</v>
      </c>
      <c r="L136" t="str">
        <f ca="1">IF(
   $O$7="Desbloqueado",
   CHOOSE(RANDBETWEEN(1,3),"Entregue","Em Rota","Aguardando"),
   Tabela_Movimentacao_Geral[[#This Row],[Status Logistico]]
)</f>
        <v>Entregue</v>
      </c>
      <c r="M13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45733</v>
      </c>
    </row>
    <row r="137" spans="1:13" x14ac:dyDescent="0.3">
      <c r="A137" t="str">
        <f t="shared" si="1"/>
        <v>T0136</v>
      </c>
      <c r="B137" s="1">
        <v>45731</v>
      </c>
      <c r="C137" t="str" cm="1">
        <f t="array" aca="1" ref="C137" ca="1">IF($O$7="Desbloqueado",
  _xlfn.LET(
    _xlpm.saldo_atual, SUM(($C$2:$C136="Entrada")*($F$2:$F136=Tabela_Movimentacao_Geral[[#This Row],[ID Produto]])*($H$2:$H136) - ($C$2:$C136="Saida")*($F$2:$F136=Tabela_Movimentacao_Geral[[#This Row],[ID Produto]])*($H$2:$H136)),
    IF(_xlpm.saldo_atual &gt; 0, IF(RANDBETWEEN(0,10)&gt;3,"Saida","Entrada"), "Entrada")
  ),
  Tabela_Movimentacao_Geral[[#This Row],[Tipo Fluxo]]
)</f>
        <v>Entrada</v>
      </c>
      <c r="D1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1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137" t="str">
        <f ca="1">IF(
  $O$7="Desbloqueado",
  "PROD"&amp;TEXT(RANDBETWEEN(1,200),"000"),
  Tabela_Movimentacao_Geral[[#This Row],[ID Produto]]
)</f>
        <v>PROD098</v>
      </c>
      <c r="G137" t="str">
        <f ca="1">_xlfn.XLOOKUP(Tabela_Movimentacao_Geral[[#This Row],[ID Produto]], Tabela_Produtos[ID_Produto],Tabela_Produtos[Descricao_Produto],"Produto não encontrado")</f>
        <v>Gravador NVR 8 Canais</v>
      </c>
      <c r="H137" cm="1">
        <f t="array" aca="1" ref="H137" ca="1">IF(
   $O$7="Desbloqueado",
   _xlfn.LET(
     _xlpm.saldo_atual, SUM(($C$2:$C136="Entrada")*($F$2:$F136=Tabela_Movimentacao_Geral[[#This Row],[ID Produto]])*($H$2:$H136) - ($C$2:$C136="Saida")*($F$2:$F136=Tabela_Movimentacao_Geral[[#This Row],[ID Produto]])*($H$2:$H136)),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91</v>
      </c>
      <c r="I137" s="5">
        <f ca="1">_xlfn.XLOOKUP(Tabela_Movimentacao_Geral[[#This Row],[ID Produto]], Tabela_Produtos[ID_Produto],Tabela_Produtos[Preco_Unitario_Venda])</f>
        <v>1550</v>
      </c>
      <c r="J137" s="6">
        <f ca="1">Tabela_Movimentacao_Geral[[#This Row],[Quantidade]] * Tabela_Movimentacao_Geral[[#This Row],[Valor Unitário]]</f>
        <v>141050</v>
      </c>
      <c r="K137" t="str">
        <f ca="1">IF(
   $O$7="Desbloqueado",
   CHOOSE(RANDBETWEEN(1,3),"Pago","Pendente","Atrasado"),
   Tabela_Movimentacao_Geral[[#This Row],[Status Financeiro]]
)</f>
        <v>Pendente</v>
      </c>
      <c r="L137" t="str">
        <f ca="1">IF(
   $O$7="Desbloqueado",
   CHOOSE(RANDBETWEEN(1,3),"Entregue","Em Rota","Aguardando"),
   Tabela_Movimentacao_Geral[[#This Row],[Status Logistico]]
)</f>
        <v>Aguardando</v>
      </c>
      <c r="M13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45732</v>
      </c>
    </row>
    <row r="138" spans="1:13" x14ac:dyDescent="0.3">
      <c r="A138" t="str">
        <f t="shared" si="1"/>
        <v>T0137</v>
      </c>
      <c r="B138" s="1">
        <v>45731</v>
      </c>
      <c r="C138" t="str" cm="1">
        <f t="array" aca="1" ref="C138" ca="1">IF($O$7="Desbloqueado",
  _xlfn.LET(
    _xlpm.saldo_atual, SUM(($C$2:$C137="Entrada")*($F$2:$F137=Tabela_Movimentacao_Geral[[#This Row],[ID Produto]])*($H$2:$H137) - ($C$2:$C137="Saida")*($F$2:$F137=Tabela_Movimentacao_Geral[[#This Row],[ID Produto]])*($H$2:$H137)),
    IF(_xlpm.saldo_atual &gt; 0, IF(RANDBETWEEN(0,10)&gt;3,"Saida","Entrada"), "Entrada")
  ),
  Tabela_Movimentacao_Geral[[#This Row],[Tipo Fluxo]]
)</f>
        <v>Saida</v>
      </c>
      <c r="D1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1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138" t="str">
        <f ca="1">IF(
  $O$7="Desbloqueado",
  "PROD"&amp;TEXT(RANDBETWEEN(1,200),"000"),
  Tabela_Movimentacao_Geral[[#This Row],[ID Produto]]
)</f>
        <v>PROD157</v>
      </c>
      <c r="G138" t="str">
        <f ca="1">_xlfn.XLOOKUP(Tabela_Movimentacao_Geral[[#This Row],[ID Produto]], Tabela_Produtos[ID_Produto],Tabela_Produtos[Descricao_Produto],"Produto não encontrado")</f>
        <v>Fita Dupla Face 3M</v>
      </c>
      <c r="H138" cm="1">
        <f t="array" aca="1" ref="H138" ca="1">IF(
   $O$7="Desbloqueado",
   _xlfn.LET(
     _xlpm.saldo_atual, SUM(($C$2:$C137="Entrada")*($F$2:$F137=Tabela_Movimentacao_Geral[[#This Row],[ID Produto]])*($H$2:$H137) - ($C$2:$C137="Saida")*($F$2:$F137=Tabela_Movimentacao_Geral[[#This Row],[ID Produto]])*($H$2:$H137)),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</v>
      </c>
      <c r="I138" s="5">
        <f ca="1">_xlfn.XLOOKUP(Tabela_Movimentacao_Geral[[#This Row],[ID Produto]], Tabela_Produtos[ID_Produto],Tabela_Produtos[Preco_Unitario_Venda])</f>
        <v>28</v>
      </c>
      <c r="J138" s="6">
        <f ca="1">Tabela_Movimentacao_Geral[[#This Row],[Quantidade]] * Tabela_Movimentacao_Geral[[#This Row],[Valor Unitário]]</f>
        <v>1400</v>
      </c>
      <c r="K138" t="str">
        <f ca="1">IF(
   $O$7="Desbloqueado",
   CHOOSE(RANDBETWEEN(1,3),"Pago","Pendente","Atrasado"),
   Tabela_Movimentacao_Geral[[#This Row],[Status Financeiro]]
)</f>
        <v>Atrasado</v>
      </c>
      <c r="L138" t="str">
        <f ca="1">IF(
   $O$7="Desbloqueado",
   CHOOSE(RANDBETWEEN(1,3),"Entregue","Em Rota","Aguardando"),
   Tabela_Movimentacao_Geral[[#This Row],[Status Logistico]]
)</f>
        <v>Entregue</v>
      </c>
      <c r="M1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39" spans="1:13" x14ac:dyDescent="0.3">
      <c r="A139" t="str">
        <f t="shared" si="1"/>
        <v>T0138</v>
      </c>
      <c r="B139" s="1">
        <v>45731</v>
      </c>
      <c r="C139" t="str" cm="1">
        <f t="array" aca="1" ref="C139" ca="1">IF($O$7="Desbloqueado",
  _xlfn.LET(
    _xlpm.saldo_atual, SUM(($C$2:$C138="Entrada")*($F$2:$F138=Tabela_Movimentacao_Geral[[#This Row],[ID Produto]])*($H$2:$H138) - ($C$2:$C138="Saida")*($F$2:$F138=Tabela_Movimentacao_Geral[[#This Row],[ID Produto]])*($H$2:$H138)),
    IF(_xlpm.saldo_atual &gt; 0, IF(RANDBETWEEN(0,10)&gt;3,"Saida","Entrada"), "Entrada")
  ),
  Tabela_Movimentacao_Geral[[#This Row],[Tipo Fluxo]]
)</f>
        <v>Entrada</v>
      </c>
      <c r="D1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1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139" t="str">
        <f ca="1">IF(
  $O$7="Desbloqueado",
  "PROD"&amp;TEXT(RANDBETWEEN(1,200),"000"),
  Tabela_Movimentacao_Geral[[#This Row],[ID Produto]]
)</f>
        <v>PROD024</v>
      </c>
      <c r="G139" t="str">
        <f ca="1">_xlfn.XLOOKUP(Tabela_Movimentacao_Geral[[#This Row],[ID Produto]], Tabela_Produtos[ID_Produto],Tabela_Produtos[Descricao_Produto],"Produto não encontrado")</f>
        <v>Assinatura Adobe CC Anual</v>
      </c>
      <c r="H139" cm="1">
        <f t="array" aca="1" ref="H139" ca="1">IF(
   $O$7="Desbloqueado",
   _xlfn.LET(
     _xlpm.saldo_atual, SUM(($C$2:$C138="Entrada")*($F$2:$F138=Tabela_Movimentacao_Geral[[#This Row],[ID Produto]])*($H$2:$H138) - ($C$2:$C138="Saida")*($F$2:$F138=Tabela_Movimentacao_Geral[[#This Row],[ID Produto]])*($H$2:$H138)),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147</v>
      </c>
      <c r="I139" s="5">
        <f ca="1">_xlfn.XLOOKUP(Tabela_Movimentacao_Geral[[#This Row],[ID Produto]], Tabela_Produtos[ID_Produto],Tabela_Produtos[Preco_Unitario_Venda])</f>
        <v>2400</v>
      </c>
      <c r="J139" s="6">
        <f ca="1">Tabela_Movimentacao_Geral[[#This Row],[Quantidade]] * Tabela_Movimentacao_Geral[[#This Row],[Valor Unitário]]</f>
        <v>352800</v>
      </c>
      <c r="K139" t="str">
        <f ca="1">IF(
   $O$7="Desbloqueado",
   CHOOSE(RANDBETWEEN(1,3),"Pago","Pendente","Atrasado"),
   Tabela_Movimentacao_Geral[[#This Row],[Status Financeiro]]
)</f>
        <v>Pago</v>
      </c>
      <c r="L139" t="str">
        <f ca="1">IF(
   $O$7="Desbloqueado",
   CHOOSE(RANDBETWEEN(1,3),"Entregue","Em Rota","Aguardando"),
   Tabela_Movimentacao_Geral[[#This Row],[Status Logistico]]
)</f>
        <v>Aguardando</v>
      </c>
      <c r="M13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45733</v>
      </c>
    </row>
    <row r="140" spans="1:13" x14ac:dyDescent="0.3">
      <c r="A140" t="str">
        <f t="shared" si="1"/>
        <v>T0139</v>
      </c>
      <c r="B140" s="1">
        <v>45732</v>
      </c>
      <c r="C140" t="str" cm="1">
        <f t="array" aca="1" ref="C140" ca="1">IF($O$7="Desbloqueado",
  _xlfn.LET(
    _xlpm.saldo_atual, SUM(($C$2:$C139="Entrada")*($F$2:$F139=Tabela_Movimentacao_Geral[[#This Row],[ID Produto]])*($H$2:$H139) - ($C$2:$C139="Saida")*($F$2:$F139=Tabela_Movimentacao_Geral[[#This Row],[ID Produto]])*($H$2:$H139)),
    IF(_xlpm.saldo_atual &gt; 0, IF(RANDBETWEEN(0,10)&gt;3,"Saida","Entrada"), "Entrada")
  ),
  Tabela_Movimentacao_Geral[[#This Row],[Tipo Fluxo]]
)</f>
        <v>Entrada</v>
      </c>
      <c r="D1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1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140" t="str">
        <f ca="1">IF(
  $O$7="Desbloqueado",
  "PROD"&amp;TEXT(RANDBETWEEN(1,200),"000"),
  Tabela_Movimentacao_Geral[[#This Row],[ID Produto]]
)</f>
        <v>PROD136</v>
      </c>
      <c r="G140" t="str">
        <f ca="1">_xlfn.XLOOKUP(Tabela_Movimentacao_Geral[[#This Row],[ID Produto]], Tabela_Produtos[ID_Produto],Tabela_Produtos[Descricao_Produto],"Produto não encontrado")</f>
        <v>Gabinete ATX Mid Tower</v>
      </c>
      <c r="H140" cm="1">
        <f t="array" aca="1" ref="H140" ca="1">IF(
   $O$7="Desbloqueado",
   _xlfn.LET(
     _xlpm.saldo_atual, SUM(($C$2:$C139="Entrada")*($F$2:$F139=Tabela_Movimentacao_Geral[[#This Row],[ID Produto]])*($H$2:$H139) - ($C$2:$C139="Saida")*($F$2:$F139=Tabela_Movimentacao_Geral[[#This Row],[ID Produto]])*($H$2:$H139)),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55</v>
      </c>
      <c r="I140" s="5">
        <f ca="1">_xlfn.XLOOKUP(Tabela_Movimentacao_Geral[[#This Row],[ID Produto]], Tabela_Produtos[ID_Produto],Tabela_Produtos[Preco_Unitario_Venda])</f>
        <v>350</v>
      </c>
      <c r="J140" s="6">
        <f ca="1">Tabela_Movimentacao_Geral[[#This Row],[Quantidade]] * Tabela_Movimentacao_Geral[[#This Row],[Valor Unitário]]</f>
        <v>19250</v>
      </c>
      <c r="K140" t="str">
        <f ca="1">IF(
   $O$7="Desbloqueado",
   CHOOSE(RANDBETWEEN(1,3),"Pago","Pendente","Atrasado"),
   Tabela_Movimentacao_Geral[[#This Row],[Status Financeiro]]
)</f>
        <v>Atrasado</v>
      </c>
      <c r="L140" t="str">
        <f ca="1">IF(
   $O$7="Desbloqueado",
   CHOOSE(RANDBETWEEN(1,3),"Entregue","Em Rota","Aguardando"),
   Tabela_Movimentacao_Geral[[#This Row],[Status Logistico]]
)</f>
        <v>Aguardando</v>
      </c>
      <c r="M14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45733</v>
      </c>
    </row>
    <row r="141" spans="1:13" x14ac:dyDescent="0.3">
      <c r="A141" t="str">
        <f t="shared" si="1"/>
        <v>T0140</v>
      </c>
      <c r="B141" s="1">
        <v>45732</v>
      </c>
      <c r="C141" t="str" cm="1">
        <f t="array" aca="1" ref="C141" ca="1">IF($O$7="Desbloqueado",
  _xlfn.LET(
    _xlpm.saldo_atual, SUM(($C$2:$C140="Entrada")*($F$2:$F140=Tabela_Movimentacao_Geral[[#This Row],[ID Produto]])*($H$2:$H140) - ($C$2:$C140="Saida")*($F$2:$F140=Tabela_Movimentacao_Geral[[#This Row],[ID Produto]])*($H$2:$H140)),
    IF(_xlpm.saldo_atual &gt; 0, IF(RANDBETWEEN(0,10)&gt;3,"Saida","Entrada"), "Entrada")
  ),
  Tabela_Movimentacao_Geral[[#This Row],[Tipo Fluxo]]
)</f>
        <v>Entrada</v>
      </c>
      <c r="D1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1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41" t="str">
        <f ca="1">IF(
  $O$7="Desbloqueado",
  "PROD"&amp;TEXT(RANDBETWEEN(1,200),"000"),
  Tabela_Movimentacao_Geral[[#This Row],[ID Produto]]
)</f>
        <v>PROD194</v>
      </c>
      <c r="G141" t="str">
        <f ca="1">_xlfn.XLOOKUP(Tabela_Movimentacao_Geral[[#This Row],[ID Produto]], Tabela_Produtos[ID_Produto],Tabela_Produtos[Descricao_Produto],"Produto não encontrado")</f>
        <v>Patch Cord Cat6a 2m</v>
      </c>
      <c r="H141" cm="1">
        <f t="array" aca="1" ref="H141" ca="1">IF(
   $O$7="Desbloqueado",
   _xlfn.LET(
     _xlpm.saldo_atual, SUM(($C$2:$C140="Entrada")*($F$2:$F140=Tabela_Movimentacao_Geral[[#This Row],[ID Produto]])*($H$2:$H140) - ($C$2:$C140="Saida")*($F$2:$F140=Tabela_Movimentacao_Geral[[#This Row],[ID Produto]])*($H$2:$H140)),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141" s="5">
        <f ca="1">_xlfn.XLOOKUP(Tabela_Movimentacao_Geral[[#This Row],[ID Produto]], Tabela_Produtos[ID_Produto],Tabela_Produtos[Preco_Unitario_Venda])</f>
        <v>35</v>
      </c>
      <c r="J141" s="6">
        <f ca="1">Tabela_Movimentacao_Geral[[#This Row],[Quantidade]] * Tabela_Movimentacao_Geral[[#This Row],[Valor Unitário]]</f>
        <v>2975</v>
      </c>
      <c r="K141" t="str">
        <f ca="1">IF(
   $O$7="Desbloqueado",
   CHOOSE(RANDBETWEEN(1,3),"Pago","Pendente","Atrasado"),
   Tabela_Movimentacao_Geral[[#This Row],[Status Financeiro]]
)</f>
        <v>Pago</v>
      </c>
      <c r="L141" t="str">
        <f ca="1">IF(
   $O$7="Desbloqueado",
   CHOOSE(RANDBETWEEN(1,3),"Entregue","Em Rota","Aguardando"),
   Tabela_Movimentacao_Geral[[#This Row],[Status Logistico]]
)</f>
        <v>Em Rota</v>
      </c>
      <c r="M14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45733</v>
      </c>
    </row>
    <row r="142" spans="1:13" x14ac:dyDescent="0.3">
      <c r="A142" t="str">
        <f t="shared" si="1"/>
        <v>T0141</v>
      </c>
      <c r="B142" s="1">
        <v>45733</v>
      </c>
      <c r="C142" t="str" cm="1">
        <f t="array" aca="1" ref="C142" ca="1">IF($O$7="Desbloqueado",
  _xlfn.LET(
    _xlpm.saldo_atual, SUM(($C$2:$C141="Entrada")*($F$2:$F141=Tabela_Movimentacao_Geral[[#This Row],[ID Produto]])*($H$2:$H141) - ($C$2:$C141="Saida")*($F$2:$F141=Tabela_Movimentacao_Geral[[#This Row],[ID Produto]])*($H$2:$H141)),
    IF(_xlpm.saldo_atual &gt; 0, IF(RANDBETWEEN(0,10)&gt;3,"Saida","Entrada"), "Entrada")
  ),
  Tabela_Movimentacao_Geral[[#This Row],[Tipo Fluxo]]
)</f>
        <v>Entrada</v>
      </c>
      <c r="D1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1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142" t="str">
        <f ca="1">IF(
  $O$7="Desbloqueado",
  "PROD"&amp;TEXT(RANDBETWEEN(1,200),"000"),
  Tabela_Movimentacao_Geral[[#This Row],[ID Produto]]
)</f>
        <v>PROD048</v>
      </c>
      <c r="G142" t="str">
        <f ca="1">_xlfn.XLOOKUP(Tabela_Movimentacao_Geral[[#This Row],[ID Produto]], Tabela_Produtos[ID_Produto],Tabela_Produtos[Descricao_Produto],"Produto não encontrado")</f>
        <v>Fita para Etiquetadora</v>
      </c>
      <c r="H142" cm="1">
        <f t="array" aca="1" ref="H142" ca="1">IF(
   $O$7="Desbloqueado",
   _xlfn.LET(
     _xlpm.saldo_atual, SUM(($C$2:$C141="Entrada")*($F$2:$F141=Tabela_Movimentacao_Geral[[#This Row],[ID Produto]])*($H$2:$H141) - ($C$2:$C141="Saida")*($F$2:$F141=Tabela_Movimentacao_Geral[[#This Row],[ID Produto]])*($H$2:$H141)),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55</v>
      </c>
      <c r="I142" s="5">
        <f ca="1">_xlfn.XLOOKUP(Tabela_Movimentacao_Geral[[#This Row],[ID Produto]], Tabela_Produtos[ID_Produto],Tabela_Produtos[Preco_Unitario_Venda])</f>
        <v>55</v>
      </c>
      <c r="J142" s="6">
        <f ca="1">Tabela_Movimentacao_Geral[[#This Row],[Quantidade]] * Tabela_Movimentacao_Geral[[#This Row],[Valor Unitário]]</f>
        <v>3025</v>
      </c>
      <c r="K142" t="str">
        <f ca="1">IF(
   $O$7="Desbloqueado",
   CHOOSE(RANDBETWEEN(1,3),"Pago","Pendente","Atrasado"),
   Tabela_Movimentacao_Geral[[#This Row],[Status Financeiro]]
)</f>
        <v>Atrasado</v>
      </c>
      <c r="L142" t="str">
        <f ca="1">IF(
   $O$7="Desbloqueado",
   CHOOSE(RANDBETWEEN(1,3),"Entregue","Em Rota","Aguardando"),
   Tabela_Movimentacao_Geral[[#This Row],[Status Logistico]]
)</f>
        <v>Aguardando</v>
      </c>
      <c r="M14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45740</v>
      </c>
    </row>
    <row r="143" spans="1:13" x14ac:dyDescent="0.3">
      <c r="A143" t="str">
        <f t="shared" si="1"/>
        <v>T0142</v>
      </c>
      <c r="B143" s="1">
        <v>45733</v>
      </c>
      <c r="C143" t="str" cm="1">
        <f t="array" aca="1" ref="C143" ca="1">IF($O$7="Desbloqueado",
  _xlfn.LET(
    _xlpm.saldo_atual, SUM(($C$2:$C142="Entrada")*($F$2:$F142=Tabela_Movimentacao_Geral[[#This Row],[ID Produto]])*($H$2:$H142) - ($C$2:$C142="Saida")*($F$2:$F142=Tabela_Movimentacao_Geral[[#This Row],[ID Produto]])*($H$2:$H142)),
    IF(_xlpm.saldo_atual &gt; 0, IF(RANDBETWEEN(0,10)&gt;3,"Saida","Entrada"), "Entrada")
  ),
  Tabela_Movimentacao_Geral[[#This Row],[Tipo Fluxo]]
)</f>
        <v>Entrada</v>
      </c>
      <c r="D1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1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143" t="str">
        <f ca="1">IF(
  $O$7="Desbloqueado",
  "PROD"&amp;TEXT(RANDBETWEEN(1,200),"000"),
  Tabela_Movimentacao_Geral[[#This Row],[ID Produto]]
)</f>
        <v>PROD013</v>
      </c>
      <c r="G143" t="str">
        <f ca="1">_xlfn.XLOOKUP(Tabela_Movimentacao_Geral[[#This Row],[ID Produto]], Tabela_Produtos[ID_Produto],Tabela_Produtos[Descricao_Produto],"Produto não encontrado")</f>
        <v>Headset com Microfone</v>
      </c>
      <c r="H143" cm="1">
        <f t="array" aca="1" ref="H143" ca="1">IF(
   $O$7="Desbloqueado",
   _xlfn.LET(
     _xlpm.saldo_atual, SUM(($C$2:$C142="Entrada")*($F$2:$F142=Tabela_Movimentacao_Geral[[#This Row],[ID Produto]])*($H$2:$H142) - ($C$2:$C142="Saida")*($F$2:$F142=Tabela_Movimentacao_Geral[[#This Row],[ID Produto]])*($H$2:$H142)),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96</v>
      </c>
      <c r="I143" s="5">
        <f ca="1">_xlfn.XLOOKUP(Tabela_Movimentacao_Geral[[#This Row],[ID Produto]], Tabela_Produtos[ID_Produto],Tabela_Produtos[Preco_Unitario_Venda])</f>
        <v>180</v>
      </c>
      <c r="J143" s="6">
        <f ca="1">Tabela_Movimentacao_Geral[[#This Row],[Quantidade]] * Tabela_Movimentacao_Geral[[#This Row],[Valor Unitário]]</f>
        <v>17280</v>
      </c>
      <c r="K143" t="str">
        <f ca="1">IF(
   $O$7="Desbloqueado",
   CHOOSE(RANDBETWEEN(1,3),"Pago","Pendente","Atrasado"),
   Tabela_Movimentacao_Geral[[#This Row],[Status Financeiro]]
)</f>
        <v>Atrasado</v>
      </c>
      <c r="L143" t="str">
        <f ca="1">IF(
   $O$7="Desbloqueado",
   CHOOSE(RANDBETWEEN(1,3),"Entregue","Em Rota","Aguardando"),
   Tabela_Movimentacao_Geral[[#This Row],[Status Logistico]]
)</f>
        <v>Aguardando</v>
      </c>
      <c r="M14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45736</v>
      </c>
    </row>
    <row r="144" spans="1:13" x14ac:dyDescent="0.3">
      <c r="A144" t="str">
        <f t="shared" si="1"/>
        <v>T0143</v>
      </c>
      <c r="B144" s="1">
        <v>45733</v>
      </c>
      <c r="C144" t="str" cm="1">
        <f t="array" aca="1" ref="C144" ca="1">IF($O$7="Desbloqueado",
  _xlfn.LET(
    _xlpm.saldo_atual, SUM(($C$2:$C143="Entrada")*($F$2:$F143=Tabela_Movimentacao_Geral[[#This Row],[ID Produto]])*($H$2:$H143) - ($C$2:$C143="Saida")*($F$2:$F143=Tabela_Movimentacao_Geral[[#This Row],[ID Produto]])*($H$2:$H143)),
    IF(_xlpm.saldo_atual &gt; 0, IF(RANDBETWEEN(0,10)&gt;3,"Saida","Entrada"), "Entrada")
  ),
  Tabela_Movimentacao_Geral[[#This Row],[Tipo Fluxo]]
)</f>
        <v>Entrada</v>
      </c>
      <c r="D1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1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144" t="str">
        <f ca="1">IF(
  $O$7="Desbloqueado",
  "PROD"&amp;TEXT(RANDBETWEEN(1,200),"000"),
  Tabela_Movimentacao_Geral[[#This Row],[ID Produto]]
)</f>
        <v>PROD003</v>
      </c>
      <c r="G144" t="str">
        <f ca="1">_xlfn.XLOOKUP(Tabela_Movimentacao_Geral[[#This Row],[ID Produto]], Tabela_Produtos[ID_Produto],Tabela_Produtos[Descricao_Produto],"Produto não encontrado")</f>
        <v>Mouse Sem Fio Optico</v>
      </c>
      <c r="H144" cm="1">
        <f t="array" aca="1" ref="H144" ca="1">IF(
   $O$7="Desbloqueado",
   _xlfn.LET(
     _xlpm.saldo_atual, SUM(($C$2:$C143="Entrada")*($F$2:$F143=Tabela_Movimentacao_Geral[[#This Row],[ID Produto]])*($H$2:$H143) - ($C$2:$C143="Saida")*($F$2:$F143=Tabela_Movimentacao_Geral[[#This Row],[ID Produto]])*($H$2:$H143)),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77</v>
      </c>
      <c r="I144" s="5">
        <f ca="1">_xlfn.XLOOKUP(Tabela_Movimentacao_Geral[[#This Row],[ID Produto]], Tabela_Produtos[ID_Produto],Tabela_Produtos[Preco_Unitario_Venda])</f>
        <v>120</v>
      </c>
      <c r="J144" s="6">
        <f ca="1">Tabela_Movimentacao_Geral[[#This Row],[Quantidade]] * Tabela_Movimentacao_Geral[[#This Row],[Valor Unitário]]</f>
        <v>9240</v>
      </c>
      <c r="K144" t="str">
        <f ca="1">IF(
   $O$7="Desbloqueado",
   CHOOSE(RANDBETWEEN(1,3),"Pago","Pendente","Atrasado"),
   Tabela_Movimentacao_Geral[[#This Row],[Status Financeiro]]
)</f>
        <v>Pago</v>
      </c>
      <c r="L144" t="str">
        <f ca="1">IF(
   $O$7="Desbloqueado",
   CHOOSE(RANDBETWEEN(1,3),"Entregue","Em Rota","Aguardando"),
   Tabela_Movimentacao_Geral[[#This Row],[Status Logistico]]
)</f>
        <v>Entregue</v>
      </c>
      <c r="M14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45740</v>
      </c>
    </row>
    <row r="145" spans="1:13" x14ac:dyDescent="0.3">
      <c r="A145" t="str">
        <f t="shared" si="1"/>
        <v>T0144</v>
      </c>
      <c r="B145" s="1">
        <v>45734</v>
      </c>
      <c r="C145" t="str" cm="1">
        <f t="array" aca="1" ref="C145" ca="1">IF($O$7="Desbloqueado",
  _xlfn.LET(
    _xlpm.saldo_atual, SUM(($C$2:$C144="Entrada")*($F$2:$F144=Tabela_Movimentacao_Geral[[#This Row],[ID Produto]])*($H$2:$H144) - ($C$2:$C144="Saida")*($F$2:$F144=Tabela_Movimentacao_Geral[[#This Row],[ID Produto]])*($H$2:$H144)),
    IF(_xlpm.saldo_atual &gt; 0, IF(RANDBETWEEN(0,10)&gt;3,"Saida","Entrada"), "Entrada")
  ),
  Tabela_Movimentacao_Geral[[#This Row],[Tipo Fluxo]]
)</f>
        <v>Entrada</v>
      </c>
      <c r="D1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1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45" t="str">
        <f ca="1">IF(
  $O$7="Desbloqueado",
  "PROD"&amp;TEXT(RANDBETWEEN(1,200),"000"),
  Tabela_Movimentacao_Geral[[#This Row],[ID Produto]]
)</f>
        <v>PROD002</v>
      </c>
      <c r="G145" t="str">
        <f ca="1">_xlfn.XLOOKUP(Tabela_Movimentacao_Geral[[#This Row],[ID Produto]], Tabela_Produtos[ID_Produto],Tabela_Produtos[Descricao_Produto],"Produto não encontrado")</f>
        <v>Teclado Mecanico RGB</v>
      </c>
      <c r="H145" cm="1">
        <f t="array" aca="1" ref="H145" ca="1">IF(
   $O$7="Desbloqueado",
   _xlfn.LET(
     _xlpm.saldo_atual, SUM(($C$2:$C144="Entrada")*($F$2:$F144=Tabela_Movimentacao_Geral[[#This Row],[ID Produto]])*($H$2:$H144) - ($C$2:$C144="Saida")*($F$2:$F144=Tabela_Movimentacao_Geral[[#This Row],[ID Produto]])*($H$2:$H144)),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89</v>
      </c>
      <c r="I145" s="5">
        <f ca="1">_xlfn.XLOOKUP(Tabela_Movimentacao_Geral[[#This Row],[ID Produto]], Tabela_Produtos[ID_Produto],Tabela_Produtos[Preco_Unitario_Venda])</f>
        <v>350</v>
      </c>
      <c r="J145" s="6">
        <f ca="1">Tabela_Movimentacao_Geral[[#This Row],[Quantidade]] * Tabela_Movimentacao_Geral[[#This Row],[Valor Unitário]]</f>
        <v>31150</v>
      </c>
      <c r="K145" t="str">
        <f ca="1">IF(
   $O$7="Desbloqueado",
   CHOOSE(RANDBETWEEN(1,3),"Pago","Pendente","Atrasado"),
   Tabela_Movimentacao_Geral[[#This Row],[Status Financeiro]]
)</f>
        <v>Pendente</v>
      </c>
      <c r="L145" t="str">
        <f ca="1">IF(
   $O$7="Desbloqueado",
   CHOOSE(RANDBETWEEN(1,3),"Entregue","Em Rota","Aguardando"),
   Tabela_Movimentacao_Geral[[#This Row],[Status Logistico]]
)</f>
        <v>Entregue</v>
      </c>
      <c r="M14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45735</v>
      </c>
    </row>
    <row r="146" spans="1:13" x14ac:dyDescent="0.3">
      <c r="A146" t="str">
        <f t="shared" si="1"/>
        <v>T0145</v>
      </c>
      <c r="B146" s="1">
        <v>45734</v>
      </c>
      <c r="C146" t="str" cm="1">
        <f t="array" aca="1" ref="C146" ca="1">IF($O$7="Desbloqueado",
  _xlfn.LET(
    _xlpm.saldo_atual, SUM(($C$2:$C145="Entrada")*($F$2:$F145=Tabela_Movimentacao_Geral[[#This Row],[ID Produto]])*($H$2:$H145) - ($C$2:$C145="Saida")*($F$2:$F145=Tabela_Movimentacao_Geral[[#This Row],[ID Produto]])*($H$2:$H145)),
    IF(_xlpm.saldo_atual &gt; 0, IF(RANDBETWEEN(0,10)&gt;3,"Saida","Entrada"), "Entrada")
  ),
  Tabela_Movimentacao_Geral[[#This Row],[Tipo Fluxo]]
)</f>
        <v>Entrada</v>
      </c>
      <c r="D1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1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146" t="str">
        <f ca="1">IF(
  $O$7="Desbloqueado",
  "PROD"&amp;TEXT(RANDBETWEEN(1,200),"000"),
  Tabela_Movimentacao_Geral[[#This Row],[ID Produto]]
)</f>
        <v>PROD150</v>
      </c>
      <c r="G146" t="str">
        <f ca="1">_xlfn.XLOOKUP(Tabela_Movimentacao_Geral[[#This Row],[ID Produto]], Tabela_Produtos[ID_Produto],Tabela_Produtos[Descricao_Produto],"Produto não encontrado")</f>
        <v>Lanterna de Led Inspeção</v>
      </c>
      <c r="H146" cm="1">
        <f t="array" aca="1" ref="H146" ca="1">IF(
   $O$7="Desbloqueado",
   _xlfn.LET(
     _xlpm.saldo_atual, SUM(($C$2:$C145="Entrada")*($F$2:$F145=Tabela_Movimentacao_Geral[[#This Row],[ID Produto]])*($H$2:$H145) - ($C$2:$C145="Saida")*($F$2:$F145=Tabela_Movimentacao_Geral[[#This Row],[ID Produto]])*($H$2:$H145)),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62</v>
      </c>
      <c r="I146" s="5">
        <f ca="1">_xlfn.XLOOKUP(Tabela_Movimentacao_Geral[[#This Row],[ID Produto]], Tabela_Produtos[ID_Produto],Tabela_Produtos[Preco_Unitario_Venda])</f>
        <v>55</v>
      </c>
      <c r="J146" s="6">
        <f ca="1">Tabela_Movimentacao_Geral[[#This Row],[Quantidade]] * Tabela_Movimentacao_Geral[[#This Row],[Valor Unitário]]</f>
        <v>3410</v>
      </c>
      <c r="K146" t="str">
        <f ca="1">IF(
   $O$7="Desbloqueado",
   CHOOSE(RANDBETWEEN(1,3),"Pago","Pendente","Atrasado"),
   Tabela_Movimentacao_Geral[[#This Row],[Status Financeiro]]
)</f>
        <v>Pendente</v>
      </c>
      <c r="L146" t="str">
        <f ca="1">IF(
   $O$7="Desbloqueado",
   CHOOSE(RANDBETWEEN(1,3),"Entregue","Em Rota","Aguardando"),
   Tabela_Movimentacao_Geral[[#This Row],[Status Logistico]]
)</f>
        <v>Aguardando</v>
      </c>
      <c r="M1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45735</v>
      </c>
    </row>
    <row r="147" spans="1:13" x14ac:dyDescent="0.3">
      <c r="A147" t="str">
        <f t="shared" si="1"/>
        <v>T0146</v>
      </c>
      <c r="B147" s="1">
        <v>45734</v>
      </c>
      <c r="C147" t="str" cm="1">
        <f t="array" aca="1" ref="C147" ca="1">IF($O$7="Desbloqueado",
  _xlfn.LET(
    _xlpm.saldo_atual, SUM(($C$2:$C146="Entrada")*($F$2:$F146=Tabela_Movimentacao_Geral[[#This Row],[ID Produto]])*($H$2:$H146) - ($C$2:$C146="Saida")*($F$2:$F146=Tabela_Movimentacao_Geral[[#This Row],[ID Produto]])*($H$2:$H146)),
    IF(_xlpm.saldo_atual &gt; 0, IF(RANDBETWEEN(0,10)&gt;3,"Saida","Entrada"), "Entrada")
  ),
  Tabela_Movimentacao_Geral[[#This Row],[Tipo Fluxo]]
)</f>
        <v>Entrada</v>
      </c>
      <c r="D1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1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147" t="str">
        <f ca="1">IF(
  $O$7="Desbloqueado",
  "PROD"&amp;TEXT(RANDBETWEEN(1,200),"000"),
  Tabela_Movimentacao_Geral[[#This Row],[ID Produto]]
)</f>
        <v>PROD046</v>
      </c>
      <c r="G147" t="str">
        <f ca="1">_xlfn.XLOOKUP(Tabela_Movimentacao_Geral[[#This Row],[ID Produto]], Tabela_Produtos[ID_Produto],Tabela_Produtos[Descricao_Produto],"Produto não encontrado")</f>
        <v>Organizador de Cabos Spiral</v>
      </c>
      <c r="H147" cm="1">
        <f t="array" aca="1" ref="H147" ca="1">IF(
   $O$7="Desbloqueado",
   _xlfn.LET(
     _xlpm.saldo_atual, SUM(($C$2:$C146="Entrada")*($F$2:$F146=Tabela_Movimentacao_Geral[[#This Row],[ID Produto]])*($H$2:$H146) - ($C$2:$C146="Saida")*($F$2:$F146=Tabela_Movimentacao_Geral[[#This Row],[ID Produto]])*($H$2:$H146)),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194</v>
      </c>
      <c r="I147" s="5">
        <f ca="1">_xlfn.XLOOKUP(Tabela_Movimentacao_Geral[[#This Row],[ID Produto]], Tabela_Produtos[ID_Produto],Tabela_Produtos[Preco_Unitario_Venda])</f>
        <v>15</v>
      </c>
      <c r="J147" s="6">
        <f ca="1">Tabela_Movimentacao_Geral[[#This Row],[Quantidade]] * Tabela_Movimentacao_Geral[[#This Row],[Valor Unitário]]</f>
        <v>2910</v>
      </c>
      <c r="K147" t="str">
        <f ca="1">IF(
   $O$7="Desbloqueado",
   CHOOSE(RANDBETWEEN(1,3),"Pago","Pendente","Atrasado"),
   Tabela_Movimentacao_Geral[[#This Row],[Status Financeiro]]
)</f>
        <v>Pago</v>
      </c>
      <c r="L147" t="str">
        <f ca="1">IF(
   $O$7="Desbloqueado",
   CHOOSE(RANDBETWEEN(1,3),"Entregue","Em Rota","Aguardando"),
   Tabela_Movimentacao_Geral[[#This Row],[Status Logistico]]
)</f>
        <v>Em Rota</v>
      </c>
      <c r="M1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45746</v>
      </c>
    </row>
    <row r="148" spans="1:13" x14ac:dyDescent="0.3">
      <c r="A148" t="str">
        <f t="shared" si="1"/>
        <v>T0147</v>
      </c>
      <c r="B148" s="1">
        <v>45734</v>
      </c>
      <c r="C148" t="str" cm="1">
        <f t="array" aca="1" ref="C148" ca="1">IF($O$7="Desbloqueado",
  _xlfn.LET(
    _xlpm.saldo_atual, SUM(($C$2:$C147="Entrada")*($F$2:$F147=Tabela_Movimentacao_Geral[[#This Row],[ID Produto]])*($H$2:$H147) - ($C$2:$C147="Saida")*($F$2:$F147=Tabela_Movimentacao_Geral[[#This Row],[ID Produto]])*($H$2:$H147)),
    IF(_xlpm.saldo_atual &gt; 0, IF(RANDBETWEEN(0,10)&gt;3,"Saida","Entrada"), "Entrada")
  ),
  Tabela_Movimentacao_Geral[[#This Row],[Tipo Fluxo]]
)</f>
        <v>Entrada</v>
      </c>
      <c r="D1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1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148" t="str">
        <f ca="1">IF(
  $O$7="Desbloqueado",
  "PROD"&amp;TEXT(RANDBETWEEN(1,200),"000"),
  Tabela_Movimentacao_Geral[[#This Row],[ID Produto]]
)</f>
        <v>PROD149</v>
      </c>
      <c r="G148" t="str">
        <f ca="1">_xlfn.XLOOKUP(Tabela_Movimentacao_Geral[[#This Row],[ID Produto]], Tabela_Produtos[ID_Produto],Tabela_Produtos[Descricao_Produto],"Produto não encontrado")</f>
        <v>Multimetro Digital</v>
      </c>
      <c r="H148" cm="1">
        <f t="array" aca="1" ref="H148" ca="1">IF(
   $O$7="Desbloqueado",
   _xlfn.LET(
     _xlpm.saldo_atual, SUM(($C$2:$C147="Entrada")*($F$2:$F147=Tabela_Movimentacao_Geral[[#This Row],[ID Produto]])*($H$2:$H147) - ($C$2:$C147="Saida")*($F$2:$F147=Tabela_Movimentacao_Geral[[#This Row],[ID Produto]])*($H$2:$H147)),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148" s="5">
        <f ca="1">_xlfn.XLOOKUP(Tabela_Movimentacao_Geral[[#This Row],[ID Produto]], Tabela_Produtos[ID_Produto],Tabela_Produtos[Preco_Unitario_Venda])</f>
        <v>145</v>
      </c>
      <c r="J148" s="6">
        <f ca="1">Tabela_Movimentacao_Geral[[#This Row],[Quantidade]] * Tabela_Movimentacao_Geral[[#This Row],[Valor Unitário]]</f>
        <v>7685</v>
      </c>
      <c r="K148" t="str">
        <f ca="1">IF(
   $O$7="Desbloqueado",
   CHOOSE(RANDBETWEEN(1,3),"Pago","Pendente","Atrasado"),
   Tabela_Movimentacao_Geral[[#This Row],[Status Financeiro]]
)</f>
        <v>Pendente</v>
      </c>
      <c r="L148" t="str">
        <f ca="1">IF(
   $O$7="Desbloqueado",
   CHOOSE(RANDBETWEEN(1,3),"Entregue","Em Rota","Aguardando"),
   Tabela_Movimentacao_Geral[[#This Row],[Status Logistico]]
)</f>
        <v>Aguardando</v>
      </c>
      <c r="M14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45741</v>
      </c>
    </row>
    <row r="149" spans="1:13" x14ac:dyDescent="0.3">
      <c r="A149" t="str">
        <f t="shared" si="1"/>
        <v>T0148</v>
      </c>
      <c r="B149" s="1">
        <v>45734</v>
      </c>
      <c r="C149" t="str" cm="1">
        <f t="array" aca="1" ref="C149" ca="1">IF($O$7="Desbloqueado",
  _xlfn.LET(
    _xlpm.saldo_atual, SUM(($C$2:$C148="Entrada")*($F$2:$F148=Tabela_Movimentacao_Geral[[#This Row],[ID Produto]])*($H$2:$H148) - ($C$2:$C148="Saida")*($F$2:$F148=Tabela_Movimentacao_Geral[[#This Row],[ID Produto]])*($H$2:$H148)),
    IF(_xlpm.saldo_atual &gt; 0, IF(RANDBETWEEN(0,10)&gt;3,"Saida","Entrada"), "Entrada")
  ),
  Tabela_Movimentacao_Geral[[#This Row],[Tipo Fluxo]]
)</f>
        <v>Entrada</v>
      </c>
      <c r="D1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1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149" t="str">
        <f ca="1">IF(
  $O$7="Desbloqueado",
  "PROD"&amp;TEXT(RANDBETWEEN(1,200),"000"),
  Tabela_Movimentacao_Geral[[#This Row],[ID Produto]]
)</f>
        <v>PROD166</v>
      </c>
      <c r="G149" t="str">
        <f ca="1">_xlfn.XLOOKUP(Tabela_Movimentacao_Geral[[#This Row],[ID Produto]], Tabela_Produtos[ID_Produto],Tabela_Produtos[Descricao_Produto],"Produto não encontrado")</f>
        <v>Tinta para Carimbo 30ml</v>
      </c>
      <c r="H149" cm="1">
        <f t="array" aca="1" ref="H149" ca="1">IF(
   $O$7="Desbloqueado",
   _xlfn.LET(
     _xlpm.saldo_atual, SUM(($C$2:$C148="Entrada")*($F$2:$F148=Tabela_Movimentacao_Geral[[#This Row],[ID Produto]])*($H$2:$H148) - ($C$2:$C148="Saida")*($F$2:$F148=Tabela_Movimentacao_Geral[[#This Row],[ID Produto]])*($H$2:$H148)),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149" s="5">
        <f ca="1">_xlfn.XLOOKUP(Tabela_Movimentacao_Geral[[#This Row],[ID Produto]], Tabela_Produtos[ID_Produto],Tabela_Produtos[Preco_Unitario_Venda])</f>
        <v>12</v>
      </c>
      <c r="J149" s="6">
        <f ca="1">Tabela_Movimentacao_Geral[[#This Row],[Quantidade]] * Tabela_Movimentacao_Geral[[#This Row],[Valor Unitário]]</f>
        <v>24</v>
      </c>
      <c r="K149" t="str">
        <f ca="1">IF(
   $O$7="Desbloqueado",
   CHOOSE(RANDBETWEEN(1,3),"Pago","Pendente","Atrasado"),
   Tabela_Movimentacao_Geral[[#This Row],[Status Financeiro]]
)</f>
        <v>Atrasado</v>
      </c>
      <c r="L149" t="str">
        <f ca="1">IF(
   $O$7="Desbloqueado",
   CHOOSE(RANDBETWEEN(1,3),"Entregue","Em Rota","Aguardando"),
   Tabela_Movimentacao_Geral[[#This Row],[Status Logistico]]
)</f>
        <v>Entregue</v>
      </c>
      <c r="M14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45739</v>
      </c>
    </row>
    <row r="150" spans="1:13" x14ac:dyDescent="0.3">
      <c r="A150" t="str">
        <f t="shared" si="1"/>
        <v>T0149</v>
      </c>
      <c r="B150" s="1">
        <v>45734</v>
      </c>
      <c r="C150" t="str" cm="1">
        <f t="array" aca="1" ref="C150" ca="1">IF($O$7="Desbloqueado",
  _xlfn.LET(
    _xlpm.saldo_atual, SUM(($C$2:$C149="Entrada")*($F$2:$F149=Tabela_Movimentacao_Geral[[#This Row],[ID Produto]])*($H$2:$H149) - ($C$2:$C149="Saida")*($F$2:$F149=Tabela_Movimentacao_Geral[[#This Row],[ID Produto]])*($H$2:$H149)),
    IF(_xlpm.saldo_atual &gt; 0, IF(RANDBETWEEN(0,10)&gt;3,"Saida","Entrada"), "Entrada")
  ),
  Tabela_Movimentacao_Geral[[#This Row],[Tipo Fluxo]]
)</f>
        <v>Saida</v>
      </c>
      <c r="D1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1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150" t="str">
        <f ca="1">IF(
  $O$7="Desbloqueado",
  "PROD"&amp;TEXT(RANDBETWEEN(1,200),"000"),
  Tabela_Movimentacao_Geral[[#This Row],[ID Produto]]
)</f>
        <v>PROD110</v>
      </c>
      <c r="G150" t="str">
        <f ca="1">_xlfn.XLOOKUP(Tabela_Movimentacao_Geral[[#This Row],[ID Produto]], Tabela_Produtos[ID_Produto],Tabela_Produtos[Descricao_Produto],"Produto não encontrado")</f>
        <v>SSD M.2 NVMe 1TB</v>
      </c>
      <c r="H150" cm="1">
        <f t="array" aca="1" ref="H150" ca="1">IF(
   $O$7="Desbloqueado",
   _xlfn.LET(
     _xlpm.saldo_atual, SUM(($C$2:$C149="Entrada")*($F$2:$F149=Tabela_Movimentacao_Geral[[#This Row],[ID Produto]])*($H$2:$H149) - ($C$2:$C149="Saida")*($F$2:$F149=Tabela_Movimentacao_Geral[[#This Row],[ID Produto]])*($H$2:$H149)),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150" s="5">
        <f ca="1">_xlfn.XLOOKUP(Tabela_Movimentacao_Geral[[#This Row],[ID Produto]], Tabela_Produtos[ID_Produto],Tabela_Produtos[Preco_Unitario_Venda])</f>
        <v>580</v>
      </c>
      <c r="J150" s="6">
        <f ca="1">Tabela_Movimentacao_Geral[[#This Row],[Quantidade]] * Tabela_Movimentacao_Geral[[#This Row],[Valor Unitário]]</f>
        <v>6960</v>
      </c>
      <c r="K150" t="str">
        <f ca="1">IF(
   $O$7="Desbloqueado",
   CHOOSE(RANDBETWEEN(1,3),"Pago","Pendente","Atrasado"),
   Tabela_Movimentacao_Geral[[#This Row],[Status Financeiro]]
)</f>
        <v>Atrasado</v>
      </c>
      <c r="L150" t="str">
        <f ca="1">IF(
   $O$7="Desbloqueado",
   CHOOSE(RANDBETWEEN(1,3),"Entregue","Em Rota","Aguardando"),
   Tabela_Movimentacao_Geral[[#This Row],[Status Logistico]]
)</f>
        <v>Em Rota</v>
      </c>
      <c r="M15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51" spans="1:13" x14ac:dyDescent="0.3">
      <c r="A151" t="str">
        <f t="shared" ref="A151:A214" si="2">"T"&amp;TEXT(ROW(A151)-1,"0000")</f>
        <v>T0150</v>
      </c>
      <c r="B151" s="1">
        <v>45737</v>
      </c>
      <c r="C151" t="str" cm="1">
        <f t="array" aca="1" ref="C151" ca="1">IF($O$7="Desbloqueado",
  _xlfn.LET(
    _xlpm.saldo_atual, SUM(($C$2:$C150="Entrada")*($F$2:$F150=Tabela_Movimentacao_Geral[[#This Row],[ID Produto]])*($H$2:$H150) - ($C$2:$C150="Saida")*($F$2:$F150=Tabela_Movimentacao_Geral[[#This Row],[ID Produto]])*($H$2:$H150)),
    IF(_xlpm.saldo_atual &gt; 0, IF(RANDBETWEEN(0,10)&gt;3,"Saida","Entrada"), "Entrada")
  ),
  Tabela_Movimentacao_Geral[[#This Row],[Tipo Fluxo]]
)</f>
        <v>Entrada</v>
      </c>
      <c r="D1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1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151" t="str">
        <f ca="1">IF(
  $O$7="Desbloqueado",
  "PROD"&amp;TEXT(RANDBETWEEN(1,200),"000"),
  Tabela_Movimentacao_Geral[[#This Row],[ID Produto]]
)</f>
        <v>PROD052</v>
      </c>
      <c r="G151" t="str">
        <f ca="1">_xlfn.XLOOKUP(Tabela_Movimentacao_Geral[[#This Row],[ID Produto]], Tabela_Produtos[ID_Produto],Tabela_Produtos[Descricao_Produto],"Produto não encontrado")</f>
        <v>Clips Metalicos 33mm 100un</v>
      </c>
      <c r="H151" cm="1">
        <f t="array" aca="1" ref="H151" ca="1">IF(
   $O$7="Desbloqueado",
   _xlfn.LET(
     _xlpm.saldo_atual, SUM(($C$2:$C150="Entrada")*($F$2:$F150=Tabela_Movimentacao_Geral[[#This Row],[ID Produto]])*($H$2:$H150) - ($C$2:$C150="Saida")*($F$2:$F150=Tabela_Movimentacao_Geral[[#This Row],[ID Produto]])*($H$2:$H150)),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86</v>
      </c>
      <c r="I151" s="5">
        <f ca="1">_xlfn.XLOOKUP(Tabela_Movimentacao_Geral[[#This Row],[ID Produto]], Tabela_Produtos[ID_Produto],Tabela_Produtos[Preco_Unitario_Venda])</f>
        <v>6.5</v>
      </c>
      <c r="J151" s="6">
        <f ca="1">Tabela_Movimentacao_Geral[[#This Row],[Quantidade]] * Tabela_Movimentacao_Geral[[#This Row],[Valor Unitário]]</f>
        <v>559</v>
      </c>
      <c r="K151" t="str">
        <f ca="1">IF(
   $O$7="Desbloqueado",
   CHOOSE(RANDBETWEEN(1,3),"Pago","Pendente","Atrasado"),
   Tabela_Movimentacao_Geral[[#This Row],[Status Financeiro]]
)</f>
        <v>Pago</v>
      </c>
      <c r="L151" t="str">
        <f ca="1">IF(
   $O$7="Desbloqueado",
   CHOOSE(RANDBETWEEN(1,3),"Entregue","Em Rota","Aguardando"),
   Tabela_Movimentacao_Geral[[#This Row],[Status Logistico]]
)</f>
        <v>Entregue</v>
      </c>
      <c r="M15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45745</v>
      </c>
    </row>
    <row r="152" spans="1:13" x14ac:dyDescent="0.3">
      <c r="A152" t="str">
        <f t="shared" si="2"/>
        <v>T0151</v>
      </c>
      <c r="B152" s="1">
        <v>45737</v>
      </c>
      <c r="C152" t="str" cm="1">
        <f t="array" aca="1" ref="C152" ca="1">IF($O$7="Desbloqueado",
  _xlfn.LET(
    _xlpm.saldo_atual, SUM(($C$2:$C151="Entrada")*($F$2:$F151=Tabela_Movimentacao_Geral[[#This Row],[ID Produto]])*($H$2:$H151) - ($C$2:$C151="Saida")*($F$2:$F151=Tabela_Movimentacao_Geral[[#This Row],[ID Produto]])*($H$2:$H151)),
    IF(_xlpm.saldo_atual &gt; 0, IF(RANDBETWEEN(0,10)&gt;3,"Saida","Entrada"), "Entrada")
  ),
  Tabela_Movimentacao_Geral[[#This Row],[Tipo Fluxo]]
)</f>
        <v>Saida</v>
      </c>
      <c r="D1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1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152" t="str">
        <f ca="1">IF(
  $O$7="Desbloqueado",
  "PROD"&amp;TEXT(RANDBETWEEN(1,200),"000"),
  Tabela_Movimentacao_Geral[[#This Row],[ID Produto]]
)</f>
        <v>PROD076</v>
      </c>
      <c r="G152" t="str">
        <f ca="1">_xlfn.XLOOKUP(Tabela_Movimentacao_Geral[[#This Row],[ID Produto]], Tabela_Produtos[ID_Produto],Tabela_Produtos[Descricao_Produto],"Produto não encontrado")</f>
        <v>Fragmentadora de Papel</v>
      </c>
      <c r="H152" cm="1">
        <f t="array" aca="1" ref="H152" ca="1">IF(
   $O$7="Desbloqueado",
   _xlfn.LET(
     _xlpm.saldo_atual, SUM(($C$2:$C151="Entrada")*($F$2:$F151=Tabela_Movimentacao_Geral[[#This Row],[ID Produto]])*($H$2:$H151) - ($C$2:$C151="Saida")*($F$2:$F151=Tabela_Movimentacao_Geral[[#This Row],[ID Produto]])*($H$2:$H151)),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152" s="5">
        <f ca="1">_xlfn.XLOOKUP(Tabela_Movimentacao_Geral[[#This Row],[ID Produto]], Tabela_Produtos[ID_Produto],Tabela_Produtos[Preco_Unitario_Venda])</f>
        <v>750</v>
      </c>
      <c r="J152" s="6">
        <f ca="1">Tabela_Movimentacao_Geral[[#This Row],[Quantidade]] * Tabela_Movimentacao_Geral[[#This Row],[Valor Unitário]]</f>
        <v>2250</v>
      </c>
      <c r="K152" t="str">
        <f ca="1">IF(
   $O$7="Desbloqueado",
   CHOOSE(RANDBETWEEN(1,3),"Pago","Pendente","Atrasado"),
   Tabela_Movimentacao_Geral[[#This Row],[Status Financeiro]]
)</f>
        <v>Pendente</v>
      </c>
      <c r="L152" t="str">
        <f ca="1">IF(
   $O$7="Desbloqueado",
   CHOOSE(RANDBETWEEN(1,3),"Entregue","Em Rota","Aguardando"),
   Tabela_Movimentacao_Geral[[#This Row],[Status Logistico]]
)</f>
        <v>Entregue</v>
      </c>
      <c r="M1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53" spans="1:13" x14ac:dyDescent="0.3">
      <c r="A153" t="str">
        <f t="shared" si="2"/>
        <v>T0152</v>
      </c>
      <c r="B153" s="1">
        <v>45738</v>
      </c>
      <c r="C153" t="str" cm="1">
        <f t="array" aca="1" ref="C153" ca="1">IF($O$7="Desbloqueado",
  _xlfn.LET(
    _xlpm.saldo_atual, SUM(($C$2:$C152="Entrada")*($F$2:$F152=Tabela_Movimentacao_Geral[[#This Row],[ID Produto]])*($H$2:$H152) - ($C$2:$C152="Saida")*($F$2:$F152=Tabela_Movimentacao_Geral[[#This Row],[ID Produto]])*($H$2:$H152)),
    IF(_xlpm.saldo_atual &gt; 0, IF(RANDBETWEEN(0,10)&gt;3,"Saida","Entrada"), "Entrada")
  ),
  Tabela_Movimentacao_Geral[[#This Row],[Tipo Fluxo]]
)</f>
        <v>Entrada</v>
      </c>
      <c r="D1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1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153" t="str">
        <f ca="1">IF(
  $O$7="Desbloqueado",
  "PROD"&amp;TEXT(RANDBETWEEN(1,200),"000"),
  Tabela_Movimentacao_Geral[[#This Row],[ID Produto]]
)</f>
        <v>PROD081</v>
      </c>
      <c r="G153" t="str">
        <f ca="1">_xlfn.XLOOKUP(Tabela_Movimentacao_Geral[[#This Row],[ID Produto]], Tabela_Produtos[ID_Produto],Tabela_Produtos[Descricao_Produto],"Produto não encontrado")</f>
        <v>Servidor Rack 1U</v>
      </c>
      <c r="H153" cm="1">
        <f t="array" aca="1" ref="H153" ca="1">IF(
   $O$7="Desbloqueado",
   _xlfn.LET(
     _xlpm.saldo_atual, SUM(($C$2:$C152="Entrada")*($F$2:$F152=Tabela_Movimentacao_Geral[[#This Row],[ID Produto]])*($H$2:$H152) - ($C$2:$C152="Saida")*($F$2:$F152=Tabela_Movimentacao_Geral[[#This Row],[ID Produto]])*($H$2:$H152)),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153" s="5">
        <f ca="1">_xlfn.XLOOKUP(Tabela_Movimentacao_Geral[[#This Row],[ID Produto]], Tabela_Produtos[ID_Produto],Tabela_Produtos[Preco_Unitario_Venda])</f>
        <v>12500</v>
      </c>
      <c r="J153" s="6">
        <f ca="1">Tabela_Movimentacao_Geral[[#This Row],[Quantidade]] * Tabela_Movimentacao_Geral[[#This Row],[Valor Unitário]]</f>
        <v>562500</v>
      </c>
      <c r="K153" t="str">
        <f ca="1">IF(
   $O$7="Desbloqueado",
   CHOOSE(RANDBETWEEN(1,3),"Pago","Pendente","Atrasado"),
   Tabela_Movimentacao_Geral[[#This Row],[Status Financeiro]]
)</f>
        <v>Pendente</v>
      </c>
      <c r="L153" t="str">
        <f ca="1">IF(
   $O$7="Desbloqueado",
   CHOOSE(RANDBETWEEN(1,3),"Entregue","Em Rota","Aguardando"),
   Tabela_Movimentacao_Geral[[#This Row],[Status Logistico]]
)</f>
        <v>Em Rota</v>
      </c>
      <c r="M15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45739</v>
      </c>
    </row>
    <row r="154" spans="1:13" x14ac:dyDescent="0.3">
      <c r="A154" t="str">
        <f t="shared" si="2"/>
        <v>T0153</v>
      </c>
      <c r="B154" s="1">
        <v>45739</v>
      </c>
      <c r="C154" t="str" cm="1">
        <f t="array" aca="1" ref="C154" ca="1">IF($O$7="Desbloqueado",
  _xlfn.LET(
    _xlpm.saldo_atual, SUM(($C$2:$C153="Entrada")*($F$2:$F153=Tabela_Movimentacao_Geral[[#This Row],[ID Produto]])*($H$2:$H153) - ($C$2:$C153="Saida")*($F$2:$F153=Tabela_Movimentacao_Geral[[#This Row],[ID Produto]])*($H$2:$H153)),
    IF(_xlpm.saldo_atual &gt; 0, IF(RANDBETWEEN(0,10)&gt;3,"Saida","Entrada"), "Entrada")
  ),
  Tabela_Movimentacao_Geral[[#This Row],[Tipo Fluxo]]
)</f>
        <v>Entrada</v>
      </c>
      <c r="D1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1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154" t="str">
        <f ca="1">IF(
  $O$7="Desbloqueado",
  "PROD"&amp;TEXT(RANDBETWEEN(1,200),"000"),
  Tabela_Movimentacao_Geral[[#This Row],[ID Produto]]
)</f>
        <v>PROD122</v>
      </c>
      <c r="G154" t="str">
        <f ca="1">_xlfn.XLOOKUP(Tabela_Movimentacao_Geral[[#This Row],[ID Produto]], Tabela_Produtos[ID_Produto],Tabela_Produtos[Descricao_Produto],"Produto não encontrado")</f>
        <v>Windows Server 2022 CAL</v>
      </c>
      <c r="H154" cm="1">
        <f t="array" aca="1" ref="H154" ca="1">IF(
   $O$7="Desbloqueado",
   _xlfn.LET(
     _xlpm.saldo_atual, SUM(($C$2:$C153="Entrada")*($F$2:$F153=Tabela_Movimentacao_Geral[[#This Row],[ID Produto]])*($H$2:$H153) - ($C$2:$C153="Saida")*($F$2:$F153=Tabela_Movimentacao_Geral[[#This Row],[ID Produto]])*($H$2:$H153)),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94</v>
      </c>
      <c r="I154" s="5">
        <f ca="1">_xlfn.XLOOKUP(Tabela_Movimentacao_Geral[[#This Row],[ID Produto]], Tabela_Produtos[ID_Produto],Tabela_Produtos[Preco_Unitario_Venda])</f>
        <v>180</v>
      </c>
      <c r="J154" s="6">
        <f ca="1">Tabela_Movimentacao_Geral[[#This Row],[Quantidade]] * Tabela_Movimentacao_Geral[[#This Row],[Valor Unitário]]</f>
        <v>16920</v>
      </c>
      <c r="K154" t="str">
        <f ca="1">IF(
   $O$7="Desbloqueado",
   CHOOSE(RANDBETWEEN(1,3),"Pago","Pendente","Atrasado"),
   Tabela_Movimentacao_Geral[[#This Row],[Status Financeiro]]
)</f>
        <v>Atrasado</v>
      </c>
      <c r="L154" t="str">
        <f ca="1">IF(
   $O$7="Desbloqueado",
   CHOOSE(RANDBETWEEN(1,3),"Entregue","Em Rota","Aguardando"),
   Tabela_Movimentacao_Geral[[#This Row],[Status Logistico]]
)</f>
        <v>Entregue</v>
      </c>
      <c r="M15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45745</v>
      </c>
    </row>
    <row r="155" spans="1:13" x14ac:dyDescent="0.3">
      <c r="A155" t="str">
        <f t="shared" si="2"/>
        <v>T0154</v>
      </c>
      <c r="B155" s="1">
        <v>45740</v>
      </c>
      <c r="C155" t="str" cm="1">
        <f t="array" aca="1" ref="C155" ca="1">IF($O$7="Desbloqueado",
  _xlfn.LET(
    _xlpm.saldo_atual, SUM(($C$2:$C154="Entrada")*($F$2:$F154=Tabela_Movimentacao_Geral[[#This Row],[ID Produto]])*($H$2:$H154) - ($C$2:$C154="Saida")*($F$2:$F154=Tabela_Movimentacao_Geral[[#This Row],[ID Produto]])*($H$2:$H154)),
    IF(_xlpm.saldo_atual &gt; 0, IF(RANDBETWEEN(0,10)&gt;3,"Saida","Entrada"), "Entrada")
  ),
  Tabela_Movimentacao_Geral[[#This Row],[Tipo Fluxo]]
)</f>
        <v>Saida</v>
      </c>
      <c r="D1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1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155" t="str">
        <f ca="1">IF(
  $O$7="Desbloqueado",
  "PROD"&amp;TEXT(RANDBETWEEN(1,200),"000"),
  Tabela_Movimentacao_Geral[[#This Row],[ID Produto]]
)</f>
        <v>PROD166</v>
      </c>
      <c r="G155" t="str">
        <f ca="1">_xlfn.XLOOKUP(Tabela_Movimentacao_Geral[[#This Row],[ID Produto]], Tabela_Produtos[ID_Produto],Tabela_Produtos[Descricao_Produto],"Produto não encontrado")</f>
        <v>Tinta para Carimbo 30ml</v>
      </c>
      <c r="H155" cm="1">
        <f t="array" aca="1" ref="H155" ca="1">IF(
   $O$7="Desbloqueado",
   _xlfn.LET(
     _xlpm.saldo_atual, SUM(($C$2:$C154="Entrada")*($F$2:$F154=Tabela_Movimentacao_Geral[[#This Row],[ID Produto]])*($H$2:$H154) - ($C$2:$C154="Saida")*($F$2:$F154=Tabela_Movimentacao_Geral[[#This Row],[ID Produto]])*($H$2:$H154)),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155" s="5">
        <f ca="1">_xlfn.XLOOKUP(Tabela_Movimentacao_Geral[[#This Row],[ID Produto]], Tabela_Produtos[ID_Produto],Tabela_Produtos[Preco_Unitario_Venda])</f>
        <v>12</v>
      </c>
      <c r="J155" s="6">
        <f ca="1">Tabela_Movimentacao_Geral[[#This Row],[Quantidade]] * Tabela_Movimentacao_Geral[[#This Row],[Valor Unitário]]</f>
        <v>324</v>
      </c>
      <c r="K155" t="str">
        <f ca="1">IF(
   $O$7="Desbloqueado",
   CHOOSE(RANDBETWEEN(1,3),"Pago","Pendente","Atrasado"),
   Tabela_Movimentacao_Geral[[#This Row],[Status Financeiro]]
)</f>
        <v>Pago</v>
      </c>
      <c r="L155" t="str">
        <f ca="1">IF(
   $O$7="Desbloqueado",
   CHOOSE(RANDBETWEEN(1,3),"Entregue","Em Rota","Aguardando"),
   Tabela_Movimentacao_Geral[[#This Row],[Status Logistico]]
)</f>
        <v>Aguardando</v>
      </c>
      <c r="M15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56" spans="1:13" x14ac:dyDescent="0.3">
      <c r="A156" t="str">
        <f t="shared" si="2"/>
        <v>T0155</v>
      </c>
      <c r="B156" s="1">
        <v>45740</v>
      </c>
      <c r="C156" t="str" cm="1">
        <f t="array" aca="1" ref="C156" ca="1">IF($O$7="Desbloqueado",
  _xlfn.LET(
    _xlpm.saldo_atual, SUM(($C$2:$C155="Entrada")*($F$2:$F155=Tabela_Movimentacao_Geral[[#This Row],[ID Produto]])*($H$2:$H155) - ($C$2:$C155="Saida")*($F$2:$F155=Tabela_Movimentacao_Geral[[#This Row],[ID Produto]])*($H$2:$H155)),
    IF(_xlpm.saldo_atual &gt; 0, IF(RANDBETWEEN(0,10)&gt;3,"Saida","Entrada"), "Entrada")
  ),
  Tabela_Movimentacao_Geral[[#This Row],[Tipo Fluxo]]
)</f>
        <v>Saida</v>
      </c>
      <c r="D1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1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156" t="str">
        <f ca="1">IF(
  $O$7="Desbloqueado",
  "PROD"&amp;TEXT(RANDBETWEEN(1,200),"000"),
  Tabela_Movimentacao_Geral[[#This Row],[ID Produto]]
)</f>
        <v>PROD192</v>
      </c>
      <c r="G156" t="str">
        <f ca="1">_xlfn.XLOOKUP(Tabela_Movimentacao_Geral[[#This Row],[ID Produto]], Tabela_Produtos[ID_Produto],Tabela_Produtos[Descricao_Produto],"Produto não encontrado")</f>
        <v>Protetor Surto Coaxial</v>
      </c>
      <c r="H156" cm="1">
        <f t="array" aca="1" ref="H156" ca="1">IF(
   $O$7="Desbloqueado",
   _xlfn.LET(
     _xlpm.saldo_atual, SUM(($C$2:$C155="Entrada")*($F$2:$F155=Tabela_Movimentacao_Geral[[#This Row],[ID Produto]])*($H$2:$H155) - ($C$2:$C155="Saida")*($F$2:$F155=Tabela_Movimentacao_Geral[[#This Row],[ID Produto]])*($H$2:$H155)),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156" s="5">
        <f ca="1">_xlfn.XLOOKUP(Tabela_Movimentacao_Geral[[#This Row],[ID Produto]], Tabela_Produtos[ID_Produto],Tabela_Produtos[Preco_Unitario_Venda])</f>
        <v>85</v>
      </c>
      <c r="J156" s="6">
        <f ca="1">Tabela_Movimentacao_Geral[[#This Row],[Quantidade]] * Tabela_Movimentacao_Geral[[#This Row],[Valor Unitário]]</f>
        <v>1955</v>
      </c>
      <c r="K156" t="str">
        <f ca="1">IF(
   $O$7="Desbloqueado",
   CHOOSE(RANDBETWEEN(1,3),"Pago","Pendente","Atrasado"),
   Tabela_Movimentacao_Geral[[#This Row],[Status Financeiro]]
)</f>
        <v>Atrasado</v>
      </c>
      <c r="L156" t="str">
        <f ca="1">IF(
   $O$7="Desbloqueado",
   CHOOSE(RANDBETWEEN(1,3),"Entregue","Em Rota","Aguardando"),
   Tabela_Movimentacao_Geral[[#This Row],[Status Logistico]]
)</f>
        <v>Em Rota</v>
      </c>
      <c r="M15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57" spans="1:13" x14ac:dyDescent="0.3">
      <c r="A157" t="str">
        <f t="shared" si="2"/>
        <v>T0156</v>
      </c>
      <c r="B157" s="1">
        <v>45740</v>
      </c>
      <c r="C157" t="str" cm="1">
        <f t="array" aca="1" ref="C157" ca="1">IF($O$7="Desbloqueado",
  _xlfn.LET(
    _xlpm.saldo_atual, SUM(($C$2:$C156="Entrada")*($F$2:$F156=Tabela_Movimentacao_Geral[[#This Row],[ID Produto]])*($H$2:$H156) - ($C$2:$C156="Saida")*($F$2:$F156=Tabela_Movimentacao_Geral[[#This Row],[ID Produto]])*($H$2:$H156)),
    IF(_xlpm.saldo_atual &gt; 0, IF(RANDBETWEEN(0,10)&gt;3,"Saida","Entrada"), "Entrada")
  ),
  Tabela_Movimentacao_Geral[[#This Row],[Tipo Fluxo]]
)</f>
        <v>Entrada</v>
      </c>
      <c r="D1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1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157" t="str">
        <f ca="1">IF(
  $O$7="Desbloqueado",
  "PROD"&amp;TEXT(RANDBETWEEN(1,200),"000"),
  Tabela_Movimentacao_Geral[[#This Row],[ID Produto]]
)</f>
        <v>PROD089</v>
      </c>
      <c r="G157" t="str">
        <f ca="1">_xlfn.XLOOKUP(Tabela_Movimentacao_Geral[[#This Row],[ID Produto]], Tabela_Produtos[ID_Produto],Tabela_Produtos[Descricao_Produto],"Produto não encontrado")</f>
        <v>Rack de Parede 9U</v>
      </c>
      <c r="H157" cm="1">
        <f t="array" aca="1" ref="H157" ca="1">IF(
   $O$7="Desbloqueado",
   _xlfn.LET(
     _xlpm.saldo_atual, SUM(($C$2:$C156="Entrada")*($F$2:$F156=Tabela_Movimentacao_Geral[[#This Row],[ID Produto]])*($H$2:$H156) - ($C$2:$C156="Saida")*($F$2:$F156=Tabela_Movimentacao_Geral[[#This Row],[ID Produto]])*($H$2:$H156)),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157" s="5">
        <f ca="1">_xlfn.XLOOKUP(Tabela_Movimentacao_Geral[[#This Row],[ID Produto]], Tabela_Produtos[ID_Produto],Tabela_Produtos[Preco_Unitario_Venda])</f>
        <v>850</v>
      </c>
      <c r="J157" s="6">
        <f ca="1">Tabela_Movimentacao_Geral[[#This Row],[Quantidade]] * Tabela_Movimentacao_Geral[[#This Row],[Valor Unitário]]</f>
        <v>32300</v>
      </c>
      <c r="K157" t="str">
        <f ca="1">IF(
   $O$7="Desbloqueado",
   CHOOSE(RANDBETWEEN(1,3),"Pago","Pendente","Atrasado"),
   Tabela_Movimentacao_Geral[[#This Row],[Status Financeiro]]
)</f>
        <v>Pendente</v>
      </c>
      <c r="L157" t="str">
        <f ca="1">IF(
   $O$7="Desbloqueado",
   CHOOSE(RANDBETWEEN(1,3),"Entregue","Em Rota","Aguardando"),
   Tabela_Movimentacao_Geral[[#This Row],[Status Logistico]]
)</f>
        <v>Entregue</v>
      </c>
      <c r="M15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45741</v>
      </c>
    </row>
    <row r="158" spans="1:13" x14ac:dyDescent="0.3">
      <c r="A158" t="str">
        <f t="shared" si="2"/>
        <v>T0157</v>
      </c>
      <c r="B158" s="1">
        <v>45740</v>
      </c>
      <c r="C158" t="str" cm="1">
        <f t="array" aca="1" ref="C158" ca="1">IF($O$7="Desbloqueado",
  _xlfn.LET(
    _xlpm.saldo_atual, SUM(($C$2:$C157="Entrada")*($F$2:$F157=Tabela_Movimentacao_Geral[[#This Row],[ID Produto]])*($H$2:$H157) - ($C$2:$C157="Saida")*($F$2:$F157=Tabela_Movimentacao_Geral[[#This Row],[ID Produto]])*($H$2:$H157)),
    IF(_xlpm.saldo_atual &gt; 0, IF(RANDBETWEEN(0,10)&gt;3,"Saida","Entrada"), "Entrada")
  ),
  Tabela_Movimentacao_Geral[[#This Row],[Tipo Fluxo]]
)</f>
        <v>Saida</v>
      </c>
      <c r="D1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1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158" t="str">
        <f ca="1">IF(
  $O$7="Desbloqueado",
  "PROD"&amp;TEXT(RANDBETWEEN(1,200),"000"),
  Tabela_Movimentacao_Geral[[#This Row],[ID Produto]]
)</f>
        <v>PROD006</v>
      </c>
      <c r="G158" t="str">
        <f ca="1">_xlfn.XLOOKUP(Tabela_Movimentacao_Geral[[#This Row],[ID Produto]], Tabela_Produtos[ID_Produto],Tabela_Produtos[Descricao_Produto],"Produto não encontrado")</f>
        <v>Notebook i7 16GB 512GB SSD</v>
      </c>
      <c r="H158" cm="1">
        <f t="array" aca="1" ref="H158" ca="1">IF(
   $O$7="Desbloqueado",
   _xlfn.LET(
     _xlpm.saldo_atual, SUM(($C$2:$C157="Entrada")*($F$2:$F157=Tabela_Movimentacao_Geral[[#This Row],[ID Produto]])*($H$2:$H157) - ($C$2:$C157="Saida")*($F$2:$F157=Tabela_Movimentacao_Geral[[#This Row],[ID Produto]])*($H$2:$H157)),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158" s="5">
        <f ca="1">_xlfn.XLOOKUP(Tabela_Movimentacao_Geral[[#This Row],[ID Produto]], Tabela_Produtos[ID_Produto],Tabela_Produtos[Preco_Unitario_Venda])</f>
        <v>5500</v>
      </c>
      <c r="J158" s="6">
        <f ca="1">Tabela_Movimentacao_Geral[[#This Row],[Quantidade]] * Tabela_Movimentacao_Geral[[#This Row],[Valor Unitário]]</f>
        <v>33000</v>
      </c>
      <c r="K158" t="str">
        <f ca="1">IF(
   $O$7="Desbloqueado",
   CHOOSE(RANDBETWEEN(1,3),"Pago","Pendente","Atrasado"),
   Tabela_Movimentacao_Geral[[#This Row],[Status Financeiro]]
)</f>
        <v>Pago</v>
      </c>
      <c r="L158" t="str">
        <f ca="1">IF(
   $O$7="Desbloqueado",
   CHOOSE(RANDBETWEEN(1,3),"Entregue","Em Rota","Aguardando"),
   Tabela_Movimentacao_Geral[[#This Row],[Status Logistico]]
)</f>
        <v>Em Rota</v>
      </c>
      <c r="M15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59" spans="1:13" x14ac:dyDescent="0.3">
      <c r="A159" t="str">
        <f t="shared" si="2"/>
        <v>T0158</v>
      </c>
      <c r="B159" s="1">
        <v>45741</v>
      </c>
      <c r="C159" t="str" cm="1">
        <f t="array" aca="1" ref="C159" ca="1">IF($O$7="Desbloqueado",
  _xlfn.LET(
    _xlpm.saldo_atual, SUM(($C$2:$C158="Entrada")*($F$2:$F158=Tabela_Movimentacao_Geral[[#This Row],[ID Produto]])*($H$2:$H158) - ($C$2:$C158="Saida")*($F$2:$F158=Tabela_Movimentacao_Geral[[#This Row],[ID Produto]])*($H$2:$H158)),
    IF(_xlpm.saldo_atual &gt; 0, IF(RANDBETWEEN(0,10)&gt;3,"Saida","Entrada"), "Entrada")
  ),
  Tabela_Movimentacao_Geral[[#This Row],[Tipo Fluxo]]
)</f>
        <v>Entrada</v>
      </c>
      <c r="D1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1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159" t="str">
        <f ca="1">IF(
  $O$7="Desbloqueado",
  "PROD"&amp;TEXT(RANDBETWEEN(1,200),"000"),
  Tabela_Movimentacao_Geral[[#This Row],[ID Produto]]
)</f>
        <v>PROD023</v>
      </c>
      <c r="G159" t="str">
        <f ca="1">_xlfn.XLOOKUP(Tabela_Movimentacao_Geral[[#This Row],[ID Produto]], Tabela_Produtos[ID_Produto],Tabela_Produtos[Descricao_Produto],"Produto não encontrado")</f>
        <v>Antivirus Endpoint 1 Ano</v>
      </c>
      <c r="H159" cm="1">
        <f t="array" aca="1" ref="H159" ca="1">IF(
   $O$7="Desbloqueado",
   _xlfn.LET(
     _xlpm.saldo_atual, SUM(($C$2:$C158="Entrada")*($F$2:$F158=Tabela_Movimentacao_Geral[[#This Row],[ID Produto]])*($H$2:$H158) - ($C$2:$C158="Saida")*($F$2:$F158=Tabela_Movimentacao_Geral[[#This Row],[ID Produto]])*($H$2:$H158)),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250</v>
      </c>
      <c r="I159" s="5">
        <f ca="1">_xlfn.XLOOKUP(Tabela_Movimentacao_Geral[[#This Row],[ID Produto]], Tabela_Produtos[ID_Produto],Tabela_Produtos[Preco_Unitario_Venda])</f>
        <v>150</v>
      </c>
      <c r="J159" s="6">
        <f ca="1">Tabela_Movimentacao_Geral[[#This Row],[Quantidade]] * Tabela_Movimentacao_Geral[[#This Row],[Valor Unitário]]</f>
        <v>37500</v>
      </c>
      <c r="K159" t="str">
        <f ca="1">IF(
   $O$7="Desbloqueado",
   CHOOSE(RANDBETWEEN(1,3),"Pago","Pendente","Atrasado"),
   Tabela_Movimentacao_Geral[[#This Row],[Status Financeiro]]
)</f>
        <v>Pendente</v>
      </c>
      <c r="L159" t="str">
        <f ca="1">IF(
   $O$7="Desbloqueado",
   CHOOSE(RANDBETWEEN(1,3),"Entregue","Em Rota","Aguardando"),
   Tabela_Movimentacao_Geral[[#This Row],[Status Logistico]]
)</f>
        <v>Entregue</v>
      </c>
      <c r="M15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45742</v>
      </c>
    </row>
    <row r="160" spans="1:13" x14ac:dyDescent="0.3">
      <c r="A160" t="str">
        <f t="shared" si="2"/>
        <v>T0159</v>
      </c>
      <c r="B160" s="1">
        <v>45741</v>
      </c>
      <c r="C160" t="str" cm="1">
        <f t="array" aca="1" ref="C160" ca="1">IF($O$7="Desbloqueado",
  _xlfn.LET(
    _xlpm.saldo_atual, SUM(($C$2:$C159="Entrada")*($F$2:$F159=Tabela_Movimentacao_Geral[[#This Row],[ID Produto]])*($H$2:$H159) - ($C$2:$C159="Saida")*($F$2:$F159=Tabela_Movimentacao_Geral[[#This Row],[ID Produto]])*($H$2:$H159)),
    IF(_xlpm.saldo_atual &gt; 0, IF(RANDBETWEEN(0,10)&gt;3,"Saida","Entrada"), "Entrada")
  ),
  Tabela_Movimentacao_Geral[[#This Row],[Tipo Fluxo]]
)</f>
        <v>Entrada</v>
      </c>
      <c r="D1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1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160" t="str">
        <f ca="1">IF(
  $O$7="Desbloqueado",
  "PROD"&amp;TEXT(RANDBETWEEN(1,200),"000"),
  Tabela_Movimentacao_Geral[[#This Row],[ID Produto]]
)</f>
        <v>PROD153</v>
      </c>
      <c r="G160" t="str">
        <f ca="1">_xlfn.XLOOKUP(Tabela_Movimentacao_Geral[[#This Row],[ID Produto]], Tabela_Produtos[ID_Produto],Tabela_Produtos[Descricao_Produto],"Produto não encontrado")</f>
        <v>Tesoura de Picotar</v>
      </c>
      <c r="H160" cm="1">
        <f t="array" aca="1" ref="H160" ca="1">IF(
   $O$7="Desbloqueado",
   _xlfn.LET(
     _xlpm.saldo_atual, SUM(($C$2:$C159="Entrada")*($F$2:$F159=Tabela_Movimentacao_Geral[[#This Row],[ID Produto]])*($H$2:$H159) - ($C$2:$C159="Saida")*($F$2:$F159=Tabela_Movimentacao_Geral[[#This Row],[ID Produto]])*($H$2:$H159)),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97</v>
      </c>
      <c r="I160" s="5">
        <f ca="1">_xlfn.XLOOKUP(Tabela_Movimentacao_Geral[[#This Row],[ID Produto]], Tabela_Produtos[ID_Produto],Tabela_Produtos[Preco_Unitario_Venda])</f>
        <v>25</v>
      </c>
      <c r="J160" s="6">
        <f ca="1">Tabela_Movimentacao_Geral[[#This Row],[Quantidade]] * Tabela_Movimentacao_Geral[[#This Row],[Valor Unitário]]</f>
        <v>2425</v>
      </c>
      <c r="K160" t="str">
        <f ca="1">IF(
   $O$7="Desbloqueado",
   CHOOSE(RANDBETWEEN(1,3),"Pago","Pendente","Atrasado"),
   Tabela_Movimentacao_Geral[[#This Row],[Status Financeiro]]
)</f>
        <v>Pendente</v>
      </c>
      <c r="L160" t="str">
        <f ca="1">IF(
   $O$7="Desbloqueado",
   CHOOSE(RANDBETWEEN(1,3),"Entregue","Em Rota","Aguardando"),
   Tabela_Movimentacao_Geral[[#This Row],[Status Logistico]]
)</f>
        <v>Em Rota</v>
      </c>
      <c r="M16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45756</v>
      </c>
    </row>
    <row r="161" spans="1:13" x14ac:dyDescent="0.3">
      <c r="A161" t="str">
        <f t="shared" si="2"/>
        <v>T0160</v>
      </c>
      <c r="B161" s="1">
        <v>45741</v>
      </c>
      <c r="C161" t="str" cm="1">
        <f t="array" aca="1" ref="C161" ca="1">IF($O$7="Desbloqueado",
  _xlfn.LET(
    _xlpm.saldo_atual, SUM(($C$2:$C160="Entrada")*($F$2:$F160=Tabela_Movimentacao_Geral[[#This Row],[ID Produto]])*($H$2:$H160) - ($C$2:$C160="Saida")*($F$2:$F160=Tabela_Movimentacao_Geral[[#This Row],[ID Produto]])*($H$2:$H160)),
    IF(_xlpm.saldo_atual &gt; 0, IF(RANDBETWEEN(0,10)&gt;3,"Saida","Entrada"), "Entrada")
  ),
  Tabela_Movimentacao_Geral[[#This Row],[Tipo Fluxo]]
)</f>
        <v>Entrada</v>
      </c>
      <c r="D1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1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161" t="str">
        <f ca="1">IF(
  $O$7="Desbloqueado",
  "PROD"&amp;TEXT(RANDBETWEEN(1,200),"000"),
  Tabela_Movimentacao_Geral[[#This Row],[ID Produto]]
)</f>
        <v>PROD020</v>
      </c>
      <c r="G161" t="str">
        <f ca="1">_xlfn.XLOOKUP(Tabela_Movimentacao_Geral[[#This Row],[ID Produto]], Tabela_Produtos[ID_Produto],Tabela_Produtos[Descricao_Produto],"Produto não encontrado")</f>
        <v>Estabilizador 1000VA</v>
      </c>
      <c r="H161" cm="1">
        <f t="array" aca="1" ref="H161" ca="1">IF(
   $O$7="Desbloqueado",
   _xlfn.LET(
     _xlpm.saldo_atual, SUM(($C$2:$C160="Entrada")*($F$2:$F160=Tabela_Movimentacao_Geral[[#This Row],[ID Produto]])*($H$2:$H160) - ($C$2:$C160="Saida")*($F$2:$F160=Tabela_Movimentacao_Geral[[#This Row],[ID Produto]])*($H$2:$H160)),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37</v>
      </c>
      <c r="I161" s="5">
        <f ca="1">_xlfn.XLOOKUP(Tabela_Movimentacao_Geral[[#This Row],[ID Produto]], Tabela_Produtos[ID_Produto],Tabela_Produtos[Preco_Unitario_Venda])</f>
        <v>400</v>
      </c>
      <c r="J161" s="6">
        <f ca="1">Tabela_Movimentacao_Geral[[#This Row],[Quantidade]] * Tabela_Movimentacao_Geral[[#This Row],[Valor Unitário]]</f>
        <v>14800</v>
      </c>
      <c r="K161" t="str">
        <f ca="1">IF(
   $O$7="Desbloqueado",
   CHOOSE(RANDBETWEEN(1,3),"Pago","Pendente","Atrasado"),
   Tabela_Movimentacao_Geral[[#This Row],[Status Financeiro]]
)</f>
        <v>Atrasado</v>
      </c>
      <c r="L161" t="str">
        <f ca="1">IF(
   $O$7="Desbloqueado",
   CHOOSE(RANDBETWEEN(1,3),"Entregue","Em Rota","Aguardando"),
   Tabela_Movimentacao_Geral[[#This Row],[Status Logistico]]
)</f>
        <v>Aguardando</v>
      </c>
      <c r="M16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45743</v>
      </c>
    </row>
    <row r="162" spans="1:13" x14ac:dyDescent="0.3">
      <c r="A162" t="str">
        <f t="shared" si="2"/>
        <v>T0161</v>
      </c>
      <c r="B162" s="1">
        <v>45742</v>
      </c>
      <c r="C162" t="str" cm="1">
        <f t="array" aca="1" ref="C162" ca="1">IF($O$7="Desbloqueado",
  _xlfn.LET(
    _xlpm.saldo_atual, SUM(($C$2:$C161="Entrada")*($F$2:$F161=Tabela_Movimentacao_Geral[[#This Row],[ID Produto]])*($H$2:$H161) - ($C$2:$C161="Saida")*($F$2:$F161=Tabela_Movimentacao_Geral[[#This Row],[ID Produto]])*($H$2:$H161)),
    IF(_xlpm.saldo_atual &gt; 0, IF(RANDBETWEEN(0,10)&gt;3,"Saida","Entrada"), "Entrada")
  ),
  Tabela_Movimentacao_Geral[[#This Row],[Tipo Fluxo]]
)</f>
        <v>Entrada</v>
      </c>
      <c r="D1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1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162" t="str">
        <f ca="1">IF(
  $O$7="Desbloqueado",
  "PROD"&amp;TEXT(RANDBETWEEN(1,200),"000"),
  Tabela_Movimentacao_Geral[[#This Row],[ID Produto]]
)</f>
        <v>PROD109</v>
      </c>
      <c r="G162" t="str">
        <f ca="1">_xlfn.XLOOKUP(Tabela_Movimentacao_Geral[[#This Row],[ID Produto]], Tabela_Produtos[ID_Produto],Tabela_Produtos[Descricao_Produto],"Produto não encontrado")</f>
        <v>Cabo DisplayPort 1.4</v>
      </c>
      <c r="H162" cm="1">
        <f t="array" aca="1" ref="H162" ca="1">IF(
   $O$7="Desbloqueado",
   _xlfn.LET(
     _xlpm.saldo_atual, SUM(($C$2:$C161="Entrada")*($F$2:$F161=Tabela_Movimentacao_Geral[[#This Row],[ID Produto]])*($H$2:$H161) - ($C$2:$C161="Saida")*($F$2:$F161=Tabela_Movimentacao_Geral[[#This Row],[ID Produto]])*($H$2:$H161)),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108</v>
      </c>
      <c r="I162" s="5">
        <f ca="1">_xlfn.XLOOKUP(Tabela_Movimentacao_Geral[[#This Row],[ID Produto]], Tabela_Produtos[ID_Produto],Tabela_Produtos[Preco_Unitario_Venda])</f>
        <v>75</v>
      </c>
      <c r="J162" s="6">
        <f ca="1">Tabela_Movimentacao_Geral[[#This Row],[Quantidade]] * Tabela_Movimentacao_Geral[[#This Row],[Valor Unitário]]</f>
        <v>8100</v>
      </c>
      <c r="K162" t="str">
        <f ca="1">IF(
   $O$7="Desbloqueado",
   CHOOSE(RANDBETWEEN(1,3),"Pago","Pendente","Atrasado"),
   Tabela_Movimentacao_Geral[[#This Row],[Status Financeiro]]
)</f>
        <v>Pago</v>
      </c>
      <c r="L162" t="str">
        <f ca="1">IF(
   $O$7="Desbloqueado",
   CHOOSE(RANDBETWEEN(1,3),"Entregue","Em Rota","Aguardando"),
   Tabela_Movimentacao_Geral[[#This Row],[Status Logistico]]
)</f>
        <v>Em Rota</v>
      </c>
      <c r="M16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45746</v>
      </c>
    </row>
    <row r="163" spans="1:13" x14ac:dyDescent="0.3">
      <c r="A163" t="str">
        <f t="shared" si="2"/>
        <v>T0162</v>
      </c>
      <c r="B163" s="1">
        <v>45742</v>
      </c>
      <c r="C163" t="str" cm="1">
        <f t="array" aca="1" ref="C163" ca="1">IF($O$7="Desbloqueado",
  _xlfn.LET(
    _xlpm.saldo_atual, SUM(($C$2:$C162="Entrada")*($F$2:$F162=Tabela_Movimentacao_Geral[[#This Row],[ID Produto]])*($H$2:$H162) - ($C$2:$C162="Saida")*($F$2:$F162=Tabela_Movimentacao_Geral[[#This Row],[ID Produto]])*($H$2:$H162)),
    IF(_xlpm.saldo_atual &gt; 0, IF(RANDBETWEEN(0,10)&gt;3,"Saida","Entrada"), "Entrada")
  ),
  Tabela_Movimentacao_Geral[[#This Row],[Tipo Fluxo]]
)</f>
        <v>Saida</v>
      </c>
      <c r="D1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1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163" t="str">
        <f ca="1">IF(
  $O$7="Desbloqueado",
  "PROD"&amp;TEXT(RANDBETWEEN(1,200),"000"),
  Tabela_Movimentacao_Geral[[#This Row],[ID Produto]]
)</f>
        <v>PROD054</v>
      </c>
      <c r="G163" t="str">
        <f ca="1">_xlfn.XLOOKUP(Tabela_Movimentacao_Geral[[#This Row],[ID Produto]], Tabela_Produtos[ID_Produto],Tabela_Produtos[Descricao_Produto],"Produto não encontrado")</f>
        <v>Caixa de Grampos 26/6</v>
      </c>
      <c r="H163" cm="1">
        <f t="array" aca="1" ref="H163" ca="1">IF(
   $O$7="Desbloqueado",
   _xlfn.LET(
     _xlpm.saldo_atual, SUM(($C$2:$C162="Entrada")*($F$2:$F162=Tabela_Movimentacao_Geral[[#This Row],[ID Produto]])*($H$2:$H162) - ($C$2:$C162="Saida")*($F$2:$F162=Tabela_Movimentacao_Geral[[#This Row],[ID Produto]])*($H$2:$H162)),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37</v>
      </c>
      <c r="I163" s="5">
        <f ca="1">_xlfn.XLOOKUP(Tabela_Movimentacao_Geral[[#This Row],[ID Produto]], Tabela_Produtos[ID_Produto],Tabela_Produtos[Preco_Unitario_Venda])</f>
        <v>8</v>
      </c>
      <c r="J163" s="6">
        <f ca="1">Tabela_Movimentacao_Geral[[#This Row],[Quantidade]] * Tabela_Movimentacao_Geral[[#This Row],[Valor Unitário]]</f>
        <v>296</v>
      </c>
      <c r="K163" t="str">
        <f ca="1">IF(
   $O$7="Desbloqueado",
   CHOOSE(RANDBETWEEN(1,3),"Pago","Pendente","Atrasado"),
   Tabela_Movimentacao_Geral[[#This Row],[Status Financeiro]]
)</f>
        <v>Atrasado</v>
      </c>
      <c r="L163" t="str">
        <f ca="1">IF(
   $O$7="Desbloqueado",
   CHOOSE(RANDBETWEEN(1,3),"Entregue","Em Rota","Aguardando"),
   Tabela_Movimentacao_Geral[[#This Row],[Status Logistico]]
)</f>
        <v>Entregue</v>
      </c>
      <c r="M16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64" spans="1:13" x14ac:dyDescent="0.3">
      <c r="A164" t="str">
        <f t="shared" si="2"/>
        <v>T0163</v>
      </c>
      <c r="B164" s="1">
        <v>45742</v>
      </c>
      <c r="C164" t="str" cm="1">
        <f t="array" aca="1" ref="C164" ca="1">IF($O$7="Desbloqueado",
  _xlfn.LET(
    _xlpm.saldo_atual, SUM(($C$2:$C163="Entrada")*($F$2:$F163=Tabela_Movimentacao_Geral[[#This Row],[ID Produto]])*($H$2:$H163) - ($C$2:$C163="Saida")*($F$2:$F163=Tabela_Movimentacao_Geral[[#This Row],[ID Produto]])*($H$2:$H163)),
    IF(_xlpm.saldo_atual &gt; 0, IF(RANDBETWEEN(0,10)&gt;3,"Saida","Entrada"), "Entrada")
  ),
  Tabela_Movimentacao_Geral[[#This Row],[Tipo Fluxo]]
)</f>
        <v>Entrada</v>
      </c>
      <c r="D1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1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164" t="str">
        <f ca="1">IF(
  $O$7="Desbloqueado",
  "PROD"&amp;TEXT(RANDBETWEEN(1,200),"000"),
  Tabela_Movimentacao_Geral[[#This Row],[ID Produto]]
)</f>
        <v>PROD197</v>
      </c>
      <c r="G164" t="str">
        <f ca="1">_xlfn.XLOOKUP(Tabela_Movimentacao_Geral[[#This Row],[ID Produto]], Tabela_Produtos[ID_Produto],Tabela_Produtos[Descricao_Produto],"Produto não encontrado")</f>
        <v>Soprador Térmico 1800W</v>
      </c>
      <c r="H164" cm="1">
        <f t="array" aca="1" ref="H164" ca="1">IF(
   $O$7="Desbloqueado",
   _xlfn.LET(
     _xlpm.saldo_atual, SUM(($C$2:$C163="Entrada")*($F$2:$F163=Tabela_Movimentacao_Geral[[#This Row],[ID Produto]])*($H$2:$H163) - ($C$2:$C163="Saida")*($F$2:$F163=Tabela_Movimentacao_Geral[[#This Row],[ID Produto]])*($H$2:$H163)),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71</v>
      </c>
      <c r="I164" s="5">
        <f ca="1">_xlfn.XLOOKUP(Tabela_Movimentacao_Geral[[#This Row],[ID Produto]], Tabela_Produtos[ID_Produto],Tabela_Produtos[Preco_Unitario_Venda])</f>
        <v>280</v>
      </c>
      <c r="J164" s="6">
        <f ca="1">Tabela_Movimentacao_Geral[[#This Row],[Quantidade]] * Tabela_Movimentacao_Geral[[#This Row],[Valor Unitário]]</f>
        <v>19880</v>
      </c>
      <c r="K164" t="str">
        <f ca="1">IF(
   $O$7="Desbloqueado",
   CHOOSE(RANDBETWEEN(1,3),"Pago","Pendente","Atrasado"),
   Tabela_Movimentacao_Geral[[#This Row],[Status Financeiro]]
)</f>
        <v>Pago</v>
      </c>
      <c r="L164" t="str">
        <f ca="1">IF(
   $O$7="Desbloqueado",
   CHOOSE(RANDBETWEEN(1,3),"Entregue","Em Rota","Aguardando"),
   Tabela_Movimentacao_Geral[[#This Row],[Status Logistico]]
)</f>
        <v>Em Rota</v>
      </c>
      <c r="M16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45743</v>
      </c>
    </row>
    <row r="165" spans="1:13" x14ac:dyDescent="0.3">
      <c r="A165" t="str">
        <f t="shared" si="2"/>
        <v>T0164</v>
      </c>
      <c r="B165" s="1">
        <v>45742</v>
      </c>
      <c r="C165" t="str" cm="1">
        <f t="array" aca="1" ref="C165" ca="1">IF($O$7="Desbloqueado",
  _xlfn.LET(
    _xlpm.saldo_atual, SUM(($C$2:$C164="Entrada")*($F$2:$F164=Tabela_Movimentacao_Geral[[#This Row],[ID Produto]])*($H$2:$H164) - ($C$2:$C164="Saida")*($F$2:$F164=Tabela_Movimentacao_Geral[[#This Row],[ID Produto]])*($H$2:$H164)),
    IF(_xlpm.saldo_atual &gt; 0, IF(RANDBETWEEN(0,10)&gt;3,"Saida","Entrada"), "Entrada")
  ),
  Tabela_Movimentacao_Geral[[#This Row],[Tipo Fluxo]]
)</f>
        <v>Entrada</v>
      </c>
      <c r="D1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1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165" t="str">
        <f ca="1">IF(
  $O$7="Desbloqueado",
  "PROD"&amp;TEXT(RANDBETWEEN(1,200),"000"),
  Tabela_Movimentacao_Geral[[#This Row],[ID Produto]]
)</f>
        <v>PROD011</v>
      </c>
      <c r="G165" t="str">
        <f ca="1">_xlfn.XLOOKUP(Tabela_Movimentacao_Geral[[#This Row],[ID Produto]], Tabela_Produtos[ID_Produto],Tabela_Produtos[Descricao_Produto],"Produto não encontrado")</f>
        <v>Memoria RAM 8GB DDR4</v>
      </c>
      <c r="H165" cm="1">
        <f t="array" aca="1" ref="H165" ca="1">IF(
   $O$7="Desbloqueado",
   _xlfn.LET(
     _xlpm.saldo_atual, SUM(($C$2:$C164="Entrada")*($F$2:$F164=Tabela_Movimentacao_Geral[[#This Row],[ID Produto]])*($H$2:$H164) - ($C$2:$C164="Saida")*($F$2:$F164=Tabela_Movimentacao_Geral[[#This Row],[ID Produto]])*($H$2:$H164)),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89</v>
      </c>
      <c r="I165" s="5">
        <f ca="1">_xlfn.XLOOKUP(Tabela_Movimentacao_Geral[[#This Row],[ID Produto]], Tabela_Produtos[ID_Produto],Tabela_Produtos[Preco_Unitario_Venda])</f>
        <v>280</v>
      </c>
      <c r="J165" s="6">
        <f ca="1">Tabela_Movimentacao_Geral[[#This Row],[Quantidade]] * Tabela_Movimentacao_Geral[[#This Row],[Valor Unitário]]</f>
        <v>24920</v>
      </c>
      <c r="K165" t="str">
        <f ca="1">IF(
   $O$7="Desbloqueado",
   CHOOSE(RANDBETWEEN(1,3),"Pago","Pendente","Atrasado"),
   Tabela_Movimentacao_Geral[[#This Row],[Status Financeiro]]
)</f>
        <v>Pendente</v>
      </c>
      <c r="L165" t="str">
        <f ca="1">IF(
   $O$7="Desbloqueado",
   CHOOSE(RANDBETWEEN(1,3),"Entregue","Em Rota","Aguardando"),
   Tabela_Movimentacao_Geral[[#This Row],[Status Logistico]]
)</f>
        <v>Entregue</v>
      </c>
      <c r="M16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45745</v>
      </c>
    </row>
    <row r="166" spans="1:13" x14ac:dyDescent="0.3">
      <c r="A166" t="str">
        <f t="shared" si="2"/>
        <v>T0165</v>
      </c>
      <c r="B166" s="1">
        <v>45742</v>
      </c>
      <c r="C166" t="str" cm="1">
        <f t="array" aca="1" ref="C166" ca="1">IF($O$7="Desbloqueado",
  _xlfn.LET(
    _xlpm.saldo_atual, SUM(($C$2:$C165="Entrada")*($F$2:$F165=Tabela_Movimentacao_Geral[[#This Row],[ID Produto]])*($H$2:$H165) - ($C$2:$C165="Saida")*($F$2:$F165=Tabela_Movimentacao_Geral[[#This Row],[ID Produto]])*($H$2:$H165)),
    IF(_xlpm.saldo_atual &gt; 0, IF(RANDBETWEEN(0,10)&gt;3,"Saida","Entrada"), "Entrada")
  ),
  Tabela_Movimentacao_Geral[[#This Row],[Tipo Fluxo]]
)</f>
        <v>Entrada</v>
      </c>
      <c r="D1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1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166" t="str">
        <f ca="1">IF(
  $O$7="Desbloqueado",
  "PROD"&amp;TEXT(RANDBETWEEN(1,200),"000"),
  Tabela_Movimentacao_Geral[[#This Row],[ID Produto]]
)</f>
        <v>PROD063</v>
      </c>
      <c r="G166" t="str">
        <f ca="1">_xlfn.XLOOKUP(Tabela_Movimentacao_Geral[[#This Row],[ID Produto]], Tabela_Produtos[ID_Produto],Tabela_Produtos[Descricao_Produto],"Produto não encontrado")</f>
        <v>Tesoura Multiuso</v>
      </c>
      <c r="H166" cm="1">
        <f t="array" aca="1" ref="H166" ca="1">IF(
   $O$7="Desbloqueado",
   _xlfn.LET(
     _xlpm.saldo_atual, SUM(($C$2:$C165="Entrada")*($F$2:$F165=Tabela_Movimentacao_Geral[[#This Row],[ID Produto]])*($H$2:$H165) - ($C$2:$C165="Saida")*($F$2:$F165=Tabela_Movimentacao_Geral[[#This Row],[ID Produto]])*($H$2:$H165)),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65</v>
      </c>
      <c r="I166" s="5">
        <f ca="1">_xlfn.XLOOKUP(Tabela_Movimentacao_Geral[[#This Row],[ID Produto]], Tabela_Produtos[ID_Produto],Tabela_Produtos[Preco_Unitario_Venda])</f>
        <v>18</v>
      </c>
      <c r="J166" s="6">
        <f ca="1">Tabela_Movimentacao_Geral[[#This Row],[Quantidade]] * Tabela_Movimentacao_Geral[[#This Row],[Valor Unitário]]</f>
        <v>1170</v>
      </c>
      <c r="K166" t="str">
        <f ca="1">IF(
   $O$7="Desbloqueado",
   CHOOSE(RANDBETWEEN(1,3),"Pago","Pendente","Atrasado"),
   Tabela_Movimentacao_Geral[[#This Row],[Status Financeiro]]
)</f>
        <v>Atrasado</v>
      </c>
      <c r="L166" t="str">
        <f ca="1">IF(
   $O$7="Desbloqueado",
   CHOOSE(RANDBETWEEN(1,3),"Entregue","Em Rota","Aguardando"),
   Tabela_Movimentacao_Geral[[#This Row],[Status Logistico]]
)</f>
        <v>Entregue</v>
      </c>
      <c r="M16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45744</v>
      </c>
    </row>
    <row r="167" spans="1:13" x14ac:dyDescent="0.3">
      <c r="A167" t="str">
        <f t="shared" si="2"/>
        <v>T0166</v>
      </c>
      <c r="B167" s="1">
        <v>45743</v>
      </c>
      <c r="C167" t="str" cm="1">
        <f t="array" aca="1" ref="C167" ca="1">IF($O$7="Desbloqueado",
  _xlfn.LET(
    _xlpm.saldo_atual, SUM(($C$2:$C166="Entrada")*($F$2:$F166=Tabela_Movimentacao_Geral[[#This Row],[ID Produto]])*($H$2:$H166) - ($C$2:$C166="Saida")*($F$2:$F166=Tabela_Movimentacao_Geral[[#This Row],[ID Produto]])*($H$2:$H166)),
    IF(_xlpm.saldo_atual &gt; 0, IF(RANDBETWEEN(0,10)&gt;3,"Saida","Entrada"), "Entrada")
  ),
  Tabela_Movimentacao_Geral[[#This Row],[Tipo Fluxo]]
)</f>
        <v>Saida</v>
      </c>
      <c r="D1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1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167" t="str">
        <f ca="1">IF(
  $O$7="Desbloqueado",
  "PROD"&amp;TEXT(RANDBETWEEN(1,200),"000"),
  Tabela_Movimentacao_Geral[[#This Row],[ID Produto]]
)</f>
        <v>PROD022</v>
      </c>
      <c r="G167" t="str">
        <f ca="1">_xlfn.XLOOKUP(Tabela_Movimentacao_Geral[[#This Row],[ID Produto]], Tabela_Produtos[ID_Produto],Tabela_Produtos[Descricao_Produto],"Produto não encontrado")</f>
        <v>Licenca Windows 11 Pro</v>
      </c>
      <c r="H167" cm="1">
        <f t="array" aca="1" ref="H167" ca="1">IF(
   $O$7="Desbloqueado",
   _xlfn.LET(
     _xlpm.saldo_atual, SUM(($C$2:$C166="Entrada")*($F$2:$F166=Tabela_Movimentacao_Geral[[#This Row],[ID Produto]])*($H$2:$H166) - ($C$2:$C166="Saida")*($F$2:$F166=Tabela_Movimentacao_Geral[[#This Row],[ID Produto]])*($H$2:$H166)),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167" s="5">
        <f ca="1">_xlfn.XLOOKUP(Tabela_Movimentacao_Geral[[#This Row],[ID Produto]], Tabela_Produtos[ID_Produto],Tabela_Produtos[Preco_Unitario_Venda])</f>
        <v>980</v>
      </c>
      <c r="J167" s="6">
        <f ca="1">Tabela_Movimentacao_Geral[[#This Row],[Quantidade]] * Tabela_Movimentacao_Geral[[#This Row],[Valor Unitário]]</f>
        <v>1960</v>
      </c>
      <c r="K167" t="str">
        <f ca="1">IF(
   $O$7="Desbloqueado",
   CHOOSE(RANDBETWEEN(1,3),"Pago","Pendente","Atrasado"),
   Tabela_Movimentacao_Geral[[#This Row],[Status Financeiro]]
)</f>
        <v>Pago</v>
      </c>
      <c r="L167" t="str">
        <f ca="1">IF(
   $O$7="Desbloqueado",
   CHOOSE(RANDBETWEEN(1,3),"Entregue","Em Rota","Aguardando"),
   Tabela_Movimentacao_Geral[[#This Row],[Status Logistico]]
)</f>
        <v>Em Rota</v>
      </c>
      <c r="M16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68" spans="1:13" x14ac:dyDescent="0.3">
      <c r="A168" t="str">
        <f t="shared" si="2"/>
        <v>T0167</v>
      </c>
      <c r="B168" s="1">
        <v>45743</v>
      </c>
      <c r="C168" t="str" cm="1">
        <f t="array" aca="1" ref="C168" ca="1">IF($O$7="Desbloqueado",
  _xlfn.LET(
    _xlpm.saldo_atual, SUM(($C$2:$C167="Entrada")*($F$2:$F167=Tabela_Movimentacao_Geral[[#This Row],[ID Produto]])*($H$2:$H167) - ($C$2:$C167="Saida")*($F$2:$F167=Tabela_Movimentacao_Geral[[#This Row],[ID Produto]])*($H$2:$H167)),
    IF(_xlpm.saldo_atual &gt; 0, IF(RANDBETWEEN(0,10)&gt;3,"Saida","Entrada"), "Entrada")
  ),
  Tabela_Movimentacao_Geral[[#This Row],[Tipo Fluxo]]
)</f>
        <v>Entrada</v>
      </c>
      <c r="D1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1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168" t="str">
        <f ca="1">IF(
  $O$7="Desbloqueado",
  "PROD"&amp;TEXT(RANDBETWEEN(1,200),"000"),
  Tabela_Movimentacao_Geral[[#This Row],[ID Produto]]
)</f>
        <v>PROD056</v>
      </c>
      <c r="G168" t="str">
        <f ca="1">_xlfn.XLOOKUP(Tabela_Movimentacao_Geral[[#This Row],[ID Produto]], Tabela_Produtos[ID_Produto],Tabela_Produtos[Descricao_Produto],"Produto não encontrado")</f>
        <v>Envelope Pardo A4 50un</v>
      </c>
      <c r="H168" cm="1">
        <f t="array" aca="1" ref="H168" ca="1">IF(
   $O$7="Desbloqueado",
   _xlfn.LET(
     _xlpm.saldo_atual, SUM(($C$2:$C167="Entrada")*($F$2:$F167=Tabela_Movimentacao_Geral[[#This Row],[ID Produto]])*($H$2:$H167) - ($C$2:$C167="Saida")*($F$2:$F167=Tabela_Movimentacao_Geral[[#This Row],[ID Produto]])*($H$2:$H167)),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168" s="5">
        <f ca="1">_xlfn.XLOOKUP(Tabela_Movimentacao_Geral[[#This Row],[ID Produto]], Tabela_Produtos[ID_Produto],Tabela_Produtos[Preco_Unitario_Venda])</f>
        <v>25</v>
      </c>
      <c r="J168" s="6">
        <f ca="1">Tabela_Movimentacao_Geral[[#This Row],[Quantidade]] * Tabela_Movimentacao_Geral[[#This Row],[Valor Unitário]]</f>
        <v>350</v>
      </c>
      <c r="K168" t="str">
        <f ca="1">IF(
   $O$7="Desbloqueado",
   CHOOSE(RANDBETWEEN(1,3),"Pago","Pendente","Atrasado"),
   Tabela_Movimentacao_Geral[[#This Row],[Status Financeiro]]
)</f>
        <v>Pago</v>
      </c>
      <c r="L168" t="str">
        <f ca="1">IF(
   $O$7="Desbloqueado",
   CHOOSE(RANDBETWEEN(1,3),"Entregue","Em Rota","Aguardando"),
   Tabela_Movimentacao_Geral[[#This Row],[Status Logistico]]
)</f>
        <v>Aguardando</v>
      </c>
      <c r="M16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45749</v>
      </c>
    </row>
    <row r="169" spans="1:13" x14ac:dyDescent="0.3">
      <c r="A169" t="str">
        <f t="shared" si="2"/>
        <v>T0168</v>
      </c>
      <c r="B169" s="1">
        <v>45745</v>
      </c>
      <c r="C169" t="str" cm="1">
        <f t="array" aca="1" ref="C169" ca="1">IF($O$7="Desbloqueado",
  _xlfn.LET(
    _xlpm.saldo_atual, SUM(($C$2:$C168="Entrada")*($F$2:$F168=Tabela_Movimentacao_Geral[[#This Row],[ID Produto]])*($H$2:$H168) - ($C$2:$C168="Saida")*($F$2:$F168=Tabela_Movimentacao_Geral[[#This Row],[ID Produto]])*($H$2:$H168)),
    IF(_xlpm.saldo_atual &gt; 0, IF(RANDBETWEEN(0,10)&gt;3,"Saida","Entrada"), "Entrada")
  ),
  Tabela_Movimentacao_Geral[[#This Row],[Tipo Fluxo]]
)</f>
        <v>Entrada</v>
      </c>
      <c r="D1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1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169" t="str">
        <f ca="1">IF(
  $O$7="Desbloqueado",
  "PROD"&amp;TEXT(RANDBETWEEN(1,200),"000"),
  Tabela_Movimentacao_Geral[[#This Row],[ID Produto]]
)</f>
        <v>PROD117</v>
      </c>
      <c r="G169" t="str">
        <f ca="1">_xlfn.XLOOKUP(Tabela_Movimentacao_Geral[[#This Row],[ID Produto]], Tabela_Produtos[ID_Produto],Tabela_Produtos[Descricao_Produto],"Produto não encontrado")</f>
        <v>Adaptador Wi-Fi USB 5G</v>
      </c>
      <c r="H169" cm="1">
        <f t="array" aca="1" ref="H169" ca="1">IF(
   $O$7="Desbloqueado",
   _xlfn.LET(
     _xlpm.saldo_atual, SUM(($C$2:$C168="Entrada")*($F$2:$F168=Tabela_Movimentacao_Geral[[#This Row],[ID Produto]])*($H$2:$H168) - ($C$2:$C168="Saida")*($F$2:$F168=Tabela_Movimentacao_Geral[[#This Row],[ID Produto]])*($H$2:$H168)),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169" s="5">
        <f ca="1">_xlfn.XLOOKUP(Tabela_Movimentacao_Geral[[#This Row],[ID Produto]], Tabela_Produtos[ID_Produto],Tabela_Produtos[Preco_Unitario_Venda])</f>
        <v>95</v>
      </c>
      <c r="J169" s="6">
        <f ca="1">Tabela_Movimentacao_Geral[[#This Row],[Quantidade]] * Tabela_Movimentacao_Geral[[#This Row],[Valor Unitário]]</f>
        <v>4085</v>
      </c>
      <c r="K169" t="str">
        <f ca="1">IF(
   $O$7="Desbloqueado",
   CHOOSE(RANDBETWEEN(1,3),"Pago","Pendente","Atrasado"),
   Tabela_Movimentacao_Geral[[#This Row],[Status Financeiro]]
)</f>
        <v>Pendente</v>
      </c>
      <c r="L169" t="str">
        <f ca="1">IF(
   $O$7="Desbloqueado",
   CHOOSE(RANDBETWEEN(1,3),"Entregue","Em Rota","Aguardando"),
   Tabela_Movimentacao_Geral[[#This Row],[Status Logistico]]
)</f>
        <v>Entregue</v>
      </c>
      <c r="M16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45750</v>
      </c>
    </row>
    <row r="170" spans="1:13" x14ac:dyDescent="0.3">
      <c r="A170" t="str">
        <f t="shared" si="2"/>
        <v>T0169</v>
      </c>
      <c r="B170" s="1">
        <v>45746</v>
      </c>
      <c r="C170" t="str" cm="1">
        <f t="array" aca="1" ref="C170" ca="1">IF($O$7="Desbloqueado",
  _xlfn.LET(
    _xlpm.saldo_atual, SUM(($C$2:$C169="Entrada")*($F$2:$F169=Tabela_Movimentacao_Geral[[#This Row],[ID Produto]])*($H$2:$H169) - ($C$2:$C169="Saida")*($F$2:$F169=Tabela_Movimentacao_Geral[[#This Row],[ID Produto]])*($H$2:$H169)),
    IF(_xlpm.saldo_atual &gt; 0, IF(RANDBETWEEN(0,10)&gt;3,"Saida","Entrada"), "Entrada")
  ),
  Tabela_Movimentacao_Geral[[#This Row],[Tipo Fluxo]]
)</f>
        <v>Entrada</v>
      </c>
      <c r="D1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1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170" t="str">
        <f ca="1">IF(
  $O$7="Desbloqueado",
  "PROD"&amp;TEXT(RANDBETWEEN(1,200),"000"),
  Tabela_Movimentacao_Geral[[#This Row],[ID Produto]]
)</f>
        <v>PROD073</v>
      </c>
      <c r="G170" t="str">
        <f ca="1">_xlfn.XLOOKUP(Tabela_Movimentacao_Geral[[#This Row],[ID Produto]], Tabela_Produtos[ID_Produto],Tabela_Produtos[Descricao_Produto],"Produto não encontrado")</f>
        <v>Cracha de Identificacao</v>
      </c>
      <c r="H170" cm="1">
        <f t="array" aca="1" ref="H170" ca="1">IF(
   $O$7="Desbloqueado",
   _xlfn.LET(
     _xlpm.saldo_atual, SUM(($C$2:$C169="Entrada")*($F$2:$F169=Tabela_Movimentacao_Geral[[#This Row],[ID Produto]])*($H$2:$H169) - ($C$2:$C169="Saida")*($F$2:$F169=Tabela_Movimentacao_Geral[[#This Row],[ID Produto]])*($H$2:$H169)),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345</v>
      </c>
      <c r="I170" s="5">
        <f ca="1">_xlfn.XLOOKUP(Tabela_Movimentacao_Geral[[#This Row],[ID Produto]], Tabela_Produtos[ID_Produto],Tabela_Produtos[Preco_Unitario_Venda])</f>
        <v>2.5</v>
      </c>
      <c r="J170" s="6">
        <f ca="1">Tabela_Movimentacao_Geral[[#This Row],[Quantidade]] * Tabela_Movimentacao_Geral[[#This Row],[Valor Unitário]]</f>
        <v>862.5</v>
      </c>
      <c r="K170" t="str">
        <f ca="1">IF(
   $O$7="Desbloqueado",
   CHOOSE(RANDBETWEEN(1,3),"Pago","Pendente","Atrasado"),
   Tabela_Movimentacao_Geral[[#This Row],[Status Financeiro]]
)</f>
        <v>Pendente</v>
      </c>
      <c r="L170" t="str">
        <f ca="1">IF(
   $O$7="Desbloqueado",
   CHOOSE(RANDBETWEEN(1,3),"Entregue","Em Rota","Aguardando"),
   Tabela_Movimentacao_Geral[[#This Row],[Status Logistico]]
)</f>
        <v>Em Rota</v>
      </c>
      <c r="M17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45748</v>
      </c>
    </row>
    <row r="171" spans="1:13" x14ac:dyDescent="0.3">
      <c r="A171" t="str">
        <f t="shared" si="2"/>
        <v>T0170</v>
      </c>
      <c r="B171" s="1">
        <v>45746</v>
      </c>
      <c r="C171" t="str" cm="1">
        <f t="array" aca="1" ref="C171" ca="1">IF($O$7="Desbloqueado",
  _xlfn.LET(
    _xlpm.saldo_atual, SUM(($C$2:$C170="Entrada")*($F$2:$F170=Tabela_Movimentacao_Geral[[#This Row],[ID Produto]])*($H$2:$H170) - ($C$2:$C170="Saida")*($F$2:$F170=Tabela_Movimentacao_Geral[[#This Row],[ID Produto]])*($H$2:$H170)),
    IF(_xlpm.saldo_atual &gt; 0, IF(RANDBETWEEN(0,10)&gt;3,"Saida","Entrada"), "Entrada")
  ),
  Tabela_Movimentacao_Geral[[#This Row],[Tipo Fluxo]]
)</f>
        <v>Saida</v>
      </c>
      <c r="D1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1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171" t="str">
        <f ca="1">IF(
  $O$7="Desbloqueado",
  "PROD"&amp;TEXT(RANDBETWEEN(1,200),"000"),
  Tabela_Movimentacao_Geral[[#This Row],[ID Produto]]
)</f>
        <v>PROD197</v>
      </c>
      <c r="G171" t="str">
        <f ca="1">_xlfn.XLOOKUP(Tabela_Movimentacao_Geral[[#This Row],[ID Produto]], Tabela_Produtos[ID_Produto],Tabela_Produtos[Descricao_Produto],"Produto não encontrado")</f>
        <v>Soprador Térmico 1800W</v>
      </c>
      <c r="H171" cm="1">
        <f t="array" aca="1" ref="H171" ca="1">IF(
   $O$7="Desbloqueado",
   _xlfn.LET(
     _xlpm.saldo_atual, SUM(($C$2:$C170="Entrada")*($F$2:$F170=Tabela_Movimentacao_Geral[[#This Row],[ID Produto]])*($H$2:$H170) - ($C$2:$C170="Saida")*($F$2:$F170=Tabela_Movimentacao_Geral[[#This Row],[ID Produto]])*($H$2:$H170)),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24</v>
      </c>
      <c r="I171" s="5">
        <f ca="1">_xlfn.XLOOKUP(Tabela_Movimentacao_Geral[[#This Row],[ID Produto]], Tabela_Produtos[ID_Produto],Tabela_Produtos[Preco_Unitario_Venda])</f>
        <v>280</v>
      </c>
      <c r="J171" s="6">
        <f ca="1">Tabela_Movimentacao_Geral[[#This Row],[Quantidade]] * Tabela_Movimentacao_Geral[[#This Row],[Valor Unitário]]</f>
        <v>6720</v>
      </c>
      <c r="K171" t="str">
        <f ca="1">IF(
   $O$7="Desbloqueado",
   CHOOSE(RANDBETWEEN(1,3),"Pago","Pendente","Atrasado"),
   Tabela_Movimentacao_Geral[[#This Row],[Status Financeiro]]
)</f>
        <v>Pago</v>
      </c>
      <c r="L171" t="str">
        <f ca="1">IF(
   $O$7="Desbloqueado",
   CHOOSE(RANDBETWEEN(1,3),"Entregue","Em Rota","Aguardando"),
   Tabela_Movimentacao_Geral[[#This Row],[Status Logistico]]
)</f>
        <v>Aguardando</v>
      </c>
      <c r="M17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72" spans="1:13" x14ac:dyDescent="0.3">
      <c r="A172" t="str">
        <f t="shared" si="2"/>
        <v>T0171</v>
      </c>
      <c r="B172" s="1">
        <v>45747</v>
      </c>
      <c r="C172" t="str" cm="1">
        <f t="array" aca="1" ref="C172" ca="1">IF($O$7="Desbloqueado",
  _xlfn.LET(
    _xlpm.saldo_atual, SUM(($C$2:$C171="Entrada")*($F$2:$F171=Tabela_Movimentacao_Geral[[#This Row],[ID Produto]])*($H$2:$H171) - ($C$2:$C171="Saida")*($F$2:$F171=Tabela_Movimentacao_Geral[[#This Row],[ID Produto]])*($H$2:$H171)),
    IF(_xlpm.saldo_atual &gt; 0, IF(RANDBETWEEN(0,10)&gt;3,"Saida","Entrada"), "Entrada")
  ),
  Tabela_Movimentacao_Geral[[#This Row],[Tipo Fluxo]]
)</f>
        <v>Saida</v>
      </c>
      <c r="D1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1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172" t="str">
        <f ca="1">IF(
  $O$7="Desbloqueado",
  "PROD"&amp;TEXT(RANDBETWEEN(1,200),"000"),
  Tabela_Movimentacao_Geral[[#This Row],[ID Produto]]
)</f>
        <v>PROD054</v>
      </c>
      <c r="G172" t="str">
        <f ca="1">_xlfn.XLOOKUP(Tabela_Movimentacao_Geral[[#This Row],[ID Produto]], Tabela_Produtos[ID_Produto],Tabela_Produtos[Descricao_Produto],"Produto não encontrado")</f>
        <v>Caixa de Grampos 26/6</v>
      </c>
      <c r="H172" cm="1">
        <f t="array" aca="1" ref="H172" ca="1">IF(
   $O$7="Desbloqueado",
   _xlfn.LET(
     _xlpm.saldo_atual, SUM(($C$2:$C171="Entrada")*($F$2:$F171=Tabela_Movimentacao_Geral[[#This Row],[ID Produto]])*($H$2:$H171) - ($C$2:$C171="Saida")*($F$2:$F171=Tabela_Movimentacao_Geral[[#This Row],[ID Produto]])*($H$2:$H171)),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99</v>
      </c>
      <c r="I172" s="5">
        <f ca="1">_xlfn.XLOOKUP(Tabela_Movimentacao_Geral[[#This Row],[ID Produto]], Tabela_Produtos[ID_Produto],Tabela_Produtos[Preco_Unitario_Venda])</f>
        <v>8</v>
      </c>
      <c r="J172" s="6">
        <f ca="1">Tabela_Movimentacao_Geral[[#This Row],[Quantidade]] * Tabela_Movimentacao_Geral[[#This Row],[Valor Unitário]]</f>
        <v>792</v>
      </c>
      <c r="K172" t="str">
        <f ca="1">IF(
   $O$7="Desbloqueado",
   CHOOSE(RANDBETWEEN(1,3),"Pago","Pendente","Atrasado"),
   Tabela_Movimentacao_Geral[[#This Row],[Status Financeiro]]
)</f>
        <v>Pago</v>
      </c>
      <c r="L172" t="str">
        <f ca="1">IF(
   $O$7="Desbloqueado",
   CHOOSE(RANDBETWEEN(1,3),"Entregue","Em Rota","Aguardando"),
   Tabela_Movimentacao_Geral[[#This Row],[Status Logistico]]
)</f>
        <v>Em Rota</v>
      </c>
      <c r="M17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73" spans="1:13" x14ac:dyDescent="0.3">
      <c r="A173" t="str">
        <f t="shared" si="2"/>
        <v>T0172</v>
      </c>
      <c r="B173" s="1">
        <v>45748</v>
      </c>
      <c r="C173" t="str" cm="1">
        <f t="array" aca="1" ref="C173" ca="1">IF($O$7="Desbloqueado",
  _xlfn.LET(
    _xlpm.saldo_atual, SUM(($C$2:$C172="Entrada")*($F$2:$F172=Tabela_Movimentacao_Geral[[#This Row],[ID Produto]])*($H$2:$H172) - ($C$2:$C172="Saida")*($F$2:$F172=Tabela_Movimentacao_Geral[[#This Row],[ID Produto]])*($H$2:$H172)),
    IF(_xlpm.saldo_atual &gt; 0, IF(RANDBETWEEN(0,10)&gt;3,"Saida","Entrada"), "Entrada")
  ),
  Tabela_Movimentacao_Geral[[#This Row],[Tipo Fluxo]]
)</f>
        <v>Saida</v>
      </c>
      <c r="D1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1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173" t="str">
        <f ca="1">IF(
  $O$7="Desbloqueado",
  "PROD"&amp;TEXT(RANDBETWEEN(1,200),"000"),
  Tabela_Movimentacao_Geral[[#This Row],[ID Produto]]
)</f>
        <v>PROD058</v>
      </c>
      <c r="G173" t="str">
        <f ca="1">_xlfn.XLOOKUP(Tabela_Movimentacao_Geral[[#This Row],[ID Produto]], Tabela_Produtos[ID_Produto],Tabela_Produtos[Descricao_Produto],"Produto não encontrado")</f>
        <v>Caneta Esferografica Preta</v>
      </c>
      <c r="H173" cm="1">
        <f t="array" aca="1" ref="H173" ca="1">IF(
   $O$7="Desbloqueado",
   _xlfn.LET(
     _xlpm.saldo_atual, SUM(($C$2:$C172="Entrada")*($F$2:$F172=Tabela_Movimentacao_Geral[[#This Row],[ID Produto]])*($H$2:$H172) - ($C$2:$C172="Saida")*($F$2:$F172=Tabela_Movimentacao_Geral[[#This Row],[ID Produto]])*($H$2:$H172)),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389</v>
      </c>
      <c r="I173" s="5">
        <f ca="1">_xlfn.XLOOKUP(Tabela_Movimentacao_Geral[[#This Row],[ID Produto]], Tabela_Produtos[ID_Produto],Tabela_Produtos[Preco_Unitario_Venda])</f>
        <v>1.5</v>
      </c>
      <c r="J173" s="6">
        <f ca="1">Tabela_Movimentacao_Geral[[#This Row],[Quantidade]] * Tabela_Movimentacao_Geral[[#This Row],[Valor Unitário]]</f>
        <v>583.5</v>
      </c>
      <c r="K173" t="str">
        <f ca="1">IF(
   $O$7="Desbloqueado",
   CHOOSE(RANDBETWEEN(1,3),"Pago","Pendente","Atrasado"),
   Tabela_Movimentacao_Geral[[#This Row],[Status Financeiro]]
)</f>
        <v>Pago</v>
      </c>
      <c r="L173" t="str">
        <f ca="1">IF(
   $O$7="Desbloqueado",
   CHOOSE(RANDBETWEEN(1,3),"Entregue","Em Rota","Aguardando"),
   Tabela_Movimentacao_Geral[[#This Row],[Status Logistico]]
)</f>
        <v>Entregue</v>
      </c>
      <c r="M17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74" spans="1:13" x14ac:dyDescent="0.3">
      <c r="A174" t="str">
        <f t="shared" si="2"/>
        <v>T0173</v>
      </c>
      <c r="B174" s="1">
        <v>45749</v>
      </c>
      <c r="C174" t="str" cm="1">
        <f t="array" aca="1" ref="C174" ca="1">IF($O$7="Desbloqueado",
  _xlfn.LET(
    _xlpm.saldo_atual, SUM(($C$2:$C173="Entrada")*($F$2:$F173=Tabela_Movimentacao_Geral[[#This Row],[ID Produto]])*($H$2:$H173) - ($C$2:$C173="Saida")*($F$2:$F173=Tabela_Movimentacao_Geral[[#This Row],[ID Produto]])*($H$2:$H173)),
    IF(_xlpm.saldo_atual &gt; 0, IF(RANDBETWEEN(0,10)&gt;3,"Saida","Entrada"), "Entrada")
  ),
  Tabela_Movimentacao_Geral[[#This Row],[Tipo Fluxo]]
)</f>
        <v>Entrada</v>
      </c>
      <c r="D1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1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174" t="str">
        <f ca="1">IF(
  $O$7="Desbloqueado",
  "PROD"&amp;TEXT(RANDBETWEEN(1,200),"000"),
  Tabela_Movimentacao_Geral[[#This Row],[ID Produto]]
)</f>
        <v>PROD007</v>
      </c>
      <c r="G174" t="str">
        <f ca="1">_xlfn.XLOOKUP(Tabela_Movimentacao_Geral[[#This Row],[ID Produto]], Tabela_Produtos[ID_Produto],Tabela_Produtos[Descricao_Produto],"Produto não encontrado")</f>
        <v>Impressora Laser Color</v>
      </c>
      <c r="H174" cm="1">
        <f t="array" aca="1" ref="H174" ca="1">IF(
   $O$7="Desbloqueado",
   _xlfn.LET(
     _xlpm.saldo_atual, SUM(($C$2:$C173="Entrada")*($F$2:$F173=Tabela_Movimentacao_Geral[[#This Row],[ID Produto]])*($H$2:$H173) - ($C$2:$C173="Saida")*($F$2:$F173=Tabela_Movimentacao_Geral[[#This Row],[ID Produto]])*($H$2:$H173)),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174" s="5">
        <f ca="1">_xlfn.XLOOKUP(Tabela_Movimentacao_Geral[[#This Row],[ID Produto]], Tabela_Produtos[ID_Produto],Tabela_Produtos[Preco_Unitario_Venda])</f>
        <v>1800</v>
      </c>
      <c r="J174" s="6">
        <f ca="1">Tabela_Movimentacao_Geral[[#This Row],[Quantidade]] * Tabela_Movimentacao_Geral[[#This Row],[Valor Unitário]]</f>
        <v>18000</v>
      </c>
      <c r="K174" t="str">
        <f ca="1">IF(
   $O$7="Desbloqueado",
   CHOOSE(RANDBETWEEN(1,3),"Pago","Pendente","Atrasado"),
   Tabela_Movimentacao_Geral[[#This Row],[Status Financeiro]]
)</f>
        <v>Pago</v>
      </c>
      <c r="L174" t="str">
        <f ca="1">IF(
   $O$7="Desbloqueado",
   CHOOSE(RANDBETWEEN(1,3),"Entregue","Em Rota","Aguardando"),
   Tabela_Movimentacao_Geral[[#This Row],[Status Logistico]]
)</f>
        <v>Aguardando</v>
      </c>
      <c r="M17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45750</v>
      </c>
    </row>
    <row r="175" spans="1:13" x14ac:dyDescent="0.3">
      <c r="A175" t="str">
        <f t="shared" si="2"/>
        <v>T0174</v>
      </c>
      <c r="B175" s="1">
        <v>45752</v>
      </c>
      <c r="C175" t="str" cm="1">
        <f t="array" aca="1" ref="C175" ca="1">IF($O$7="Desbloqueado",
  _xlfn.LET(
    _xlpm.saldo_atual, SUM(($C$2:$C174="Entrada")*($F$2:$F174=Tabela_Movimentacao_Geral[[#This Row],[ID Produto]])*($H$2:$H174) - ($C$2:$C174="Saida")*($F$2:$F174=Tabela_Movimentacao_Geral[[#This Row],[ID Produto]])*($H$2:$H174)),
    IF(_xlpm.saldo_atual &gt; 0, IF(RANDBETWEEN(0,10)&gt;3,"Saida","Entrada"), "Entrada")
  ),
  Tabela_Movimentacao_Geral[[#This Row],[Tipo Fluxo]]
)</f>
        <v>Entrada</v>
      </c>
      <c r="D1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1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175" t="str">
        <f ca="1">IF(
  $O$7="Desbloqueado",
  "PROD"&amp;TEXT(RANDBETWEEN(1,200),"000"),
  Tabela_Movimentacao_Geral[[#This Row],[ID Produto]]
)</f>
        <v>PROD184</v>
      </c>
      <c r="G175" t="str">
        <f ca="1">_xlfn.XLOOKUP(Tabela_Movimentacao_Geral[[#This Row],[ID Produto]], Tabela_Produtos[ID_Produto],Tabela_Produtos[Descricao_Produto],"Produto não encontrado")</f>
        <v>Cabo Serial Console</v>
      </c>
      <c r="H175" cm="1">
        <f t="array" aca="1" ref="H175" ca="1">IF(
   $O$7="Desbloqueado",
   _xlfn.LET(
     _xlpm.saldo_atual, SUM(($C$2:$C174="Entrada")*($F$2:$F174=Tabela_Movimentacao_Geral[[#This Row],[ID Produto]])*($H$2:$H174) - ($C$2:$C174="Saida")*($F$2:$F174=Tabela_Movimentacao_Geral[[#This Row],[ID Produto]])*($H$2:$H174)),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107</v>
      </c>
      <c r="I175" s="5">
        <f ca="1">_xlfn.XLOOKUP(Tabela_Movimentacao_Geral[[#This Row],[ID Produto]], Tabela_Produtos[ID_Produto],Tabela_Produtos[Preco_Unitario_Venda])</f>
        <v>45</v>
      </c>
      <c r="J175" s="6">
        <f ca="1">Tabela_Movimentacao_Geral[[#This Row],[Quantidade]] * Tabela_Movimentacao_Geral[[#This Row],[Valor Unitário]]</f>
        <v>4815</v>
      </c>
      <c r="K175" t="str">
        <f ca="1">IF(
   $O$7="Desbloqueado",
   CHOOSE(RANDBETWEEN(1,3),"Pago","Pendente","Atrasado"),
   Tabela_Movimentacao_Geral[[#This Row],[Status Financeiro]]
)</f>
        <v>Pago</v>
      </c>
      <c r="L175" t="str">
        <f ca="1">IF(
   $O$7="Desbloqueado",
   CHOOSE(RANDBETWEEN(1,3),"Entregue","Em Rota","Aguardando"),
   Tabela_Movimentacao_Geral[[#This Row],[Status Logistico]]
)</f>
        <v>Entregue</v>
      </c>
      <c r="M17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45756</v>
      </c>
    </row>
    <row r="176" spans="1:13" x14ac:dyDescent="0.3">
      <c r="A176" t="str">
        <f t="shared" si="2"/>
        <v>T0175</v>
      </c>
      <c r="B176" s="1">
        <v>45753</v>
      </c>
      <c r="C176" t="str" cm="1">
        <f t="array" aca="1" ref="C176" ca="1">IF($O$7="Desbloqueado",
  _xlfn.LET(
    _xlpm.saldo_atual, SUM(($C$2:$C175="Entrada")*($F$2:$F175=Tabela_Movimentacao_Geral[[#This Row],[ID Produto]])*($H$2:$H175) - ($C$2:$C175="Saida")*($F$2:$F175=Tabela_Movimentacao_Geral[[#This Row],[ID Produto]])*($H$2:$H175)),
    IF(_xlpm.saldo_atual &gt; 0, IF(RANDBETWEEN(0,10)&gt;3,"Saida","Entrada"), "Entrada")
  ),
  Tabela_Movimentacao_Geral[[#This Row],[Tipo Fluxo]]
)</f>
        <v>Entrada</v>
      </c>
      <c r="D1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1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176" t="str">
        <f ca="1">IF(
  $O$7="Desbloqueado",
  "PROD"&amp;TEXT(RANDBETWEEN(1,200),"000"),
  Tabela_Movimentacao_Geral[[#This Row],[ID Produto]]
)</f>
        <v>PROD071</v>
      </c>
      <c r="G176" t="str">
        <f ca="1">_xlfn.XLOOKUP(Tabela_Movimentacao_Geral[[#This Row],[ID Produto]], Tabela_Produtos[ID_Produto],Tabela_Produtos[Descricao_Produto],"Produto não encontrado")</f>
        <v>Bloco Auto-Adesivo 76x76</v>
      </c>
      <c r="H176" cm="1">
        <f t="array" aca="1" ref="H176" ca="1">IF(
   $O$7="Desbloqueado",
   _xlfn.LET(
     _xlpm.saldo_atual, SUM(($C$2:$C175="Entrada")*($F$2:$F175=Tabela_Movimentacao_Geral[[#This Row],[ID Produto]])*($H$2:$H175) - ($C$2:$C175="Saida")*($F$2:$F175=Tabela_Movimentacao_Geral[[#This Row],[ID Produto]])*($H$2:$H175)),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266</v>
      </c>
      <c r="I176" s="5">
        <f ca="1">_xlfn.XLOOKUP(Tabela_Movimentacao_Geral[[#This Row],[ID Produto]], Tabela_Produtos[ID_Produto],Tabela_Produtos[Preco_Unitario_Venda])</f>
        <v>8.5</v>
      </c>
      <c r="J176" s="6">
        <f ca="1">Tabela_Movimentacao_Geral[[#This Row],[Quantidade]] * Tabela_Movimentacao_Geral[[#This Row],[Valor Unitário]]</f>
        <v>2261</v>
      </c>
      <c r="K176" t="str">
        <f ca="1">IF(
   $O$7="Desbloqueado",
   CHOOSE(RANDBETWEEN(1,3),"Pago","Pendente","Atrasado"),
   Tabela_Movimentacao_Geral[[#This Row],[Status Financeiro]]
)</f>
        <v>Atrasado</v>
      </c>
      <c r="L176" t="str">
        <f ca="1">IF(
   $O$7="Desbloqueado",
   CHOOSE(RANDBETWEEN(1,3),"Entregue","Em Rota","Aguardando"),
   Tabela_Movimentacao_Geral[[#This Row],[Status Logistico]]
)</f>
        <v>Aguardando</v>
      </c>
      <c r="M17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45760</v>
      </c>
    </row>
    <row r="177" spans="1:13" x14ac:dyDescent="0.3">
      <c r="A177" t="str">
        <f t="shared" si="2"/>
        <v>T0176</v>
      </c>
      <c r="B177" s="1">
        <v>45753</v>
      </c>
      <c r="C177" t="str" cm="1">
        <f t="array" aca="1" ref="C177" ca="1">IF($O$7="Desbloqueado",
  _xlfn.LET(
    _xlpm.saldo_atual, SUM(($C$2:$C176="Entrada")*($F$2:$F176=Tabela_Movimentacao_Geral[[#This Row],[ID Produto]])*($H$2:$H176) - ($C$2:$C176="Saida")*($F$2:$F176=Tabela_Movimentacao_Geral[[#This Row],[ID Produto]])*($H$2:$H176)),
    IF(_xlpm.saldo_atual &gt; 0, IF(RANDBETWEEN(0,10)&gt;3,"Saida","Entrada"), "Entrada")
  ),
  Tabela_Movimentacao_Geral[[#This Row],[Tipo Fluxo]]
)</f>
        <v>Saida</v>
      </c>
      <c r="D1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1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177" t="str">
        <f ca="1">IF(
  $O$7="Desbloqueado",
  "PROD"&amp;TEXT(RANDBETWEEN(1,200),"000"),
  Tabela_Movimentacao_Geral[[#This Row],[ID Produto]]
)</f>
        <v>PROD010</v>
      </c>
      <c r="G177" t="str">
        <f ca="1">_xlfn.XLOOKUP(Tabela_Movimentacao_Geral[[#This Row],[ID Produto]], Tabela_Produtos[ID_Produto],Tabela_Produtos[Descricao_Produto],"Produto não encontrado")</f>
        <v>SSD 480GB SATA3</v>
      </c>
      <c r="H177" cm="1">
        <f t="array" aca="1" ref="H177" ca="1">IF(
   $O$7="Desbloqueado",
   _xlfn.LET(
     _xlpm.saldo_atual, SUM(($C$2:$C176="Entrada")*($F$2:$F176=Tabela_Movimentacao_Geral[[#This Row],[ID Produto]])*($H$2:$H176) - ($C$2:$C176="Saida")*($F$2:$F176=Tabela_Movimentacao_Geral[[#This Row],[ID Produto]])*($H$2:$H176)),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177" s="5">
        <f ca="1">_xlfn.XLOOKUP(Tabela_Movimentacao_Geral[[#This Row],[ID Produto]], Tabela_Produtos[ID_Produto],Tabela_Produtos[Preco_Unitario_Venda])</f>
        <v>320</v>
      </c>
      <c r="J177" s="6">
        <f ca="1">Tabela_Movimentacao_Geral[[#This Row],[Quantidade]] * Tabela_Movimentacao_Geral[[#This Row],[Valor Unitário]]</f>
        <v>2240</v>
      </c>
      <c r="K177" t="str">
        <f ca="1">IF(
   $O$7="Desbloqueado",
   CHOOSE(RANDBETWEEN(1,3),"Pago","Pendente","Atrasado"),
   Tabela_Movimentacao_Geral[[#This Row],[Status Financeiro]]
)</f>
        <v>Atrasado</v>
      </c>
      <c r="L177" t="str">
        <f ca="1">IF(
   $O$7="Desbloqueado",
   CHOOSE(RANDBETWEEN(1,3),"Entregue","Em Rota","Aguardando"),
   Tabela_Movimentacao_Geral[[#This Row],[Status Logistico]]
)</f>
        <v>Aguardando</v>
      </c>
      <c r="M17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78" spans="1:13" x14ac:dyDescent="0.3">
      <c r="A178" t="str">
        <f t="shared" si="2"/>
        <v>T0177</v>
      </c>
      <c r="B178" s="1">
        <v>45754</v>
      </c>
      <c r="C178" t="str" cm="1">
        <f t="array" aca="1" ref="C178" ca="1">IF($O$7="Desbloqueado",
  _xlfn.LET(
    _xlpm.saldo_atual, SUM(($C$2:$C177="Entrada")*($F$2:$F177=Tabela_Movimentacao_Geral[[#This Row],[ID Produto]])*($H$2:$H177) - ($C$2:$C177="Saida")*($F$2:$F177=Tabela_Movimentacao_Geral[[#This Row],[ID Produto]])*($H$2:$H177)),
    IF(_xlpm.saldo_atual &gt; 0, IF(RANDBETWEEN(0,10)&gt;3,"Saida","Entrada"), "Entrada")
  ),
  Tabela_Movimentacao_Geral[[#This Row],[Tipo Fluxo]]
)</f>
        <v>Saida</v>
      </c>
      <c r="D1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1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178" t="str">
        <f ca="1">IF(
  $O$7="Desbloqueado",
  "PROD"&amp;TEXT(RANDBETWEEN(1,200),"000"),
  Tabela_Movimentacao_Geral[[#This Row],[ID Produto]]
)</f>
        <v>PROD155</v>
      </c>
      <c r="G178" t="str">
        <f ca="1">_xlfn.XLOOKUP(Tabela_Movimentacao_Geral[[#This Row],[ID Produto]], Tabela_Produtos[ID_Produto],Tabela_Produtos[Descricao_Produto],"Produto não encontrado")</f>
        <v>Lâmina Estilete 10un</v>
      </c>
      <c r="H178" cm="1">
        <f t="array" aca="1" ref="H178" ca="1">IF(
   $O$7="Desbloqueado",
   _xlfn.LET(
     _xlpm.saldo_atual, SUM(($C$2:$C177="Entrada")*($F$2:$F177=Tabela_Movimentacao_Geral[[#This Row],[ID Produto]])*($H$2:$H177) - ($C$2:$C177="Saida")*($F$2:$F177=Tabela_Movimentacao_Geral[[#This Row],[ID Produto]])*($H$2:$H177)),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178" s="5">
        <f ca="1">_xlfn.XLOOKUP(Tabela_Movimentacao_Geral[[#This Row],[ID Produto]], Tabela_Produtos[ID_Produto],Tabela_Produtos[Preco_Unitario_Venda])</f>
        <v>12</v>
      </c>
      <c r="J178" s="6">
        <f ca="1">Tabela_Movimentacao_Geral[[#This Row],[Quantidade]] * Tabela_Movimentacao_Geral[[#This Row],[Valor Unitário]]</f>
        <v>60</v>
      </c>
      <c r="K178" t="str">
        <f ca="1">IF(
   $O$7="Desbloqueado",
   CHOOSE(RANDBETWEEN(1,3),"Pago","Pendente","Atrasado"),
   Tabela_Movimentacao_Geral[[#This Row],[Status Financeiro]]
)</f>
        <v>Pago</v>
      </c>
      <c r="L178" t="str">
        <f ca="1">IF(
   $O$7="Desbloqueado",
   CHOOSE(RANDBETWEEN(1,3),"Entregue","Em Rota","Aguardando"),
   Tabela_Movimentacao_Geral[[#This Row],[Status Logistico]]
)</f>
        <v>Aguardando</v>
      </c>
      <c r="M17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79" spans="1:13" x14ac:dyDescent="0.3">
      <c r="A179" t="str">
        <f t="shared" si="2"/>
        <v>T0178</v>
      </c>
      <c r="B179" s="1">
        <v>45754</v>
      </c>
      <c r="C179" t="str" cm="1">
        <f t="array" aca="1" ref="C179" ca="1">IF($O$7="Desbloqueado",
  _xlfn.LET(
    _xlpm.saldo_atual, SUM(($C$2:$C178="Entrada")*($F$2:$F178=Tabela_Movimentacao_Geral[[#This Row],[ID Produto]])*($H$2:$H178) - ($C$2:$C178="Saida")*($F$2:$F178=Tabela_Movimentacao_Geral[[#This Row],[ID Produto]])*($H$2:$H178)),
    IF(_xlpm.saldo_atual &gt; 0, IF(RANDBETWEEN(0,10)&gt;3,"Saida","Entrada"), "Entrada")
  ),
  Tabela_Movimentacao_Geral[[#This Row],[Tipo Fluxo]]
)</f>
        <v>Entrada</v>
      </c>
      <c r="D1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1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179" t="str">
        <f ca="1">IF(
  $O$7="Desbloqueado",
  "PROD"&amp;TEXT(RANDBETWEEN(1,200),"000"),
  Tabela_Movimentacao_Geral[[#This Row],[ID Produto]]
)</f>
        <v>PROD166</v>
      </c>
      <c r="G179" t="str">
        <f ca="1">_xlfn.XLOOKUP(Tabela_Movimentacao_Geral[[#This Row],[ID Produto]], Tabela_Produtos[ID_Produto],Tabela_Produtos[Descricao_Produto],"Produto não encontrado")</f>
        <v>Tinta para Carimbo 30ml</v>
      </c>
      <c r="H179" cm="1">
        <f t="array" aca="1" ref="H179" ca="1">IF(
   $O$7="Desbloqueado",
   _xlfn.LET(
     _xlpm.saldo_atual, SUM(($C$2:$C178="Entrada")*($F$2:$F178=Tabela_Movimentacao_Geral[[#This Row],[ID Produto]])*($H$2:$H178) - ($C$2:$C178="Saida")*($F$2:$F178=Tabela_Movimentacao_Geral[[#This Row],[ID Produto]])*($H$2:$H178)),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97</v>
      </c>
      <c r="I179" s="5">
        <f ca="1">_xlfn.XLOOKUP(Tabela_Movimentacao_Geral[[#This Row],[ID Produto]], Tabela_Produtos[ID_Produto],Tabela_Produtos[Preco_Unitario_Venda])</f>
        <v>12</v>
      </c>
      <c r="J179" s="6">
        <f ca="1">Tabela_Movimentacao_Geral[[#This Row],[Quantidade]] * Tabela_Movimentacao_Geral[[#This Row],[Valor Unitário]]</f>
        <v>1164</v>
      </c>
      <c r="K179" t="str">
        <f ca="1">IF(
   $O$7="Desbloqueado",
   CHOOSE(RANDBETWEEN(1,3),"Pago","Pendente","Atrasado"),
   Tabela_Movimentacao_Geral[[#This Row],[Status Financeiro]]
)</f>
        <v>Pago</v>
      </c>
      <c r="L179" t="str">
        <f ca="1">IF(
   $O$7="Desbloqueado",
   CHOOSE(RANDBETWEEN(1,3),"Entregue","Em Rota","Aguardando"),
   Tabela_Movimentacao_Geral[[#This Row],[Status Logistico]]
)</f>
        <v>Entregue</v>
      </c>
      <c r="M17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45769</v>
      </c>
    </row>
    <row r="180" spans="1:13" x14ac:dyDescent="0.3">
      <c r="A180" t="str">
        <f t="shared" si="2"/>
        <v>T0179</v>
      </c>
      <c r="B180" s="1">
        <v>45754</v>
      </c>
      <c r="C180" t="str" cm="1">
        <f t="array" aca="1" ref="C180" ca="1">IF($O$7="Desbloqueado",
  _xlfn.LET(
    _xlpm.saldo_atual, SUM(($C$2:$C179="Entrada")*($F$2:$F179=Tabela_Movimentacao_Geral[[#This Row],[ID Produto]])*($H$2:$H179) - ($C$2:$C179="Saida")*($F$2:$F179=Tabela_Movimentacao_Geral[[#This Row],[ID Produto]])*($H$2:$H179)),
    IF(_xlpm.saldo_atual &gt; 0, IF(RANDBETWEEN(0,10)&gt;3,"Saida","Entrada"), "Entrada")
  ),
  Tabela_Movimentacao_Geral[[#This Row],[Tipo Fluxo]]
)</f>
        <v>Entrada</v>
      </c>
      <c r="D1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1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180" t="str">
        <f ca="1">IF(
  $O$7="Desbloqueado",
  "PROD"&amp;TEXT(RANDBETWEEN(1,200),"000"),
  Tabela_Movimentacao_Geral[[#This Row],[ID Produto]]
)</f>
        <v>PROD158</v>
      </c>
      <c r="G180" t="str">
        <f ca="1">_xlfn.XLOOKUP(Tabela_Movimentacao_Geral[[#This Row],[ID Produto]], Tabela_Produtos[ID_Produto],Tabela_Produtos[Descricao_Produto],"Produto não encontrado")</f>
        <v>Extrator de Grampos</v>
      </c>
      <c r="H180" cm="1">
        <f t="array" aca="1" ref="H180" ca="1">IF(
   $O$7="Desbloqueado",
   _xlfn.LET(
     _xlpm.saldo_atual, SUM(($C$2:$C179="Entrada")*($F$2:$F179=Tabela_Movimentacao_Geral[[#This Row],[ID Produto]])*($H$2:$H179) - ($C$2:$C179="Saida")*($F$2:$F179=Tabela_Movimentacao_Geral[[#This Row],[ID Produto]])*($H$2:$H179)),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125</v>
      </c>
      <c r="I180" s="5">
        <f ca="1">_xlfn.XLOOKUP(Tabela_Movimentacao_Geral[[#This Row],[ID Produto]], Tabela_Produtos[ID_Produto],Tabela_Produtos[Preco_Unitario_Venda])</f>
        <v>7</v>
      </c>
      <c r="J180" s="6">
        <f ca="1">Tabela_Movimentacao_Geral[[#This Row],[Quantidade]] * Tabela_Movimentacao_Geral[[#This Row],[Valor Unitário]]</f>
        <v>875</v>
      </c>
      <c r="K180" t="str">
        <f ca="1">IF(
   $O$7="Desbloqueado",
   CHOOSE(RANDBETWEEN(1,3),"Pago","Pendente","Atrasado"),
   Tabela_Movimentacao_Geral[[#This Row],[Status Financeiro]]
)</f>
        <v>Pago</v>
      </c>
      <c r="L180" t="str">
        <f ca="1">IF(
   $O$7="Desbloqueado",
   CHOOSE(RANDBETWEEN(1,3),"Entregue","Em Rota","Aguardando"),
   Tabela_Movimentacao_Geral[[#This Row],[Status Logistico]]
)</f>
        <v>Em Rota</v>
      </c>
      <c r="M1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45755</v>
      </c>
    </row>
    <row r="181" spans="1:13" x14ac:dyDescent="0.3">
      <c r="A181" t="str">
        <f t="shared" si="2"/>
        <v>T0180</v>
      </c>
      <c r="B181" s="1">
        <v>45755</v>
      </c>
      <c r="C181" t="str" cm="1">
        <f t="array" aca="1" ref="C181" ca="1">IF($O$7="Desbloqueado",
  _xlfn.LET(
    _xlpm.saldo_atual, SUM(($C$2:$C180="Entrada")*($F$2:$F180=Tabela_Movimentacao_Geral[[#This Row],[ID Produto]])*($H$2:$H180) - ($C$2:$C180="Saida")*($F$2:$F180=Tabela_Movimentacao_Geral[[#This Row],[ID Produto]])*($H$2:$H180)),
    IF(_xlpm.saldo_atual &gt; 0, IF(RANDBETWEEN(0,10)&gt;3,"Saida","Entrada"), "Entrada")
  ),
  Tabela_Movimentacao_Geral[[#This Row],[Tipo Fluxo]]
)</f>
        <v>Entrada</v>
      </c>
      <c r="D1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1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181" t="str">
        <f ca="1">IF(
  $O$7="Desbloqueado",
  "PROD"&amp;TEXT(RANDBETWEEN(1,200),"000"),
  Tabela_Movimentacao_Geral[[#This Row],[ID Produto]]
)</f>
        <v>PROD190</v>
      </c>
      <c r="G181" t="str">
        <f ca="1">_xlfn.XLOOKUP(Tabela_Movimentacao_Geral[[#This Row],[ID Produto]], Tabela_Produtos[ID_Produto],Tabela_Produtos[Descricao_Produto],"Produto não encontrado")</f>
        <v>Firewall Hardware Mid</v>
      </c>
      <c r="H181" cm="1">
        <f t="array" aca="1" ref="H181" ca="1">IF(
   $O$7="Desbloqueado",
   _xlfn.LET(
     _xlpm.saldo_atual, SUM(($C$2:$C180="Entrada")*($F$2:$F180=Tabela_Movimentacao_Geral[[#This Row],[ID Produto]])*($H$2:$H180) - ($C$2:$C180="Saida")*($F$2:$F180=Tabela_Movimentacao_Geral[[#This Row],[ID Produto]])*($H$2:$H180)),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181" s="5">
        <f ca="1">_xlfn.XLOOKUP(Tabela_Movimentacao_Geral[[#This Row],[ID Produto]], Tabela_Produtos[ID_Produto],Tabela_Produtos[Preco_Unitario_Venda])</f>
        <v>8500</v>
      </c>
      <c r="J181" s="6">
        <f ca="1">Tabela_Movimentacao_Geral[[#This Row],[Quantidade]] * Tabela_Movimentacao_Geral[[#This Row],[Valor Unitário]]</f>
        <v>255000</v>
      </c>
      <c r="K181" t="str">
        <f ca="1">IF(
   $O$7="Desbloqueado",
   CHOOSE(RANDBETWEEN(1,3),"Pago","Pendente","Atrasado"),
   Tabela_Movimentacao_Geral[[#This Row],[Status Financeiro]]
)</f>
        <v>Atrasado</v>
      </c>
      <c r="L181" t="str">
        <f ca="1">IF(
   $O$7="Desbloqueado",
   CHOOSE(RANDBETWEEN(1,3),"Entregue","Em Rota","Aguardando"),
   Tabela_Movimentacao_Geral[[#This Row],[Status Logistico]]
)</f>
        <v>Entregue</v>
      </c>
      <c r="M18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45757</v>
      </c>
    </row>
    <row r="182" spans="1:13" x14ac:dyDescent="0.3">
      <c r="A182" t="str">
        <f t="shared" si="2"/>
        <v>T0181</v>
      </c>
      <c r="B182" s="1">
        <v>45755</v>
      </c>
      <c r="C182" t="str" cm="1">
        <f t="array" aca="1" ref="C182" ca="1">IF($O$7="Desbloqueado",
  _xlfn.LET(
    _xlpm.saldo_atual, SUM(($C$2:$C181="Entrada")*($F$2:$F181=Tabela_Movimentacao_Geral[[#This Row],[ID Produto]])*($H$2:$H181) - ($C$2:$C181="Saida")*($F$2:$F181=Tabela_Movimentacao_Geral[[#This Row],[ID Produto]])*($H$2:$H181)),
    IF(_xlpm.saldo_atual &gt; 0, IF(RANDBETWEEN(0,10)&gt;3,"Saida","Entrada"), "Entrada")
  ),
  Tabela_Movimentacao_Geral[[#This Row],[Tipo Fluxo]]
)</f>
        <v>Entrada</v>
      </c>
      <c r="D1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1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182" t="str">
        <f ca="1">IF(
  $O$7="Desbloqueado",
  "PROD"&amp;TEXT(RANDBETWEEN(1,200),"000"),
  Tabela_Movimentacao_Geral[[#This Row],[ID Produto]]
)</f>
        <v>PROD134</v>
      </c>
      <c r="G182" t="str">
        <f ca="1">_xlfn.XLOOKUP(Tabela_Movimentacao_Geral[[#This Row],[ID Produto]], Tabela_Produtos[ID_Produto],Tabela_Produtos[Descricao_Produto],"Produto não encontrado")</f>
        <v>Suporte Projetor Teto</v>
      </c>
      <c r="H182" cm="1">
        <f t="array" aca="1" ref="H182" ca="1">IF(
   $O$7="Desbloqueado",
   _xlfn.LET(
     _xlpm.saldo_atual, SUM(($C$2:$C181="Entrada")*($F$2:$F181=Tabela_Movimentacao_Geral[[#This Row],[ID Produto]])*($H$2:$H181) - ($C$2:$C181="Saida")*($F$2:$F181=Tabela_Movimentacao_Geral[[#This Row],[ID Produto]])*($H$2:$H181)),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67</v>
      </c>
      <c r="I182" s="5">
        <f ca="1">_xlfn.XLOOKUP(Tabela_Movimentacao_Geral[[#This Row],[ID Produto]], Tabela_Produtos[ID_Produto],Tabela_Produtos[Preco_Unitario_Venda])</f>
        <v>155</v>
      </c>
      <c r="J182" s="6">
        <f ca="1">Tabela_Movimentacao_Geral[[#This Row],[Quantidade]] * Tabela_Movimentacao_Geral[[#This Row],[Valor Unitário]]</f>
        <v>10385</v>
      </c>
      <c r="K182" t="str">
        <f ca="1">IF(
   $O$7="Desbloqueado",
   CHOOSE(RANDBETWEEN(1,3),"Pago","Pendente","Atrasado"),
   Tabela_Movimentacao_Geral[[#This Row],[Status Financeiro]]
)</f>
        <v>Pago</v>
      </c>
      <c r="L182" t="str">
        <f ca="1">IF(
   $O$7="Desbloqueado",
   CHOOSE(RANDBETWEEN(1,3),"Entregue","Em Rota","Aguardando"),
   Tabela_Movimentacao_Geral[[#This Row],[Status Logistico]]
)</f>
        <v>Em Rota</v>
      </c>
      <c r="M18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45767</v>
      </c>
    </row>
    <row r="183" spans="1:13" x14ac:dyDescent="0.3">
      <c r="A183" t="str">
        <f t="shared" si="2"/>
        <v>T0182</v>
      </c>
      <c r="B183" s="1">
        <v>45755</v>
      </c>
      <c r="C183" t="str" cm="1">
        <f t="array" aca="1" ref="C183" ca="1">IF($O$7="Desbloqueado",
  _xlfn.LET(
    _xlpm.saldo_atual, SUM(($C$2:$C182="Entrada")*($F$2:$F182=Tabela_Movimentacao_Geral[[#This Row],[ID Produto]])*($H$2:$H182) - ($C$2:$C182="Saida")*($F$2:$F182=Tabela_Movimentacao_Geral[[#This Row],[ID Produto]])*($H$2:$H182)),
    IF(_xlpm.saldo_atual &gt; 0, IF(RANDBETWEEN(0,10)&gt;3,"Saida","Entrada"), "Entrada")
  ),
  Tabela_Movimentacao_Geral[[#This Row],[Tipo Fluxo]]
)</f>
        <v>Entrada</v>
      </c>
      <c r="D1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1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183" t="str">
        <f ca="1">IF(
  $O$7="Desbloqueado",
  "PROD"&amp;TEXT(RANDBETWEEN(1,200),"000"),
  Tabela_Movimentacao_Geral[[#This Row],[ID Produto]]
)</f>
        <v>PROD196</v>
      </c>
      <c r="G183" t="str">
        <f ca="1">_xlfn.XLOOKUP(Tabela_Movimentacao_Geral[[#This Row],[ID Produto]], Tabela_Produtos[ID_Produto],Tabela_Produtos[Descricao_Produto],"Produto não encontrado")</f>
        <v>Kit Chaves Precisao</v>
      </c>
      <c r="H183" cm="1">
        <f t="array" aca="1" ref="H183" ca="1">IF(
   $O$7="Desbloqueado",
   _xlfn.LET(
     _xlpm.saldo_atual, SUM(($C$2:$C182="Entrada")*($F$2:$F182=Tabela_Movimentacao_Geral[[#This Row],[ID Produto]])*($H$2:$H182) - ($C$2:$C182="Saida")*($F$2:$F182=Tabela_Movimentacao_Geral[[#This Row],[ID Produto]])*($H$2:$H182)),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58</v>
      </c>
      <c r="I183" s="5">
        <f ca="1">_xlfn.XLOOKUP(Tabela_Movimentacao_Geral[[#This Row],[ID Produto]], Tabela_Produtos[ID_Produto],Tabela_Produtos[Preco_Unitario_Venda])</f>
        <v>95</v>
      </c>
      <c r="J183" s="6">
        <f ca="1">Tabela_Movimentacao_Geral[[#This Row],[Quantidade]] * Tabela_Movimentacao_Geral[[#This Row],[Valor Unitário]]</f>
        <v>5510</v>
      </c>
      <c r="K183" t="str">
        <f ca="1">IF(
   $O$7="Desbloqueado",
   CHOOSE(RANDBETWEEN(1,3),"Pago","Pendente","Atrasado"),
   Tabela_Movimentacao_Geral[[#This Row],[Status Financeiro]]
)</f>
        <v>Pago</v>
      </c>
      <c r="L183" t="str">
        <f ca="1">IF(
   $O$7="Desbloqueado",
   CHOOSE(RANDBETWEEN(1,3),"Entregue","Em Rota","Aguardando"),
   Tabela_Movimentacao_Geral[[#This Row],[Status Logistico]]
)</f>
        <v>Entregue</v>
      </c>
      <c r="M18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45770</v>
      </c>
    </row>
    <row r="184" spans="1:13" x14ac:dyDescent="0.3">
      <c r="A184" t="str">
        <f t="shared" si="2"/>
        <v>T0183</v>
      </c>
      <c r="B184" s="1">
        <v>45756</v>
      </c>
      <c r="C184" t="str" cm="1">
        <f t="array" aca="1" ref="C184" ca="1">IF($O$7="Desbloqueado",
  _xlfn.LET(
    _xlpm.saldo_atual, SUM(($C$2:$C183="Entrada")*($F$2:$F183=Tabela_Movimentacao_Geral[[#This Row],[ID Produto]])*($H$2:$H183) - ($C$2:$C183="Saida")*($F$2:$F183=Tabela_Movimentacao_Geral[[#This Row],[ID Produto]])*($H$2:$H183)),
    IF(_xlpm.saldo_atual &gt; 0, IF(RANDBETWEEN(0,10)&gt;3,"Saida","Entrada"), "Entrada")
  ),
  Tabela_Movimentacao_Geral[[#This Row],[Tipo Fluxo]]
)</f>
        <v>Entrada</v>
      </c>
      <c r="D1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1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184" t="str">
        <f ca="1">IF(
  $O$7="Desbloqueado",
  "PROD"&amp;TEXT(RANDBETWEEN(1,200),"000"),
  Tabela_Movimentacao_Geral[[#This Row],[ID Produto]]
)</f>
        <v>PROD069</v>
      </c>
      <c r="G184" t="str">
        <f ca="1">_xlfn.XLOOKUP(Tabela_Movimentacao_Geral[[#This Row],[ID Produto]], Tabela_Produtos[ID_Produto],Tabela_Produtos[Descricao_Produto],"Produto não encontrado")</f>
        <v>Apagador para Quadro</v>
      </c>
      <c r="H184" cm="1">
        <f t="array" aca="1" ref="H184" ca="1">IF(
   $O$7="Desbloqueado",
   _xlfn.LET(
     _xlpm.saldo_atual, SUM(($C$2:$C183="Entrada")*($F$2:$F183=Tabela_Movimentacao_Geral[[#This Row],[ID Produto]])*($H$2:$H183) - ($C$2:$C183="Saida")*($F$2:$F183=Tabela_Movimentacao_Geral[[#This Row],[ID Produto]])*($H$2:$H183)),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114</v>
      </c>
      <c r="I184" s="5">
        <f ca="1">_xlfn.XLOOKUP(Tabela_Movimentacao_Geral[[#This Row],[ID Produto]], Tabela_Produtos[ID_Produto],Tabela_Produtos[Preco_Unitario_Venda])</f>
        <v>15</v>
      </c>
      <c r="J184" s="6">
        <f ca="1">Tabela_Movimentacao_Geral[[#This Row],[Quantidade]] * Tabela_Movimentacao_Geral[[#This Row],[Valor Unitário]]</f>
        <v>1710</v>
      </c>
      <c r="K184" t="str">
        <f ca="1">IF(
   $O$7="Desbloqueado",
   CHOOSE(RANDBETWEEN(1,3),"Pago","Pendente","Atrasado"),
   Tabela_Movimentacao_Geral[[#This Row],[Status Financeiro]]
)</f>
        <v>Pendente</v>
      </c>
      <c r="L184" t="str">
        <f ca="1">IF(
   $O$7="Desbloqueado",
   CHOOSE(RANDBETWEEN(1,3),"Entregue","Em Rota","Aguardando"),
   Tabela_Movimentacao_Geral[[#This Row],[Status Logistico]]
)</f>
        <v>Em Rota</v>
      </c>
      <c r="M18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45760</v>
      </c>
    </row>
    <row r="185" spans="1:13" x14ac:dyDescent="0.3">
      <c r="A185" t="str">
        <f t="shared" si="2"/>
        <v>T0184</v>
      </c>
      <c r="B185" s="1">
        <v>45756</v>
      </c>
      <c r="C185" t="str" cm="1">
        <f t="array" aca="1" ref="C185" ca="1">IF($O$7="Desbloqueado",
  _xlfn.LET(
    _xlpm.saldo_atual, SUM(($C$2:$C184="Entrada")*($F$2:$F184=Tabela_Movimentacao_Geral[[#This Row],[ID Produto]])*($H$2:$H184) - ($C$2:$C184="Saida")*($F$2:$F184=Tabela_Movimentacao_Geral[[#This Row],[ID Produto]])*($H$2:$H184)),
    IF(_xlpm.saldo_atual &gt; 0, IF(RANDBETWEEN(0,10)&gt;3,"Saida","Entrada"), "Entrada")
  ),
  Tabela_Movimentacao_Geral[[#This Row],[Tipo Fluxo]]
)</f>
        <v>Saida</v>
      </c>
      <c r="D1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1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185" t="str">
        <f ca="1">IF(
  $O$7="Desbloqueado",
  "PROD"&amp;TEXT(RANDBETWEEN(1,200),"000"),
  Tabela_Movimentacao_Geral[[#This Row],[ID Produto]]
)</f>
        <v>PROD184</v>
      </c>
      <c r="G185" t="str">
        <f ca="1">_xlfn.XLOOKUP(Tabela_Movimentacao_Geral[[#This Row],[ID Produto]], Tabela_Produtos[ID_Produto],Tabela_Produtos[Descricao_Produto],"Produto não encontrado")</f>
        <v>Cabo Serial Console</v>
      </c>
      <c r="H185" cm="1">
        <f t="array" aca="1" ref="H185" ca="1">IF(
   $O$7="Desbloqueado",
   _xlfn.LET(
     _xlpm.saldo_atual, SUM(($C$2:$C184="Entrada")*($F$2:$F184=Tabela_Movimentacao_Geral[[#This Row],[ID Produto]])*($H$2:$H184) - ($C$2:$C184="Saida")*($F$2:$F184=Tabela_Movimentacao_Geral[[#This Row],[ID Produto]])*($H$2:$H184)),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46</v>
      </c>
      <c r="I185" s="5">
        <f ca="1">_xlfn.XLOOKUP(Tabela_Movimentacao_Geral[[#This Row],[ID Produto]], Tabela_Produtos[ID_Produto],Tabela_Produtos[Preco_Unitario_Venda])</f>
        <v>45</v>
      </c>
      <c r="J185" s="6">
        <f ca="1">Tabela_Movimentacao_Geral[[#This Row],[Quantidade]] * Tabela_Movimentacao_Geral[[#This Row],[Valor Unitário]]</f>
        <v>2070</v>
      </c>
      <c r="K185" t="str">
        <f ca="1">IF(
   $O$7="Desbloqueado",
   CHOOSE(RANDBETWEEN(1,3),"Pago","Pendente","Atrasado"),
   Tabela_Movimentacao_Geral[[#This Row],[Status Financeiro]]
)</f>
        <v>Pago</v>
      </c>
      <c r="L185" t="str">
        <f ca="1">IF(
   $O$7="Desbloqueado",
   CHOOSE(RANDBETWEEN(1,3),"Entregue","Em Rota","Aguardando"),
   Tabela_Movimentacao_Geral[[#This Row],[Status Logistico]]
)</f>
        <v>Aguardando</v>
      </c>
      <c r="M18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86" spans="1:13" x14ac:dyDescent="0.3">
      <c r="A186" t="str">
        <f t="shared" si="2"/>
        <v>T0185</v>
      </c>
      <c r="B186" s="1">
        <v>45756</v>
      </c>
      <c r="C186" t="str" cm="1">
        <f t="array" aca="1" ref="C186" ca="1">IF($O$7="Desbloqueado",
  _xlfn.LET(
    _xlpm.saldo_atual, SUM(($C$2:$C185="Entrada")*($F$2:$F185=Tabela_Movimentacao_Geral[[#This Row],[ID Produto]])*($H$2:$H185) - ($C$2:$C185="Saida")*($F$2:$F185=Tabela_Movimentacao_Geral[[#This Row],[ID Produto]])*($H$2:$H185)),
    IF(_xlpm.saldo_atual &gt; 0, IF(RANDBETWEEN(0,10)&gt;3,"Saida","Entrada"), "Entrada")
  ),
  Tabela_Movimentacao_Geral[[#This Row],[Tipo Fluxo]]
)</f>
        <v>Entrada</v>
      </c>
      <c r="D1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1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186" t="str">
        <f ca="1">IF(
  $O$7="Desbloqueado",
  "PROD"&amp;TEXT(RANDBETWEEN(1,200),"000"),
  Tabela_Movimentacao_Geral[[#This Row],[ID Produto]]
)</f>
        <v>PROD133</v>
      </c>
      <c r="G186" t="str">
        <f ca="1">_xlfn.XLOOKUP(Tabela_Movimentacao_Geral[[#This Row],[ID Produto]], Tabela_Produtos[ID_Produto],Tabela_Produtos[Descricao_Produto],"Produto não encontrado")</f>
        <v>Pendrive 128GB Metal</v>
      </c>
      <c r="H186" cm="1">
        <f t="array" aca="1" ref="H186" ca="1">IF(
   $O$7="Desbloqueado",
   _xlfn.LET(
     _xlpm.saldo_atual, SUM(($C$2:$C185="Entrada")*($F$2:$F185=Tabela_Movimentacao_Geral[[#This Row],[ID Produto]])*($H$2:$H185) - ($C$2:$C185="Saida")*($F$2:$F185=Tabela_Movimentacao_Geral[[#This Row],[ID Produto]])*($H$2:$H185)),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33</v>
      </c>
      <c r="I186" s="5">
        <f ca="1">_xlfn.XLOOKUP(Tabela_Movimentacao_Geral[[#This Row],[ID Produto]], Tabela_Produtos[ID_Produto],Tabela_Produtos[Preco_Unitario_Venda])</f>
        <v>110</v>
      </c>
      <c r="J186" s="6">
        <f ca="1">Tabela_Movimentacao_Geral[[#This Row],[Quantidade]] * Tabela_Movimentacao_Geral[[#This Row],[Valor Unitário]]</f>
        <v>3630</v>
      </c>
      <c r="K186" t="str">
        <f ca="1">IF(
   $O$7="Desbloqueado",
   CHOOSE(RANDBETWEEN(1,3),"Pago","Pendente","Atrasado"),
   Tabela_Movimentacao_Geral[[#This Row],[Status Financeiro]]
)</f>
        <v>Atrasado</v>
      </c>
      <c r="L186" t="str">
        <f ca="1">IF(
   $O$7="Desbloqueado",
   CHOOSE(RANDBETWEEN(1,3),"Entregue","Em Rota","Aguardando"),
   Tabela_Movimentacao_Geral[[#This Row],[Status Logistico]]
)</f>
        <v>Em Rota</v>
      </c>
      <c r="M18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45771</v>
      </c>
    </row>
    <row r="187" spans="1:13" x14ac:dyDescent="0.3">
      <c r="A187" t="str">
        <f t="shared" si="2"/>
        <v>T0186</v>
      </c>
      <c r="B187" s="1">
        <v>45756</v>
      </c>
      <c r="C187" t="str" cm="1">
        <f t="array" aca="1" ref="C187" ca="1">IF($O$7="Desbloqueado",
  _xlfn.LET(
    _xlpm.saldo_atual, SUM(($C$2:$C186="Entrada")*($F$2:$F186=Tabela_Movimentacao_Geral[[#This Row],[ID Produto]])*($H$2:$H186) - ($C$2:$C186="Saida")*($F$2:$F186=Tabela_Movimentacao_Geral[[#This Row],[ID Produto]])*($H$2:$H186)),
    IF(_xlpm.saldo_atual &gt; 0, IF(RANDBETWEEN(0,10)&gt;3,"Saida","Entrada"), "Entrada")
  ),
  Tabela_Movimentacao_Geral[[#This Row],[Tipo Fluxo]]
)</f>
        <v>Entrada</v>
      </c>
      <c r="D1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1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187" t="str">
        <f ca="1">IF(
  $O$7="Desbloqueado",
  "PROD"&amp;TEXT(RANDBETWEEN(1,200),"000"),
  Tabela_Movimentacao_Geral[[#This Row],[ID Produto]]
)</f>
        <v>PROD186</v>
      </c>
      <c r="G187" t="str">
        <f ca="1">_xlfn.XLOOKUP(Tabela_Movimentacao_Geral[[#This Row],[ID Produto]], Tabela_Produtos[ID_Produto],Tabela_Produtos[Descricao_Produto],"Produto não encontrado")</f>
        <v>KVM Console Gaveta 17</v>
      </c>
      <c r="H187" cm="1">
        <f t="array" aca="1" ref="H187" ca="1">IF(
   $O$7="Desbloqueado",
   _xlfn.LET(
     _xlpm.saldo_atual, SUM(($C$2:$C186="Entrada")*($F$2:$F186=Tabela_Movimentacao_Geral[[#This Row],[ID Produto]])*($H$2:$H186) - ($C$2:$C186="Saida")*($F$2:$F186=Tabela_Movimentacao_Geral[[#This Row],[ID Produto]])*($H$2:$H186)),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75</v>
      </c>
      <c r="I187" s="5">
        <f ca="1">_xlfn.XLOOKUP(Tabela_Movimentacao_Geral[[#This Row],[ID Produto]], Tabela_Produtos[ID_Produto],Tabela_Produtos[Preco_Unitario_Venda])</f>
        <v>6800</v>
      </c>
      <c r="J187" s="6">
        <f ca="1">Tabela_Movimentacao_Geral[[#This Row],[Quantidade]] * Tabela_Movimentacao_Geral[[#This Row],[Valor Unitário]]</f>
        <v>510000</v>
      </c>
      <c r="K187" t="str">
        <f ca="1">IF(
   $O$7="Desbloqueado",
   CHOOSE(RANDBETWEEN(1,3),"Pago","Pendente","Atrasado"),
   Tabela_Movimentacao_Geral[[#This Row],[Status Financeiro]]
)</f>
        <v>Pendente</v>
      </c>
      <c r="L187" t="str">
        <f ca="1">IF(
   $O$7="Desbloqueado",
   CHOOSE(RANDBETWEEN(1,3),"Entregue","Em Rota","Aguardando"),
   Tabela_Movimentacao_Geral[[#This Row],[Status Logistico]]
)</f>
        <v>Aguardando</v>
      </c>
      <c r="M18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45766</v>
      </c>
    </row>
    <row r="188" spans="1:13" x14ac:dyDescent="0.3">
      <c r="A188" t="str">
        <f t="shared" si="2"/>
        <v>T0187</v>
      </c>
      <c r="B188" s="1">
        <v>45757</v>
      </c>
      <c r="C188" t="str" cm="1">
        <f t="array" aca="1" ref="C188" ca="1">IF($O$7="Desbloqueado",
  _xlfn.LET(
    _xlpm.saldo_atual, SUM(($C$2:$C187="Entrada")*($F$2:$F187=Tabela_Movimentacao_Geral[[#This Row],[ID Produto]])*($H$2:$H187) - ($C$2:$C187="Saida")*($F$2:$F187=Tabela_Movimentacao_Geral[[#This Row],[ID Produto]])*($H$2:$H187)),
    IF(_xlpm.saldo_atual &gt; 0, IF(RANDBETWEEN(0,10)&gt;3,"Saida","Entrada"), "Entrada")
  ),
  Tabela_Movimentacao_Geral[[#This Row],[Tipo Fluxo]]
)</f>
        <v>Entrada</v>
      </c>
      <c r="D1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1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188" t="str">
        <f ca="1">IF(
  $O$7="Desbloqueado",
  "PROD"&amp;TEXT(RANDBETWEEN(1,200),"000"),
  Tabela_Movimentacao_Geral[[#This Row],[ID Produto]]
)</f>
        <v>PROD091</v>
      </c>
      <c r="G188" t="str">
        <f ca="1">_xlfn.XLOOKUP(Tabela_Movimentacao_Geral[[#This Row],[ID Produto]], Tabela_Produtos[ID_Produto],Tabela_Produtos[Descricao_Produto],"Produto não encontrado")</f>
        <v>Unidade LTO-8 Backup</v>
      </c>
      <c r="H188" cm="1">
        <f t="array" aca="1" ref="H188" ca="1">IF(
   $O$7="Desbloqueado",
   _xlfn.LET(
     _xlpm.saldo_atual, SUM(($C$2:$C187="Entrada")*($F$2:$F187=Tabela_Movimentacao_Geral[[#This Row],[ID Produto]])*($H$2:$H187) - ($C$2:$C187="Saida")*($F$2:$F187=Tabela_Movimentacao_Geral[[#This Row],[ID Produto]])*($H$2:$H187)),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188" s="5">
        <f ca="1">_xlfn.XLOOKUP(Tabela_Movimentacao_Geral[[#This Row],[ID Produto]], Tabela_Produtos[ID_Produto],Tabela_Produtos[Preco_Unitario_Venda])</f>
        <v>28000</v>
      </c>
      <c r="J188" s="6">
        <f ca="1">Tabela_Movimentacao_Geral[[#This Row],[Quantidade]] * Tabela_Movimentacao_Geral[[#This Row],[Valor Unitário]]</f>
        <v>2072000</v>
      </c>
      <c r="K188" t="str">
        <f ca="1">IF(
   $O$7="Desbloqueado",
   CHOOSE(RANDBETWEEN(1,3),"Pago","Pendente","Atrasado"),
   Tabela_Movimentacao_Geral[[#This Row],[Status Financeiro]]
)</f>
        <v>Pago</v>
      </c>
      <c r="L188" t="str">
        <f ca="1">IF(
   $O$7="Desbloqueado",
   CHOOSE(RANDBETWEEN(1,3),"Entregue","Em Rota","Aguardando"),
   Tabela_Movimentacao_Geral[[#This Row],[Status Logistico]]
)</f>
        <v>Em Rota</v>
      </c>
      <c r="M18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45763</v>
      </c>
    </row>
    <row r="189" spans="1:13" x14ac:dyDescent="0.3">
      <c r="A189" t="str">
        <f t="shared" si="2"/>
        <v>T0188</v>
      </c>
      <c r="B189" s="1">
        <v>45757</v>
      </c>
      <c r="C189" t="str" cm="1">
        <f t="array" aca="1" ref="C189" ca="1">IF($O$7="Desbloqueado",
  _xlfn.LET(
    _xlpm.saldo_atual, SUM(($C$2:$C188="Entrada")*($F$2:$F188=Tabela_Movimentacao_Geral[[#This Row],[ID Produto]])*($H$2:$H188) - ($C$2:$C188="Saida")*($F$2:$F188=Tabela_Movimentacao_Geral[[#This Row],[ID Produto]])*($H$2:$H188)),
    IF(_xlpm.saldo_atual &gt; 0, IF(RANDBETWEEN(0,10)&gt;3,"Saida","Entrada"), "Entrada")
  ),
  Tabela_Movimentacao_Geral[[#This Row],[Tipo Fluxo]]
)</f>
        <v>Entrada</v>
      </c>
      <c r="D1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1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189" t="str">
        <f ca="1">IF(
  $O$7="Desbloqueado",
  "PROD"&amp;TEXT(RANDBETWEEN(1,200),"000"),
  Tabela_Movimentacao_Geral[[#This Row],[ID Produto]]
)</f>
        <v>PROD012</v>
      </c>
      <c r="G189" t="str">
        <f ca="1">_xlfn.XLOOKUP(Tabela_Movimentacao_Geral[[#This Row],[ID Produto]], Tabela_Produtos[ID_Produto],Tabela_Produtos[Descricao_Produto],"Produto não encontrado")</f>
        <v>Webcam 1080p Business</v>
      </c>
      <c r="H189" cm="1">
        <f t="array" aca="1" ref="H189" ca="1">IF(
   $O$7="Desbloqueado",
   _xlfn.LET(
     _xlpm.saldo_atual, SUM(($C$2:$C188="Entrada")*($F$2:$F188=Tabela_Movimentacao_Geral[[#This Row],[ID Produto]])*($H$2:$H188) - ($C$2:$C188="Saida")*($F$2:$F188=Tabela_Movimentacao_Geral[[#This Row],[ID Produto]])*($H$2:$H188)),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189" s="5">
        <f ca="1">_xlfn.XLOOKUP(Tabela_Movimentacao_Geral[[#This Row],[ID Produto]], Tabela_Produtos[ID_Produto],Tabela_Produtos[Preco_Unitario_Venda])</f>
        <v>450</v>
      </c>
      <c r="J189" s="6">
        <f ca="1">Tabela_Movimentacao_Geral[[#This Row],[Quantidade]] * Tabela_Movimentacao_Geral[[#This Row],[Valor Unitário]]</f>
        <v>2250</v>
      </c>
      <c r="K189" t="str">
        <f ca="1">IF(
   $O$7="Desbloqueado",
   CHOOSE(RANDBETWEEN(1,3),"Pago","Pendente","Atrasado"),
   Tabela_Movimentacao_Geral[[#This Row],[Status Financeiro]]
)</f>
        <v>Pendente</v>
      </c>
      <c r="L189" t="str">
        <f ca="1">IF(
   $O$7="Desbloqueado",
   CHOOSE(RANDBETWEEN(1,3),"Entregue","Em Rota","Aguardando"),
   Tabela_Movimentacao_Geral[[#This Row],[Status Logistico]]
)</f>
        <v>Entregue</v>
      </c>
      <c r="M18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45758</v>
      </c>
    </row>
    <row r="190" spans="1:13" x14ac:dyDescent="0.3">
      <c r="A190" t="str">
        <f t="shared" si="2"/>
        <v>T0189</v>
      </c>
      <c r="B190" s="1">
        <v>45757</v>
      </c>
      <c r="C190" t="str" cm="1">
        <f t="array" aca="1" ref="C190" ca="1">IF($O$7="Desbloqueado",
  _xlfn.LET(
    _xlpm.saldo_atual, SUM(($C$2:$C189="Entrada")*($F$2:$F189=Tabela_Movimentacao_Geral[[#This Row],[ID Produto]])*($H$2:$H189) - ($C$2:$C189="Saida")*($F$2:$F189=Tabela_Movimentacao_Geral[[#This Row],[ID Produto]])*($H$2:$H189)),
    IF(_xlpm.saldo_atual &gt; 0, IF(RANDBETWEEN(0,10)&gt;3,"Saida","Entrada"), "Entrada")
  ),
  Tabela_Movimentacao_Geral[[#This Row],[Tipo Fluxo]]
)</f>
        <v>Entrada</v>
      </c>
      <c r="D1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1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190" t="str">
        <f ca="1">IF(
  $O$7="Desbloqueado",
  "PROD"&amp;TEXT(RANDBETWEEN(1,200),"000"),
  Tabela_Movimentacao_Geral[[#This Row],[ID Produto]]
)</f>
        <v>PROD113</v>
      </c>
      <c r="G190" t="str">
        <f ca="1">_xlfn.XLOOKUP(Tabela_Movimentacao_Geral[[#This Row],[ID Produto]], Tabela_Produtos[ID_Produto],Tabela_Produtos[Descricao_Produto],"Produto não encontrado")</f>
        <v>Headphone Bluetooth NoiseC</v>
      </c>
      <c r="H190" cm="1">
        <f t="array" aca="1" ref="H190" ca="1">IF(
   $O$7="Desbloqueado",
   _xlfn.LET(
     _xlpm.saldo_atual, SUM(($C$2:$C189="Entrada")*($F$2:$F189=Tabela_Movimentacao_Geral[[#This Row],[ID Produto]])*($H$2:$H189) - ($C$2:$C189="Saida")*($F$2:$F189=Tabela_Movimentacao_Geral[[#This Row],[ID Produto]])*($H$2:$H189)),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190" s="5">
        <f ca="1">_xlfn.XLOOKUP(Tabela_Movimentacao_Geral[[#This Row],[ID Produto]], Tabela_Produtos[ID_Produto],Tabela_Produtos[Preco_Unitario_Venda])</f>
        <v>950</v>
      </c>
      <c r="J190" s="6">
        <f ca="1">Tabela_Movimentacao_Geral[[#This Row],[Quantidade]] * Tabela_Movimentacao_Geral[[#This Row],[Valor Unitário]]</f>
        <v>24700</v>
      </c>
      <c r="K190" t="str">
        <f ca="1">IF(
   $O$7="Desbloqueado",
   CHOOSE(RANDBETWEEN(1,3),"Pago","Pendente","Atrasado"),
   Tabela_Movimentacao_Geral[[#This Row],[Status Financeiro]]
)</f>
        <v>Pago</v>
      </c>
      <c r="L190" t="str">
        <f ca="1">IF(
   $O$7="Desbloqueado",
   CHOOSE(RANDBETWEEN(1,3),"Entregue","Em Rota","Aguardando"),
   Tabela_Movimentacao_Geral[[#This Row],[Status Logistico]]
)</f>
        <v>Em Rota</v>
      </c>
      <c r="M19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45760</v>
      </c>
    </row>
    <row r="191" spans="1:13" x14ac:dyDescent="0.3">
      <c r="A191" t="str">
        <f t="shared" si="2"/>
        <v>T0190</v>
      </c>
      <c r="B191" s="1">
        <v>45757</v>
      </c>
      <c r="C191" t="str" cm="1">
        <f t="array" aca="1" ref="C191" ca="1">IF($O$7="Desbloqueado",
  _xlfn.LET(
    _xlpm.saldo_atual, SUM(($C$2:$C190="Entrada")*($F$2:$F190=Tabela_Movimentacao_Geral[[#This Row],[ID Produto]])*($H$2:$H190) - ($C$2:$C190="Saida")*($F$2:$F190=Tabela_Movimentacao_Geral[[#This Row],[ID Produto]])*($H$2:$H190)),
    IF(_xlpm.saldo_atual &gt; 0, IF(RANDBETWEEN(0,10)&gt;3,"Saida","Entrada"), "Entrada")
  ),
  Tabela_Movimentacao_Geral[[#This Row],[Tipo Fluxo]]
)</f>
        <v>Entrada</v>
      </c>
      <c r="D1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1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191" t="str">
        <f ca="1">IF(
  $O$7="Desbloqueado",
  "PROD"&amp;TEXT(RANDBETWEEN(1,200),"000"),
  Tabela_Movimentacao_Geral[[#This Row],[ID Produto]]
)</f>
        <v>PROD112</v>
      </c>
      <c r="G191" t="str">
        <f ca="1">_xlfn.XLOOKUP(Tabela_Movimentacao_Geral[[#This Row],[ID Produto]], Tabela_Produtos[ID_Produto],Tabela_Produtos[Descricao_Produto],"Produto não encontrado")</f>
        <v>Webcam 4K Streaming</v>
      </c>
      <c r="H191" cm="1">
        <f t="array" aca="1" ref="H191" ca="1">IF(
   $O$7="Desbloqueado",
   _xlfn.LET(
     _xlpm.saldo_atual, SUM(($C$2:$C190="Entrada")*($F$2:$F190=Tabela_Movimentacao_Geral[[#This Row],[ID Produto]])*($H$2:$H190) - ($C$2:$C190="Saida")*($F$2:$F190=Tabela_Movimentacao_Geral[[#This Row],[ID Produto]])*($H$2:$H190)),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89</v>
      </c>
      <c r="I191" s="5">
        <f ca="1">_xlfn.XLOOKUP(Tabela_Movimentacao_Geral[[#This Row],[ID Produto]], Tabela_Produtos[ID_Produto],Tabela_Produtos[Preco_Unitario_Venda])</f>
        <v>1100</v>
      </c>
      <c r="J191" s="6">
        <f ca="1">Tabela_Movimentacao_Geral[[#This Row],[Quantidade]] * Tabela_Movimentacao_Geral[[#This Row],[Valor Unitário]]</f>
        <v>97900</v>
      </c>
      <c r="K191" t="str">
        <f ca="1">IF(
   $O$7="Desbloqueado",
   CHOOSE(RANDBETWEEN(1,3),"Pago","Pendente","Atrasado"),
   Tabela_Movimentacao_Geral[[#This Row],[Status Financeiro]]
)</f>
        <v>Pago</v>
      </c>
      <c r="L191" t="str">
        <f ca="1">IF(
   $O$7="Desbloqueado",
   CHOOSE(RANDBETWEEN(1,3),"Entregue","Em Rota","Aguardando"),
   Tabela_Movimentacao_Geral[[#This Row],[Status Logistico]]
)</f>
        <v>Em Rota</v>
      </c>
      <c r="M19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45760</v>
      </c>
    </row>
    <row r="192" spans="1:13" x14ac:dyDescent="0.3">
      <c r="A192" t="str">
        <f t="shared" si="2"/>
        <v>T0191</v>
      </c>
      <c r="B192" s="1">
        <v>45758</v>
      </c>
      <c r="C192" t="str" cm="1">
        <f t="array" aca="1" ref="C192" ca="1">IF($O$7="Desbloqueado",
  _xlfn.LET(
    _xlpm.saldo_atual, SUM(($C$2:$C191="Entrada")*($F$2:$F191=Tabela_Movimentacao_Geral[[#This Row],[ID Produto]])*($H$2:$H191) - ($C$2:$C191="Saida")*($F$2:$F191=Tabela_Movimentacao_Geral[[#This Row],[ID Produto]])*($H$2:$H191)),
    IF(_xlpm.saldo_atual &gt; 0, IF(RANDBETWEEN(0,10)&gt;3,"Saida","Entrada"), "Entrada")
  ),
  Tabela_Movimentacao_Geral[[#This Row],[Tipo Fluxo]]
)</f>
        <v>Entrada</v>
      </c>
      <c r="D1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1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192" t="str">
        <f ca="1">IF(
  $O$7="Desbloqueado",
  "PROD"&amp;TEXT(RANDBETWEEN(1,200),"000"),
  Tabela_Movimentacao_Geral[[#This Row],[ID Produto]]
)</f>
        <v>PROD051</v>
      </c>
      <c r="G192" t="str">
        <f ca="1">_xlfn.XLOOKUP(Tabela_Movimentacao_Geral[[#This Row],[ID Produto]], Tabela_Produtos[ID_Produto],Tabela_Produtos[Descricao_Produto],"Produto não encontrado")</f>
        <v>Papel A4 Report 500fls</v>
      </c>
      <c r="H192" cm="1">
        <f t="array" aca="1" ref="H192" ca="1">IF(
   $O$7="Desbloqueado",
   _xlfn.LET(
     _xlpm.saldo_atual, SUM(($C$2:$C191="Entrada")*($F$2:$F191=Tabela_Movimentacao_Geral[[#This Row],[ID Produto]])*($H$2:$H191) - ($C$2:$C191="Saida")*($F$2:$F191=Tabela_Movimentacao_Geral[[#This Row],[ID Produto]])*($H$2:$H191)),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130</v>
      </c>
      <c r="I192" s="5">
        <f ca="1">_xlfn.XLOOKUP(Tabela_Movimentacao_Geral[[#This Row],[ID Produto]], Tabela_Produtos[ID_Produto],Tabela_Produtos[Preco_Unitario_Venda])</f>
        <v>28</v>
      </c>
      <c r="J192" s="6">
        <f ca="1">Tabela_Movimentacao_Geral[[#This Row],[Quantidade]] * Tabela_Movimentacao_Geral[[#This Row],[Valor Unitário]]</f>
        <v>3640</v>
      </c>
      <c r="K192" t="str">
        <f ca="1">IF(
   $O$7="Desbloqueado",
   CHOOSE(RANDBETWEEN(1,3),"Pago","Pendente","Atrasado"),
   Tabela_Movimentacao_Geral[[#This Row],[Status Financeiro]]
)</f>
        <v>Pendente</v>
      </c>
      <c r="L192" t="str">
        <f ca="1">IF(
   $O$7="Desbloqueado",
   CHOOSE(RANDBETWEEN(1,3),"Entregue","Em Rota","Aguardando"),
   Tabela_Movimentacao_Geral[[#This Row],[Status Logistico]]
)</f>
        <v>Em Rota</v>
      </c>
      <c r="M19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45759</v>
      </c>
    </row>
    <row r="193" spans="1:13" x14ac:dyDescent="0.3">
      <c r="A193" t="str">
        <f t="shared" si="2"/>
        <v>T0192</v>
      </c>
      <c r="B193" s="1">
        <v>45758</v>
      </c>
      <c r="C193" t="str" cm="1">
        <f t="array" aca="1" ref="C193" ca="1">IF($O$7="Desbloqueado",
  _xlfn.LET(
    _xlpm.saldo_atual, SUM(($C$2:$C192="Entrada")*($F$2:$F192=Tabela_Movimentacao_Geral[[#This Row],[ID Produto]])*($H$2:$H192) - ($C$2:$C192="Saida")*($F$2:$F192=Tabela_Movimentacao_Geral[[#This Row],[ID Produto]])*($H$2:$H192)),
    IF(_xlpm.saldo_atual &gt; 0, IF(RANDBETWEEN(0,10)&gt;3,"Saida","Entrada"), "Entrada")
  ),
  Tabela_Movimentacao_Geral[[#This Row],[Tipo Fluxo]]
)</f>
        <v>Saida</v>
      </c>
      <c r="D1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1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193" t="str">
        <f ca="1">IF(
  $O$7="Desbloqueado",
  "PROD"&amp;TEXT(RANDBETWEEN(1,200),"000"),
  Tabela_Movimentacao_Geral[[#This Row],[ID Produto]]
)</f>
        <v>PROD069</v>
      </c>
      <c r="G193" t="str">
        <f ca="1">_xlfn.XLOOKUP(Tabela_Movimentacao_Geral[[#This Row],[ID Produto]], Tabela_Produtos[ID_Produto],Tabela_Produtos[Descricao_Produto],"Produto não encontrado")</f>
        <v>Apagador para Quadro</v>
      </c>
      <c r="H193" cm="1">
        <f t="array" aca="1" ref="H193" ca="1">IF(
   $O$7="Desbloqueado",
   _xlfn.LET(
     _xlpm.saldo_atual, SUM(($C$2:$C192="Entrada")*($F$2:$F192=Tabela_Movimentacao_Geral[[#This Row],[ID Produto]])*($H$2:$H192) - ($C$2:$C192="Saida")*($F$2:$F192=Tabela_Movimentacao_Geral[[#This Row],[ID Produto]])*($H$2:$H192)),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97</v>
      </c>
      <c r="I193" s="5">
        <f ca="1">_xlfn.XLOOKUP(Tabela_Movimentacao_Geral[[#This Row],[ID Produto]], Tabela_Produtos[ID_Produto],Tabela_Produtos[Preco_Unitario_Venda])</f>
        <v>15</v>
      </c>
      <c r="J193" s="6">
        <f ca="1">Tabela_Movimentacao_Geral[[#This Row],[Quantidade]] * Tabela_Movimentacao_Geral[[#This Row],[Valor Unitário]]</f>
        <v>1455</v>
      </c>
      <c r="K193" t="str">
        <f ca="1">IF(
   $O$7="Desbloqueado",
   CHOOSE(RANDBETWEEN(1,3),"Pago","Pendente","Atrasado"),
   Tabela_Movimentacao_Geral[[#This Row],[Status Financeiro]]
)</f>
        <v>Pendente</v>
      </c>
      <c r="L193" t="str">
        <f ca="1">IF(
   $O$7="Desbloqueado",
   CHOOSE(RANDBETWEEN(1,3),"Entregue","Em Rota","Aguardando"),
   Tabela_Movimentacao_Geral[[#This Row],[Status Logistico]]
)</f>
        <v>Aguardando</v>
      </c>
      <c r="M19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94" spans="1:13" x14ac:dyDescent="0.3">
      <c r="A194" t="str">
        <f t="shared" si="2"/>
        <v>T0193</v>
      </c>
      <c r="B194" s="1">
        <v>45759</v>
      </c>
      <c r="C194" t="str" cm="1">
        <f t="array" aca="1" ref="C194" ca="1">IF($O$7="Desbloqueado",
  _xlfn.LET(
    _xlpm.saldo_atual, SUM(($C$2:$C193="Entrada")*($F$2:$F193=Tabela_Movimentacao_Geral[[#This Row],[ID Produto]])*($H$2:$H193) - ($C$2:$C193="Saida")*($F$2:$F193=Tabela_Movimentacao_Geral[[#This Row],[ID Produto]])*($H$2:$H193)),
    IF(_xlpm.saldo_atual &gt; 0, IF(RANDBETWEEN(0,10)&gt;3,"Saida","Entrada"), "Entrada")
  ),
  Tabela_Movimentacao_Geral[[#This Row],[Tipo Fluxo]]
)</f>
        <v>Entrada</v>
      </c>
      <c r="D1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1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194" t="str">
        <f ca="1">IF(
  $O$7="Desbloqueado",
  "PROD"&amp;TEXT(RANDBETWEEN(1,200),"000"),
  Tabela_Movimentacao_Geral[[#This Row],[ID Produto]]
)</f>
        <v>PROD120</v>
      </c>
      <c r="G194" t="str">
        <f ca="1">_xlfn.XLOOKUP(Tabela_Movimentacao_Geral[[#This Row],[ID Produto]], Tabela_Produtos[ID_Produto],Tabela_Produtos[Descricao_Produto],"Produto não encontrado")</f>
        <v>Conversor de Midia Fibra</v>
      </c>
      <c r="H194" cm="1">
        <f t="array" aca="1" ref="H194" ca="1">IF(
   $O$7="Desbloqueado",
   _xlfn.LET(
     _xlpm.saldo_atual, SUM(($C$2:$C193="Entrada")*($F$2:$F193=Tabela_Movimentacao_Geral[[#This Row],[ID Produto]])*($H$2:$H193) - ($C$2:$C193="Saida")*($F$2:$F193=Tabela_Movimentacao_Geral[[#This Row],[ID Produto]])*($H$2:$H193)),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106</v>
      </c>
      <c r="I194" s="5">
        <f ca="1">_xlfn.XLOOKUP(Tabela_Movimentacao_Geral[[#This Row],[ID Produto]], Tabela_Produtos[ID_Produto],Tabela_Produtos[Preco_Unitario_Venda])</f>
        <v>320</v>
      </c>
      <c r="J194" s="6">
        <f ca="1">Tabela_Movimentacao_Geral[[#This Row],[Quantidade]] * Tabela_Movimentacao_Geral[[#This Row],[Valor Unitário]]</f>
        <v>33920</v>
      </c>
      <c r="K194" t="str">
        <f ca="1">IF(
   $O$7="Desbloqueado",
   CHOOSE(RANDBETWEEN(1,3),"Pago","Pendente","Atrasado"),
   Tabela_Movimentacao_Geral[[#This Row],[Status Financeiro]]
)</f>
        <v>Pago</v>
      </c>
      <c r="L194" t="str">
        <f ca="1">IF(
   $O$7="Desbloqueado",
   CHOOSE(RANDBETWEEN(1,3),"Entregue","Em Rota","Aguardando"),
   Tabela_Movimentacao_Geral[[#This Row],[Status Logistico]]
)</f>
        <v>Entregue</v>
      </c>
      <c r="M19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45769</v>
      </c>
    </row>
    <row r="195" spans="1:13" x14ac:dyDescent="0.3">
      <c r="A195" t="str">
        <f t="shared" si="2"/>
        <v>T0194</v>
      </c>
      <c r="B195" s="1">
        <v>45759</v>
      </c>
      <c r="C195" t="str" cm="1">
        <f t="array" aca="1" ref="C195" ca="1">IF($O$7="Desbloqueado",
  _xlfn.LET(
    _xlpm.saldo_atual, SUM(($C$2:$C194="Entrada")*($F$2:$F194=Tabela_Movimentacao_Geral[[#This Row],[ID Produto]])*($H$2:$H194) - ($C$2:$C194="Saida")*($F$2:$F194=Tabela_Movimentacao_Geral[[#This Row],[ID Produto]])*($H$2:$H194)),
    IF(_xlpm.saldo_atual &gt; 0, IF(RANDBETWEEN(0,10)&gt;3,"Saida","Entrada"), "Entrada")
  ),
  Tabela_Movimentacao_Geral[[#This Row],[Tipo Fluxo]]
)</f>
        <v>Saida</v>
      </c>
      <c r="D1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1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195" t="str">
        <f ca="1">IF(
  $O$7="Desbloqueado",
  "PROD"&amp;TEXT(RANDBETWEEN(1,200),"000"),
  Tabela_Movimentacao_Geral[[#This Row],[ID Produto]]
)</f>
        <v>PROD003</v>
      </c>
      <c r="G195" t="str">
        <f ca="1">_xlfn.XLOOKUP(Tabela_Movimentacao_Geral[[#This Row],[ID Produto]], Tabela_Produtos[ID_Produto],Tabela_Produtos[Descricao_Produto],"Produto não encontrado")</f>
        <v>Mouse Sem Fio Optico</v>
      </c>
      <c r="H195" cm="1">
        <f t="array" aca="1" ref="H195" ca="1">IF(
   $O$7="Desbloqueado",
   _xlfn.LET(
     _xlpm.saldo_atual, SUM(($C$2:$C194="Entrada")*($F$2:$F194=Tabela_Movimentacao_Geral[[#This Row],[ID Produto]])*($H$2:$H194) - ($C$2:$C194="Saida")*($F$2:$F194=Tabela_Movimentacao_Geral[[#This Row],[ID Produto]])*($H$2:$H194)),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63</v>
      </c>
      <c r="I195" s="5">
        <f ca="1">_xlfn.XLOOKUP(Tabela_Movimentacao_Geral[[#This Row],[ID Produto]], Tabela_Produtos[ID_Produto],Tabela_Produtos[Preco_Unitario_Venda])</f>
        <v>120</v>
      </c>
      <c r="J195" s="6">
        <f ca="1">Tabela_Movimentacao_Geral[[#This Row],[Quantidade]] * Tabela_Movimentacao_Geral[[#This Row],[Valor Unitário]]</f>
        <v>7560</v>
      </c>
      <c r="K195" t="str">
        <f ca="1">IF(
   $O$7="Desbloqueado",
   CHOOSE(RANDBETWEEN(1,3),"Pago","Pendente","Atrasado"),
   Tabela_Movimentacao_Geral[[#This Row],[Status Financeiro]]
)</f>
        <v>Atrasado</v>
      </c>
      <c r="L195" t="str">
        <f ca="1">IF(
   $O$7="Desbloqueado",
   CHOOSE(RANDBETWEEN(1,3),"Entregue","Em Rota","Aguardando"),
   Tabela_Movimentacao_Geral[[#This Row],[Status Logistico]]
)</f>
        <v>Entregue</v>
      </c>
      <c r="M19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96" spans="1:13" x14ac:dyDescent="0.3">
      <c r="A196" t="str">
        <f t="shared" si="2"/>
        <v>T0195</v>
      </c>
      <c r="B196" s="1">
        <v>45759</v>
      </c>
      <c r="C196" t="str" cm="1">
        <f t="array" aca="1" ref="C196" ca="1">IF($O$7="Desbloqueado",
  _xlfn.LET(
    _xlpm.saldo_atual, SUM(($C$2:$C195="Entrada")*($F$2:$F195=Tabela_Movimentacao_Geral[[#This Row],[ID Produto]])*($H$2:$H195) - ($C$2:$C195="Saida")*($F$2:$F195=Tabela_Movimentacao_Geral[[#This Row],[ID Produto]])*($H$2:$H195)),
    IF(_xlpm.saldo_atual &gt; 0, IF(RANDBETWEEN(0,10)&gt;3,"Saida","Entrada"), "Entrada")
  ),
  Tabela_Movimentacao_Geral[[#This Row],[Tipo Fluxo]]
)</f>
        <v>Entrada</v>
      </c>
      <c r="D1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1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196" t="str">
        <f ca="1">IF(
  $O$7="Desbloqueado",
  "PROD"&amp;TEXT(RANDBETWEEN(1,200),"000"),
  Tabela_Movimentacao_Geral[[#This Row],[ID Produto]]
)</f>
        <v>PROD082</v>
      </c>
      <c r="G196" t="str">
        <f ca="1">_xlfn.XLOOKUP(Tabela_Movimentacao_Geral[[#This Row],[ID Produto]], Tabela_Produtos[ID_Produto],Tabela_Produtos[Descricao_Produto],"Produto não encontrado")</f>
        <v>HD SAS 600GB 15K</v>
      </c>
      <c r="H196" cm="1">
        <f t="array" aca="1" ref="H196" ca="1">IF(
   $O$7="Desbloqueado",
   _xlfn.LET(
     _xlpm.saldo_atual, SUM(($C$2:$C195="Entrada")*($F$2:$F195=Tabela_Movimentacao_Geral[[#This Row],[ID Produto]])*($H$2:$H195) - ($C$2:$C195="Saida")*($F$2:$F195=Tabela_Movimentacao_Geral[[#This Row],[ID Produto]])*($H$2:$H195)),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196" s="5">
        <f ca="1">_xlfn.XLOOKUP(Tabela_Movimentacao_Geral[[#This Row],[ID Produto]], Tabela_Produtos[ID_Produto],Tabela_Produtos[Preco_Unitario_Venda])</f>
        <v>1800</v>
      </c>
      <c r="J196" s="6">
        <f ca="1">Tabela_Movimentacao_Geral[[#This Row],[Quantidade]] * Tabela_Movimentacao_Geral[[#This Row],[Valor Unitário]]</f>
        <v>131400</v>
      </c>
      <c r="K196" t="str">
        <f ca="1">IF(
   $O$7="Desbloqueado",
   CHOOSE(RANDBETWEEN(1,3),"Pago","Pendente","Atrasado"),
   Tabela_Movimentacao_Geral[[#This Row],[Status Financeiro]]
)</f>
        <v>Pendente</v>
      </c>
      <c r="L196" t="str">
        <f ca="1">IF(
   $O$7="Desbloqueado",
   CHOOSE(RANDBETWEEN(1,3),"Entregue","Em Rota","Aguardando"),
   Tabela_Movimentacao_Geral[[#This Row],[Status Logistico]]
)</f>
        <v>Aguardando</v>
      </c>
      <c r="M19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45760</v>
      </c>
    </row>
    <row r="197" spans="1:13" x14ac:dyDescent="0.3">
      <c r="A197" t="str">
        <f t="shared" si="2"/>
        <v>T0196</v>
      </c>
      <c r="B197" s="1">
        <v>45759</v>
      </c>
      <c r="C197" t="str" cm="1">
        <f t="array" aca="1" ref="C197" ca="1">IF($O$7="Desbloqueado",
  _xlfn.LET(
    _xlpm.saldo_atual, SUM(($C$2:$C196="Entrada")*($F$2:$F196=Tabela_Movimentacao_Geral[[#This Row],[ID Produto]])*($H$2:$H196) - ($C$2:$C196="Saida")*($F$2:$F196=Tabela_Movimentacao_Geral[[#This Row],[ID Produto]])*($H$2:$H196)),
    IF(_xlpm.saldo_atual &gt; 0, IF(RANDBETWEEN(0,10)&gt;3,"Saida","Entrada"), "Entrada")
  ),
  Tabela_Movimentacao_Geral[[#This Row],[Tipo Fluxo]]
)</f>
        <v>Saida</v>
      </c>
      <c r="D1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1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197" t="str">
        <f ca="1">IF(
  $O$7="Desbloqueado",
  "PROD"&amp;TEXT(RANDBETWEEN(1,200),"000"),
  Tabela_Movimentacao_Geral[[#This Row],[ID Produto]]
)</f>
        <v>PROD121</v>
      </c>
      <c r="G197" t="str">
        <f ca="1">_xlfn.XLOOKUP(Tabela_Movimentacao_Geral[[#This Row],[ID Produto]], Tabela_Produtos[ID_Produto],Tabela_Produtos[Descricao_Produto],"Produto não encontrado")</f>
        <v>Licenca SQL Server Standard</v>
      </c>
      <c r="H197" cm="1">
        <f t="array" aca="1" ref="H197" ca="1">IF(
   $O$7="Desbloqueado",
   _xlfn.LET(
     _xlpm.saldo_atual, SUM(($C$2:$C196="Entrada")*($F$2:$F196=Tabela_Movimentacao_Geral[[#This Row],[ID Produto]])*($H$2:$H196) - ($C$2:$C196="Saida")*($F$2:$F196=Tabela_Movimentacao_Geral[[#This Row],[ID Produto]])*($H$2:$H196)),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197" s="5">
        <f ca="1">_xlfn.XLOOKUP(Tabela_Movimentacao_Geral[[#This Row],[ID Produto]], Tabela_Produtos[ID_Produto],Tabela_Produtos[Preco_Unitario_Venda])</f>
        <v>15000</v>
      </c>
      <c r="J197" s="6">
        <f ca="1">Tabela_Movimentacao_Geral[[#This Row],[Quantidade]] * Tabela_Movimentacao_Geral[[#This Row],[Valor Unitário]]</f>
        <v>15000</v>
      </c>
      <c r="K197" t="str">
        <f ca="1">IF(
   $O$7="Desbloqueado",
   CHOOSE(RANDBETWEEN(1,3),"Pago","Pendente","Atrasado"),
   Tabela_Movimentacao_Geral[[#This Row],[Status Financeiro]]
)</f>
        <v>Pago</v>
      </c>
      <c r="L197" t="str">
        <f ca="1">IF(
   $O$7="Desbloqueado",
   CHOOSE(RANDBETWEEN(1,3),"Entregue","Em Rota","Aguardando"),
   Tabela_Movimentacao_Geral[[#This Row],[Status Logistico]]
)</f>
        <v>Em Rota</v>
      </c>
      <c r="M19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98" spans="1:13" x14ac:dyDescent="0.3">
      <c r="A198" t="str">
        <f t="shared" si="2"/>
        <v>T0197</v>
      </c>
      <c r="B198" s="1">
        <v>45759</v>
      </c>
      <c r="C198" t="str" cm="1">
        <f t="array" aca="1" ref="C198" ca="1">IF($O$7="Desbloqueado",
  _xlfn.LET(
    _xlpm.saldo_atual, SUM(($C$2:$C197="Entrada")*($F$2:$F197=Tabela_Movimentacao_Geral[[#This Row],[ID Produto]])*($H$2:$H197) - ($C$2:$C197="Saida")*($F$2:$F197=Tabela_Movimentacao_Geral[[#This Row],[ID Produto]])*($H$2:$H197)),
    IF(_xlpm.saldo_atual &gt; 0, IF(RANDBETWEEN(0,10)&gt;3,"Saida","Entrada"), "Entrada")
  ),
  Tabela_Movimentacao_Geral[[#This Row],[Tipo Fluxo]]
)</f>
        <v>Entrada</v>
      </c>
      <c r="D1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1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198" t="str">
        <f ca="1">IF(
  $O$7="Desbloqueado",
  "PROD"&amp;TEXT(RANDBETWEEN(1,200),"000"),
  Tabela_Movimentacao_Geral[[#This Row],[ID Produto]]
)</f>
        <v>PROD100</v>
      </c>
      <c r="G198" t="str">
        <f ca="1">_xlfn.XLOOKUP(Tabela_Movimentacao_Geral[[#This Row],[ID Produto]], Tabela_Produtos[ID_Produto],Tabela_Produtos[Descricao_Produto],"Produto não encontrado")</f>
        <v>Injetor PoE Gigabit</v>
      </c>
      <c r="H198" cm="1">
        <f t="array" aca="1" ref="H198" ca="1">IF(
   $O$7="Desbloqueado",
   _xlfn.LET(
     _xlpm.saldo_atual, SUM(($C$2:$C197="Entrada")*($F$2:$F197=Tabela_Movimentacao_Geral[[#This Row],[ID Produto]])*($H$2:$H197) - ($C$2:$C197="Saida")*($F$2:$F197=Tabela_Movimentacao_Geral[[#This Row],[ID Produto]])*($H$2:$H197)),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198" s="5">
        <f ca="1">_xlfn.XLOOKUP(Tabela_Movimentacao_Geral[[#This Row],[ID Produto]], Tabela_Produtos[ID_Produto],Tabela_Produtos[Preco_Unitario_Venda])</f>
        <v>180</v>
      </c>
      <c r="J198" s="6">
        <f ca="1">Tabela_Movimentacao_Geral[[#This Row],[Quantidade]] * Tabela_Movimentacao_Geral[[#This Row],[Valor Unitário]]</f>
        <v>2880</v>
      </c>
      <c r="K198" t="str">
        <f ca="1">IF(
   $O$7="Desbloqueado",
   CHOOSE(RANDBETWEEN(1,3),"Pago","Pendente","Atrasado"),
   Tabela_Movimentacao_Geral[[#This Row],[Status Financeiro]]
)</f>
        <v>Atrasado</v>
      </c>
      <c r="L198" t="str">
        <f ca="1">IF(
   $O$7="Desbloqueado",
   CHOOSE(RANDBETWEEN(1,3),"Entregue","Em Rota","Aguardando"),
   Tabela_Movimentacao_Geral[[#This Row],[Status Logistico]]
)</f>
        <v>Em Rota</v>
      </c>
      <c r="M19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45762</v>
      </c>
    </row>
    <row r="199" spans="1:13" x14ac:dyDescent="0.3">
      <c r="A199" t="str">
        <f t="shared" si="2"/>
        <v>T0198</v>
      </c>
      <c r="B199" s="1">
        <v>45759</v>
      </c>
      <c r="C199" t="str" cm="1">
        <f t="array" aca="1" ref="C199" ca="1">IF($O$7="Desbloqueado",
  _xlfn.LET(
    _xlpm.saldo_atual, SUM(($C$2:$C198="Entrada")*($F$2:$F198=Tabela_Movimentacao_Geral[[#This Row],[ID Produto]])*($H$2:$H198) - ($C$2:$C198="Saida")*($F$2:$F198=Tabela_Movimentacao_Geral[[#This Row],[ID Produto]])*($H$2:$H198)),
    IF(_xlpm.saldo_atual &gt; 0, IF(RANDBETWEEN(0,10)&gt;3,"Saida","Entrada"), "Entrada")
  ),
  Tabela_Movimentacao_Geral[[#This Row],[Tipo Fluxo]]
)</f>
        <v>Entrada</v>
      </c>
      <c r="D1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1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99" t="str">
        <f ca="1">IF(
  $O$7="Desbloqueado",
  "PROD"&amp;TEXT(RANDBETWEEN(1,200),"000"),
  Tabela_Movimentacao_Geral[[#This Row],[ID Produto]]
)</f>
        <v>PROD150</v>
      </c>
      <c r="G199" t="str">
        <f ca="1">_xlfn.XLOOKUP(Tabela_Movimentacao_Geral[[#This Row],[ID Produto]], Tabela_Produtos[ID_Produto],Tabela_Produtos[Descricao_Produto],"Produto não encontrado")</f>
        <v>Lanterna de Led Inspeção</v>
      </c>
      <c r="H199" cm="1">
        <f t="array" aca="1" ref="H199" ca="1">IF(
   $O$7="Desbloqueado",
   _xlfn.LET(
     _xlpm.saldo_atual, SUM(($C$2:$C198="Entrada")*($F$2:$F198=Tabela_Movimentacao_Geral[[#This Row],[ID Produto]])*($H$2:$H198) - ($C$2:$C198="Saida")*($F$2:$F198=Tabela_Movimentacao_Geral[[#This Row],[ID Produto]])*($H$2:$H198)),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94</v>
      </c>
      <c r="I199" s="5">
        <f ca="1">_xlfn.XLOOKUP(Tabela_Movimentacao_Geral[[#This Row],[ID Produto]], Tabela_Produtos[ID_Produto],Tabela_Produtos[Preco_Unitario_Venda])</f>
        <v>55</v>
      </c>
      <c r="J199" s="6">
        <f ca="1">Tabela_Movimentacao_Geral[[#This Row],[Quantidade]] * Tabela_Movimentacao_Geral[[#This Row],[Valor Unitário]]</f>
        <v>5170</v>
      </c>
      <c r="K199" t="str">
        <f ca="1">IF(
   $O$7="Desbloqueado",
   CHOOSE(RANDBETWEEN(1,3),"Pago","Pendente","Atrasado"),
   Tabela_Movimentacao_Geral[[#This Row],[Status Financeiro]]
)</f>
        <v>Pago</v>
      </c>
      <c r="L199" t="str">
        <f ca="1">IF(
   $O$7="Desbloqueado",
   CHOOSE(RANDBETWEEN(1,3),"Entregue","Em Rota","Aguardando"),
   Tabela_Movimentacao_Geral[[#This Row],[Status Logistico]]
)</f>
        <v>Entregue</v>
      </c>
      <c r="M19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45760</v>
      </c>
    </row>
    <row r="200" spans="1:13" x14ac:dyDescent="0.3">
      <c r="A200" t="str">
        <f t="shared" si="2"/>
        <v>T0199</v>
      </c>
      <c r="B200" s="1">
        <v>45759</v>
      </c>
      <c r="C200" t="str" cm="1">
        <f t="array" aca="1" ref="C200" ca="1">IF($O$7="Desbloqueado",
  _xlfn.LET(
    _xlpm.saldo_atual, SUM(($C$2:$C199="Entrada")*($F$2:$F199=Tabela_Movimentacao_Geral[[#This Row],[ID Produto]])*($H$2:$H199) - ($C$2:$C199="Saida")*($F$2:$F199=Tabela_Movimentacao_Geral[[#This Row],[ID Produto]])*($H$2:$H199)),
    IF(_xlpm.saldo_atual &gt; 0, IF(RANDBETWEEN(0,10)&gt;3,"Saida","Entrada"), "Entrada")
  ),
  Tabela_Movimentacao_Geral[[#This Row],[Tipo Fluxo]]
)</f>
        <v>Saida</v>
      </c>
      <c r="D2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2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00" t="str">
        <f ca="1">IF(
  $O$7="Desbloqueado",
  "PROD"&amp;TEXT(RANDBETWEEN(1,200),"000"),
  Tabela_Movimentacao_Geral[[#This Row],[ID Produto]]
)</f>
        <v>PROD192</v>
      </c>
      <c r="G200" t="str">
        <f ca="1">_xlfn.XLOOKUP(Tabela_Movimentacao_Geral[[#This Row],[ID Produto]], Tabela_Produtos[ID_Produto],Tabela_Produtos[Descricao_Produto],"Produto não encontrado")</f>
        <v>Protetor Surto Coaxial</v>
      </c>
      <c r="H200" cm="1">
        <f t="array" aca="1" ref="H200" ca="1">IF(
   $O$7="Desbloqueado",
   _xlfn.LET(
     _xlpm.saldo_atual, SUM(($C$2:$C199="Entrada")*($F$2:$F199=Tabela_Movimentacao_Geral[[#This Row],[ID Produto]])*($H$2:$H199) - ($C$2:$C199="Saida")*($F$2:$F199=Tabela_Movimentacao_Geral[[#This Row],[ID Produto]])*($H$2:$H199)),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200" s="5">
        <f ca="1">_xlfn.XLOOKUP(Tabela_Movimentacao_Geral[[#This Row],[ID Produto]], Tabela_Produtos[ID_Produto],Tabela_Produtos[Preco_Unitario_Venda])</f>
        <v>85</v>
      </c>
      <c r="J200" s="6">
        <f ca="1">Tabela_Movimentacao_Geral[[#This Row],[Quantidade]] * Tabela_Movimentacao_Geral[[#This Row],[Valor Unitário]]</f>
        <v>850</v>
      </c>
      <c r="K200" t="str">
        <f ca="1">IF(
   $O$7="Desbloqueado",
   CHOOSE(RANDBETWEEN(1,3),"Pago","Pendente","Atrasado"),
   Tabela_Movimentacao_Geral[[#This Row],[Status Financeiro]]
)</f>
        <v>Atrasado</v>
      </c>
      <c r="L200" t="str">
        <f ca="1">IF(
   $O$7="Desbloqueado",
   CHOOSE(RANDBETWEEN(1,3),"Entregue","Em Rota","Aguardando"),
   Tabela_Movimentacao_Geral[[#This Row],[Status Logistico]]
)</f>
        <v>Em Rota</v>
      </c>
      <c r="M20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01" spans="1:13" x14ac:dyDescent="0.3">
      <c r="A201" t="str">
        <f t="shared" si="2"/>
        <v>T0200</v>
      </c>
      <c r="B201" s="1">
        <v>45760</v>
      </c>
      <c r="C201" t="str" cm="1">
        <f t="array" aca="1" ref="C201" ca="1">IF($O$7="Desbloqueado",
  _xlfn.LET(
    _xlpm.saldo_atual, SUM(($C$2:$C200="Entrada")*($F$2:$F200=Tabela_Movimentacao_Geral[[#This Row],[ID Produto]])*($H$2:$H200) - ($C$2:$C200="Saida")*($F$2:$F200=Tabela_Movimentacao_Geral[[#This Row],[ID Produto]])*($H$2:$H200)),
    IF(_xlpm.saldo_atual &gt; 0, IF(RANDBETWEEN(0,10)&gt;3,"Saida","Entrada"), "Entrada")
  ),
  Tabela_Movimentacao_Geral[[#This Row],[Tipo Fluxo]]
)</f>
        <v>Entrada</v>
      </c>
      <c r="D2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2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201" t="str">
        <f ca="1">IF(
  $O$7="Desbloqueado",
  "PROD"&amp;TEXT(RANDBETWEEN(1,200),"000"),
  Tabela_Movimentacao_Geral[[#This Row],[ID Produto]]
)</f>
        <v>PROD200</v>
      </c>
      <c r="G201" t="str">
        <f ca="1">_xlfn.XLOOKUP(Tabela_Movimentacao_Geral[[#This Row],[ID Produto]], Tabela_Produtos[ID_Produto],Tabela_Produtos[Descricao_Produto],"Produto não encontrado")</f>
        <v>Estacao de Solda Prof</v>
      </c>
      <c r="H201" cm="1">
        <f t="array" aca="1" ref="H201" ca="1">IF(
   $O$7="Desbloqueado",
   _xlfn.LET(
     _xlpm.saldo_atual, SUM(($C$2:$C200="Entrada")*($F$2:$F200=Tabela_Movimentacao_Geral[[#This Row],[ID Produto]])*($H$2:$H200) - ($C$2:$C200="Saida")*($F$2:$F200=Tabela_Movimentacao_Geral[[#This Row],[ID Produto]])*($H$2:$H200)),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201" s="5">
        <f ca="1">_xlfn.XLOOKUP(Tabela_Movimentacao_Geral[[#This Row],[ID Produto]], Tabela_Produtos[ID_Produto],Tabela_Produtos[Preco_Unitario_Venda])</f>
        <v>1200</v>
      </c>
      <c r="J201" s="6">
        <f ca="1">Tabela_Movimentacao_Geral[[#This Row],[Quantidade]] * Tabela_Movimentacao_Geral[[#This Row],[Valor Unitário]]</f>
        <v>37200</v>
      </c>
      <c r="K201" t="str">
        <f ca="1">IF(
   $O$7="Desbloqueado",
   CHOOSE(RANDBETWEEN(1,3),"Pago","Pendente","Atrasado"),
   Tabela_Movimentacao_Geral[[#This Row],[Status Financeiro]]
)</f>
        <v>Pago</v>
      </c>
      <c r="L201" t="str">
        <f ca="1">IF(
   $O$7="Desbloqueado",
   CHOOSE(RANDBETWEEN(1,3),"Entregue","Em Rota","Aguardando"),
   Tabela_Movimentacao_Geral[[#This Row],[Status Logistico]]
)</f>
        <v>Aguardando</v>
      </c>
      <c r="M2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45772</v>
      </c>
    </row>
    <row r="202" spans="1:13" x14ac:dyDescent="0.3">
      <c r="A202" t="str">
        <f t="shared" si="2"/>
        <v>T0201</v>
      </c>
      <c r="B202" s="1">
        <v>45761</v>
      </c>
      <c r="C202" t="str" cm="1">
        <f t="array" aca="1" ref="C202" ca="1">IF($O$7="Desbloqueado",
  _xlfn.LET(
    _xlpm.saldo_atual, SUM(($C$2:$C201="Entrada")*($F$2:$F201=Tabela_Movimentacao_Geral[[#This Row],[ID Produto]])*($H$2:$H201) - ($C$2:$C201="Saida")*($F$2:$F201=Tabela_Movimentacao_Geral[[#This Row],[ID Produto]])*($H$2:$H201)),
    IF(_xlpm.saldo_atual &gt; 0, IF(RANDBETWEEN(0,10)&gt;3,"Saida","Entrada"), "Entrada")
  ),
  Tabela_Movimentacao_Geral[[#This Row],[Tipo Fluxo]]
)</f>
        <v>Entrada</v>
      </c>
      <c r="D2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2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202" t="str">
        <f ca="1">IF(
  $O$7="Desbloqueado",
  "PROD"&amp;TEXT(RANDBETWEEN(1,200),"000"),
  Tabela_Movimentacao_Geral[[#This Row],[ID Produto]]
)</f>
        <v>PROD143</v>
      </c>
      <c r="G202" t="str">
        <f ca="1">_xlfn.XLOOKUP(Tabela_Movimentacao_Geral[[#This Row],[ID Produto]], Tabela_Produtos[ID_Produto],Tabela_Produtos[Descricao_Produto],"Produto não encontrado")</f>
        <v>Spray Limpa Contatos</v>
      </c>
      <c r="H202" cm="1">
        <f t="array" aca="1" ref="H202" ca="1">IF(
   $O$7="Desbloqueado",
   _xlfn.LET(
     _xlpm.saldo_atual, SUM(($C$2:$C201="Entrada")*($F$2:$F201=Tabela_Movimentacao_Geral[[#This Row],[ID Produto]])*($H$2:$H201) - ($C$2:$C201="Saida")*($F$2:$F201=Tabela_Movimentacao_Geral[[#This Row],[ID Produto]])*($H$2:$H201)),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90</v>
      </c>
      <c r="I202" s="5">
        <f ca="1">_xlfn.XLOOKUP(Tabela_Movimentacao_Geral[[#This Row],[ID Produto]], Tabela_Produtos[ID_Produto],Tabela_Produtos[Preco_Unitario_Venda])</f>
        <v>35</v>
      </c>
      <c r="J202" s="6">
        <f ca="1">Tabela_Movimentacao_Geral[[#This Row],[Quantidade]] * Tabela_Movimentacao_Geral[[#This Row],[Valor Unitário]]</f>
        <v>3150</v>
      </c>
      <c r="K202" t="str">
        <f ca="1">IF(
   $O$7="Desbloqueado",
   CHOOSE(RANDBETWEEN(1,3),"Pago","Pendente","Atrasado"),
   Tabela_Movimentacao_Geral[[#This Row],[Status Financeiro]]
)</f>
        <v>Pago</v>
      </c>
      <c r="L202" t="str">
        <f ca="1">IF(
   $O$7="Desbloqueado",
   CHOOSE(RANDBETWEEN(1,3),"Entregue","Em Rota","Aguardando"),
   Tabela_Movimentacao_Geral[[#This Row],[Status Logistico]]
)</f>
        <v>Entregue</v>
      </c>
      <c r="M20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45763</v>
      </c>
    </row>
    <row r="203" spans="1:13" x14ac:dyDescent="0.3">
      <c r="A203" t="str">
        <f t="shared" si="2"/>
        <v>T0202</v>
      </c>
      <c r="B203" s="1">
        <v>45761</v>
      </c>
      <c r="C203" t="str" cm="1">
        <f t="array" aca="1" ref="C203" ca="1">IF($O$7="Desbloqueado",
  _xlfn.LET(
    _xlpm.saldo_atual, SUM(($C$2:$C202="Entrada")*($F$2:$F202=Tabela_Movimentacao_Geral[[#This Row],[ID Produto]])*($H$2:$H202) - ($C$2:$C202="Saida")*($F$2:$F202=Tabela_Movimentacao_Geral[[#This Row],[ID Produto]])*($H$2:$H202)),
    IF(_xlpm.saldo_atual &gt; 0, IF(RANDBETWEEN(0,10)&gt;3,"Saida","Entrada"), "Entrada")
  ),
  Tabela_Movimentacao_Geral[[#This Row],[Tipo Fluxo]]
)</f>
        <v>Entrada</v>
      </c>
      <c r="D2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2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203" t="str">
        <f ca="1">IF(
  $O$7="Desbloqueado",
  "PROD"&amp;TEXT(RANDBETWEEN(1,200),"000"),
  Tabela_Movimentacao_Geral[[#This Row],[ID Produto]]
)</f>
        <v>PROD060</v>
      </c>
      <c r="G203" t="str">
        <f ca="1">_xlfn.XLOOKUP(Tabela_Movimentacao_Geral[[#This Row],[ID Produto]], Tabela_Produtos[ID_Produto],Tabela_Produtos[Descricao_Produto],"Produto não encontrado")</f>
        <v>Grafite 0.7mm HB</v>
      </c>
      <c r="H203" cm="1">
        <f t="array" aca="1" ref="H203" ca="1">IF(
   $O$7="Desbloqueado",
   _xlfn.LET(
     _xlpm.saldo_atual, SUM(($C$2:$C202="Entrada")*($F$2:$F202=Tabela_Movimentacao_Geral[[#This Row],[ID Produto]])*($H$2:$H202) - ($C$2:$C202="Saida")*($F$2:$F202=Tabela_Movimentacao_Geral[[#This Row],[ID Produto]])*($H$2:$H202)),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173</v>
      </c>
      <c r="I203" s="5">
        <f ca="1">_xlfn.XLOOKUP(Tabela_Movimentacao_Geral[[#This Row],[ID Produto]], Tabela_Produtos[ID_Produto],Tabela_Produtos[Preco_Unitario_Venda])</f>
        <v>5</v>
      </c>
      <c r="J203" s="6">
        <f ca="1">Tabela_Movimentacao_Geral[[#This Row],[Quantidade]] * Tabela_Movimentacao_Geral[[#This Row],[Valor Unitário]]</f>
        <v>865</v>
      </c>
      <c r="K203" t="str">
        <f ca="1">IF(
   $O$7="Desbloqueado",
   CHOOSE(RANDBETWEEN(1,3),"Pago","Pendente","Atrasado"),
   Tabela_Movimentacao_Geral[[#This Row],[Status Financeiro]]
)</f>
        <v>Pago</v>
      </c>
      <c r="L203" t="str">
        <f ca="1">IF(
   $O$7="Desbloqueado",
   CHOOSE(RANDBETWEEN(1,3),"Entregue","Em Rota","Aguardando"),
   Tabela_Movimentacao_Geral[[#This Row],[Status Logistico]]
)</f>
        <v>Aguardando</v>
      </c>
      <c r="M20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45763</v>
      </c>
    </row>
    <row r="204" spans="1:13" x14ac:dyDescent="0.3">
      <c r="A204" t="str">
        <f t="shared" si="2"/>
        <v>T0203</v>
      </c>
      <c r="B204" s="1">
        <v>45762</v>
      </c>
      <c r="C204" t="str" cm="1">
        <f t="array" aca="1" ref="C204" ca="1">IF($O$7="Desbloqueado",
  _xlfn.LET(
    _xlpm.saldo_atual, SUM(($C$2:$C203="Entrada")*($F$2:$F203=Tabela_Movimentacao_Geral[[#This Row],[ID Produto]])*($H$2:$H203) - ($C$2:$C203="Saida")*($F$2:$F203=Tabela_Movimentacao_Geral[[#This Row],[ID Produto]])*($H$2:$H203)),
    IF(_xlpm.saldo_atual &gt; 0, IF(RANDBETWEEN(0,10)&gt;3,"Saida","Entrada"), "Entrada")
  ),
  Tabela_Movimentacao_Geral[[#This Row],[Tipo Fluxo]]
)</f>
        <v>Saida</v>
      </c>
      <c r="D2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2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204" t="str">
        <f ca="1">IF(
  $O$7="Desbloqueado",
  "PROD"&amp;TEXT(RANDBETWEEN(1,200),"000"),
  Tabela_Movimentacao_Geral[[#This Row],[ID Produto]]
)</f>
        <v>PROD051</v>
      </c>
      <c r="G204" t="str">
        <f ca="1">_xlfn.XLOOKUP(Tabela_Movimentacao_Geral[[#This Row],[ID Produto]], Tabela_Produtos[ID_Produto],Tabela_Produtos[Descricao_Produto],"Produto não encontrado")</f>
        <v>Papel A4 Report 500fls</v>
      </c>
      <c r="H204" cm="1">
        <f t="array" aca="1" ref="H204" ca="1">IF(
   $O$7="Desbloqueado",
   _xlfn.LET(
     _xlpm.saldo_atual, SUM(($C$2:$C203="Entrada")*($F$2:$F203=Tabela_Movimentacao_Geral[[#This Row],[ID Produto]])*($H$2:$H203) - ($C$2:$C203="Saida")*($F$2:$F203=Tabela_Movimentacao_Geral[[#This Row],[ID Produto]])*($H$2:$H203)),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140</v>
      </c>
      <c r="I204" s="5">
        <f ca="1">_xlfn.XLOOKUP(Tabela_Movimentacao_Geral[[#This Row],[ID Produto]], Tabela_Produtos[ID_Produto],Tabela_Produtos[Preco_Unitario_Venda])</f>
        <v>28</v>
      </c>
      <c r="J204" s="6">
        <f ca="1">Tabela_Movimentacao_Geral[[#This Row],[Quantidade]] * Tabela_Movimentacao_Geral[[#This Row],[Valor Unitário]]</f>
        <v>3920</v>
      </c>
      <c r="K204" t="str">
        <f ca="1">IF(
   $O$7="Desbloqueado",
   CHOOSE(RANDBETWEEN(1,3),"Pago","Pendente","Atrasado"),
   Tabela_Movimentacao_Geral[[#This Row],[Status Financeiro]]
)</f>
        <v>Atrasado</v>
      </c>
      <c r="L204" t="str">
        <f ca="1">IF(
   $O$7="Desbloqueado",
   CHOOSE(RANDBETWEEN(1,3),"Entregue","Em Rota","Aguardando"),
   Tabela_Movimentacao_Geral[[#This Row],[Status Logistico]]
)</f>
        <v>Aguardando</v>
      </c>
      <c r="M20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05" spans="1:13" x14ac:dyDescent="0.3">
      <c r="A205" t="str">
        <f t="shared" si="2"/>
        <v>T0204</v>
      </c>
      <c r="B205" s="1">
        <v>45762</v>
      </c>
      <c r="C205" t="str" cm="1">
        <f t="array" aca="1" ref="C205" ca="1">IF($O$7="Desbloqueado",
  _xlfn.LET(
    _xlpm.saldo_atual, SUM(($C$2:$C204="Entrada")*($F$2:$F204=Tabela_Movimentacao_Geral[[#This Row],[ID Produto]])*($H$2:$H204) - ($C$2:$C204="Saida")*($F$2:$F204=Tabela_Movimentacao_Geral[[#This Row],[ID Produto]])*($H$2:$H204)),
    IF(_xlpm.saldo_atual &gt; 0, IF(RANDBETWEEN(0,10)&gt;3,"Saida","Entrada"), "Entrada")
  ),
  Tabela_Movimentacao_Geral[[#This Row],[Tipo Fluxo]]
)</f>
        <v>Entrada</v>
      </c>
      <c r="D2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2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205" t="str">
        <f ca="1">IF(
  $O$7="Desbloqueado",
  "PROD"&amp;TEXT(RANDBETWEEN(1,200),"000"),
  Tabela_Movimentacao_Geral[[#This Row],[ID Produto]]
)</f>
        <v>PROD154</v>
      </c>
      <c r="G205" t="str">
        <f ca="1">_xlfn.XLOOKUP(Tabela_Movimentacao_Geral[[#This Row],[ID Produto]], Tabela_Produtos[ID_Produto],Tabela_Produtos[Descricao_Produto],"Produto não encontrado")</f>
        <v>Estilete Largo Profissional</v>
      </c>
      <c r="H205" cm="1">
        <f t="array" aca="1" ref="H205" ca="1">IF(
   $O$7="Desbloqueado",
   _xlfn.LET(
     _xlpm.saldo_atual, SUM(($C$2:$C204="Entrada")*($F$2:$F204=Tabela_Movimentacao_Geral[[#This Row],[ID Produto]])*($H$2:$H204) - ($C$2:$C204="Saida")*($F$2:$F204=Tabela_Movimentacao_Geral[[#This Row],[ID Produto]])*($H$2:$H204)),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88</v>
      </c>
      <c r="I205" s="5">
        <f ca="1">_xlfn.XLOOKUP(Tabela_Movimentacao_Geral[[#This Row],[ID Produto]], Tabela_Produtos[ID_Produto],Tabela_Produtos[Preco_Unitario_Venda])</f>
        <v>18</v>
      </c>
      <c r="J205" s="6">
        <f ca="1">Tabela_Movimentacao_Geral[[#This Row],[Quantidade]] * Tabela_Movimentacao_Geral[[#This Row],[Valor Unitário]]</f>
        <v>1584</v>
      </c>
      <c r="K205" t="str">
        <f ca="1">IF(
   $O$7="Desbloqueado",
   CHOOSE(RANDBETWEEN(1,3),"Pago","Pendente","Atrasado"),
   Tabela_Movimentacao_Geral[[#This Row],[Status Financeiro]]
)</f>
        <v>Atrasado</v>
      </c>
      <c r="L205" t="str">
        <f ca="1">IF(
   $O$7="Desbloqueado",
   CHOOSE(RANDBETWEEN(1,3),"Entregue","Em Rota","Aguardando"),
   Tabela_Movimentacao_Geral[[#This Row],[Status Logistico]]
)</f>
        <v>Aguardando</v>
      </c>
      <c r="M20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45763</v>
      </c>
    </row>
    <row r="206" spans="1:13" x14ac:dyDescent="0.3">
      <c r="A206" t="str">
        <f t="shared" si="2"/>
        <v>T0205</v>
      </c>
      <c r="B206" s="1">
        <v>45763</v>
      </c>
      <c r="C206" t="str" cm="1">
        <f t="array" aca="1" ref="C206" ca="1">IF($O$7="Desbloqueado",
  _xlfn.LET(
    _xlpm.saldo_atual, SUM(($C$2:$C205="Entrada")*($F$2:$F205=Tabela_Movimentacao_Geral[[#This Row],[ID Produto]])*($H$2:$H205) - ($C$2:$C205="Saida")*($F$2:$F205=Tabela_Movimentacao_Geral[[#This Row],[ID Produto]])*($H$2:$H205)),
    IF(_xlpm.saldo_atual &gt; 0, IF(RANDBETWEEN(0,10)&gt;3,"Saida","Entrada"), "Entrada")
  ),
  Tabela_Movimentacao_Geral[[#This Row],[Tipo Fluxo]]
)</f>
        <v>Entrada</v>
      </c>
      <c r="D2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2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206" t="str">
        <f ca="1">IF(
  $O$7="Desbloqueado",
  "PROD"&amp;TEXT(RANDBETWEEN(1,200),"000"),
  Tabela_Movimentacao_Geral[[#This Row],[ID Produto]]
)</f>
        <v>PROD029</v>
      </c>
      <c r="G206" t="str">
        <f ca="1">_xlfn.XLOOKUP(Tabela_Movimentacao_Geral[[#This Row],[ID Produto]], Tabela_Produtos[ID_Produto],Tabela_Produtos[Descricao_Produto],"Produto não encontrado")</f>
        <v>Caneta Digital para Tablet</v>
      </c>
      <c r="H206" cm="1">
        <f t="array" aca="1" ref="H206" ca="1">IF(
   $O$7="Desbloqueado",
   _xlfn.LET(
     _xlpm.saldo_atual, SUM(($C$2:$C205="Entrada")*($F$2:$F205=Tabela_Movimentacao_Geral[[#This Row],[ID Produto]])*($H$2:$H205) - ($C$2:$C205="Saida")*($F$2:$F205=Tabela_Movimentacao_Geral[[#This Row],[ID Produto]])*($H$2:$H205)),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97</v>
      </c>
      <c r="I206" s="5">
        <f ca="1">_xlfn.XLOOKUP(Tabela_Movimentacao_Geral[[#This Row],[ID Produto]], Tabela_Produtos[ID_Produto],Tabela_Produtos[Preco_Unitario_Venda])</f>
        <v>320</v>
      </c>
      <c r="J206" s="6">
        <f ca="1">Tabela_Movimentacao_Geral[[#This Row],[Quantidade]] * Tabela_Movimentacao_Geral[[#This Row],[Valor Unitário]]</f>
        <v>31040</v>
      </c>
      <c r="K206" t="str">
        <f ca="1">IF(
   $O$7="Desbloqueado",
   CHOOSE(RANDBETWEEN(1,3),"Pago","Pendente","Atrasado"),
   Tabela_Movimentacao_Geral[[#This Row],[Status Financeiro]]
)</f>
        <v>Pago</v>
      </c>
      <c r="L206" t="str">
        <f ca="1">IF(
   $O$7="Desbloqueado",
   CHOOSE(RANDBETWEEN(1,3),"Entregue","Em Rota","Aguardando"),
   Tabela_Movimentacao_Geral[[#This Row],[Status Logistico]]
)</f>
        <v>Entregue</v>
      </c>
      <c r="M20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45765</v>
      </c>
    </row>
    <row r="207" spans="1:13" x14ac:dyDescent="0.3">
      <c r="A207" t="str">
        <f t="shared" si="2"/>
        <v>T0206</v>
      </c>
      <c r="B207" s="1">
        <v>45763</v>
      </c>
      <c r="C207" t="str" cm="1">
        <f t="array" aca="1" ref="C207" ca="1">IF($O$7="Desbloqueado",
  _xlfn.LET(
    _xlpm.saldo_atual, SUM(($C$2:$C206="Entrada")*($F$2:$F206=Tabela_Movimentacao_Geral[[#This Row],[ID Produto]])*($H$2:$H206) - ($C$2:$C206="Saida")*($F$2:$F206=Tabela_Movimentacao_Geral[[#This Row],[ID Produto]])*($H$2:$H206)),
    IF(_xlpm.saldo_atual &gt; 0, IF(RANDBETWEEN(0,10)&gt;3,"Saida","Entrada"), "Entrada")
  ),
  Tabela_Movimentacao_Geral[[#This Row],[Tipo Fluxo]]
)</f>
        <v>Saida</v>
      </c>
      <c r="D2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2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207" t="str">
        <f ca="1">IF(
  $O$7="Desbloqueado",
  "PROD"&amp;TEXT(RANDBETWEEN(1,200),"000"),
  Tabela_Movimentacao_Geral[[#This Row],[ID Produto]]
)</f>
        <v>PROD029</v>
      </c>
      <c r="G207" t="str">
        <f ca="1">_xlfn.XLOOKUP(Tabela_Movimentacao_Geral[[#This Row],[ID Produto]], Tabela_Produtos[ID_Produto],Tabela_Produtos[Descricao_Produto],"Produto não encontrado")</f>
        <v>Caneta Digital para Tablet</v>
      </c>
      <c r="H207" cm="1">
        <f t="array" aca="1" ref="H207" ca="1">IF(
   $O$7="Desbloqueado",
   _xlfn.LET(
     _xlpm.saldo_atual, SUM(($C$2:$C206="Entrada")*($F$2:$F206=Tabela_Movimentacao_Geral[[#This Row],[ID Produto]])*($H$2:$H206) - ($C$2:$C206="Saida")*($F$2:$F206=Tabela_Movimentacao_Geral[[#This Row],[ID Produto]])*($H$2:$H206)),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</v>
      </c>
      <c r="I207" s="5">
        <f ca="1">_xlfn.XLOOKUP(Tabela_Movimentacao_Geral[[#This Row],[ID Produto]], Tabela_Produtos[ID_Produto],Tabela_Produtos[Preco_Unitario_Venda])</f>
        <v>320</v>
      </c>
      <c r="J207" s="6">
        <f ca="1">Tabela_Movimentacao_Geral[[#This Row],[Quantidade]] * Tabela_Movimentacao_Geral[[#This Row],[Valor Unitário]]</f>
        <v>18240</v>
      </c>
      <c r="K207" t="str">
        <f ca="1">IF(
   $O$7="Desbloqueado",
   CHOOSE(RANDBETWEEN(1,3),"Pago","Pendente","Atrasado"),
   Tabela_Movimentacao_Geral[[#This Row],[Status Financeiro]]
)</f>
        <v>Atrasado</v>
      </c>
      <c r="L207" t="str">
        <f ca="1">IF(
   $O$7="Desbloqueado",
   CHOOSE(RANDBETWEEN(1,3),"Entregue","Em Rota","Aguardando"),
   Tabela_Movimentacao_Geral[[#This Row],[Status Logistico]]
)</f>
        <v>Entregue</v>
      </c>
      <c r="M20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08" spans="1:13" x14ac:dyDescent="0.3">
      <c r="A208" t="str">
        <f t="shared" si="2"/>
        <v>T0207</v>
      </c>
      <c r="B208" s="1">
        <v>45763</v>
      </c>
      <c r="C208" t="str" cm="1">
        <f t="array" aca="1" ref="C208" ca="1">IF($O$7="Desbloqueado",
  _xlfn.LET(
    _xlpm.saldo_atual, SUM(($C$2:$C207="Entrada")*($F$2:$F207=Tabela_Movimentacao_Geral[[#This Row],[ID Produto]])*($H$2:$H207) - ($C$2:$C207="Saida")*($F$2:$F207=Tabela_Movimentacao_Geral[[#This Row],[ID Produto]])*($H$2:$H207)),
    IF(_xlpm.saldo_atual &gt; 0, IF(RANDBETWEEN(0,10)&gt;3,"Saida","Entrada"), "Entrada")
  ),
  Tabela_Movimentacao_Geral[[#This Row],[Tipo Fluxo]]
)</f>
        <v>Saida</v>
      </c>
      <c r="D2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2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208" t="str">
        <f ca="1">IF(
  $O$7="Desbloqueado",
  "PROD"&amp;TEXT(RANDBETWEEN(1,200),"000"),
  Tabela_Movimentacao_Geral[[#This Row],[ID Produto]]
)</f>
        <v>PROD152</v>
      </c>
      <c r="G208" t="str">
        <f ca="1">_xlfn.XLOOKUP(Tabela_Movimentacao_Geral[[#This Row],[ID Produto]], Tabela_Produtos[ID_Produto],Tabela_Produtos[Descricao_Produto],"Produto não encontrado")</f>
        <v>Bloco de Notas Espiral</v>
      </c>
      <c r="H208" cm="1">
        <f t="array" aca="1" ref="H208" ca="1">IF(
   $O$7="Desbloqueado",
   _xlfn.LET(
     _xlpm.saldo_atual, SUM(($C$2:$C207="Entrada")*($F$2:$F207=Tabela_Movimentacao_Geral[[#This Row],[ID Produto]])*($H$2:$H207) - ($C$2:$C207="Saida")*($F$2:$F207=Tabela_Movimentacao_Geral[[#This Row],[ID Produto]])*($H$2:$H207)),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208" s="5">
        <f ca="1">_xlfn.XLOOKUP(Tabela_Movimentacao_Geral[[#This Row],[ID Produto]], Tabela_Produtos[ID_Produto],Tabela_Produtos[Preco_Unitario_Venda])</f>
        <v>12</v>
      </c>
      <c r="J208" s="6">
        <f ca="1">Tabela_Movimentacao_Geral[[#This Row],[Quantidade]] * Tabela_Movimentacao_Geral[[#This Row],[Valor Unitário]]</f>
        <v>168</v>
      </c>
      <c r="K208" t="str">
        <f ca="1">IF(
   $O$7="Desbloqueado",
   CHOOSE(RANDBETWEEN(1,3),"Pago","Pendente","Atrasado"),
   Tabela_Movimentacao_Geral[[#This Row],[Status Financeiro]]
)</f>
        <v>Atrasado</v>
      </c>
      <c r="L208" t="str">
        <f ca="1">IF(
   $O$7="Desbloqueado",
   CHOOSE(RANDBETWEEN(1,3),"Entregue","Em Rota","Aguardando"),
   Tabela_Movimentacao_Geral[[#This Row],[Status Logistico]]
)</f>
        <v>Entregue</v>
      </c>
      <c r="M20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09" spans="1:13" x14ac:dyDescent="0.3">
      <c r="A209" t="str">
        <f t="shared" si="2"/>
        <v>T0208</v>
      </c>
      <c r="B209" s="1">
        <v>45764</v>
      </c>
      <c r="C209" t="str" cm="1">
        <f t="array" aca="1" ref="C209" ca="1">IF($O$7="Desbloqueado",
  _xlfn.LET(
    _xlpm.saldo_atual, SUM(($C$2:$C208="Entrada")*($F$2:$F208=Tabela_Movimentacao_Geral[[#This Row],[ID Produto]])*($H$2:$H208) - ($C$2:$C208="Saida")*($F$2:$F208=Tabela_Movimentacao_Geral[[#This Row],[ID Produto]])*($H$2:$H208)),
    IF(_xlpm.saldo_atual &gt; 0, IF(RANDBETWEEN(0,10)&gt;3,"Saida","Entrada"), "Entrada")
  ),
  Tabela_Movimentacao_Geral[[#This Row],[Tipo Fluxo]]
)</f>
        <v>Entrada</v>
      </c>
      <c r="D2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2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209" t="str">
        <f ca="1">IF(
  $O$7="Desbloqueado",
  "PROD"&amp;TEXT(RANDBETWEEN(1,200),"000"),
  Tabela_Movimentacao_Geral[[#This Row],[ID Produto]]
)</f>
        <v>PROD117</v>
      </c>
      <c r="G209" t="str">
        <f ca="1">_xlfn.XLOOKUP(Tabela_Movimentacao_Geral[[#This Row],[ID Produto]], Tabela_Produtos[ID_Produto],Tabela_Produtos[Descricao_Produto],"Produto não encontrado")</f>
        <v>Adaptador Wi-Fi USB 5G</v>
      </c>
      <c r="H209" cm="1">
        <f t="array" aca="1" ref="H209" ca="1">IF(
   $O$7="Desbloqueado",
   _xlfn.LET(
     _xlpm.saldo_atual, SUM(($C$2:$C208="Entrada")*($F$2:$F208=Tabela_Movimentacao_Geral[[#This Row],[ID Produto]])*($H$2:$H208) - ($C$2:$C208="Saida")*($F$2:$F208=Tabela_Movimentacao_Geral[[#This Row],[ID Produto]])*($H$2:$H208)),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209" s="5">
        <f ca="1">_xlfn.XLOOKUP(Tabela_Movimentacao_Geral[[#This Row],[ID Produto]], Tabela_Produtos[ID_Produto],Tabela_Produtos[Preco_Unitario_Venda])</f>
        <v>95</v>
      </c>
      <c r="J209" s="6">
        <f ca="1">Tabela_Movimentacao_Geral[[#This Row],[Quantidade]] * Tabela_Movimentacao_Geral[[#This Row],[Valor Unitário]]</f>
        <v>6460</v>
      </c>
      <c r="K209" t="str">
        <f ca="1">IF(
   $O$7="Desbloqueado",
   CHOOSE(RANDBETWEEN(1,3),"Pago","Pendente","Atrasado"),
   Tabela_Movimentacao_Geral[[#This Row],[Status Financeiro]]
)</f>
        <v>Atrasado</v>
      </c>
      <c r="L209" t="str">
        <f ca="1">IF(
   $O$7="Desbloqueado",
   CHOOSE(RANDBETWEEN(1,3),"Entregue","Em Rota","Aguardando"),
   Tabela_Movimentacao_Geral[[#This Row],[Status Logistico]]
)</f>
        <v>Aguardando</v>
      </c>
      <c r="M20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45766</v>
      </c>
    </row>
    <row r="210" spans="1:13" x14ac:dyDescent="0.3">
      <c r="A210" t="str">
        <f t="shared" si="2"/>
        <v>T0209</v>
      </c>
      <c r="B210" s="1">
        <v>45765</v>
      </c>
      <c r="C210" t="str" cm="1">
        <f t="array" aca="1" ref="C210" ca="1">IF($O$7="Desbloqueado",
  _xlfn.LET(
    _xlpm.saldo_atual, SUM(($C$2:$C209="Entrada")*($F$2:$F209=Tabela_Movimentacao_Geral[[#This Row],[ID Produto]])*($H$2:$H209) - ($C$2:$C209="Saida")*($F$2:$F209=Tabela_Movimentacao_Geral[[#This Row],[ID Produto]])*($H$2:$H209)),
    IF(_xlpm.saldo_atual &gt; 0, IF(RANDBETWEEN(0,10)&gt;3,"Saida","Entrada"), "Entrada")
  ),
  Tabela_Movimentacao_Geral[[#This Row],[Tipo Fluxo]]
)</f>
        <v>Entrada</v>
      </c>
      <c r="D2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2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210" t="str">
        <f ca="1">IF(
  $O$7="Desbloqueado",
  "PROD"&amp;TEXT(RANDBETWEEN(1,200),"000"),
  Tabela_Movimentacao_Geral[[#This Row],[ID Produto]]
)</f>
        <v>PROD167</v>
      </c>
      <c r="G210" t="str">
        <f ca="1">_xlfn.XLOOKUP(Tabela_Movimentacao_Geral[[#This Row],[ID Produto]], Tabela_Produtos[ID_Produto],Tabela_Produtos[Descricao_Produto],"Produto não encontrado")</f>
        <v>Pasta L Transparente 10un</v>
      </c>
      <c r="H210" cm="1">
        <f t="array" aca="1" ref="H210" ca="1">IF(
   $O$7="Desbloqueado",
   _xlfn.LET(
     _xlpm.saldo_atual, SUM(($C$2:$C209="Entrada")*($F$2:$F209=Tabela_Movimentacao_Geral[[#This Row],[ID Produto]])*($H$2:$H209) - ($C$2:$C209="Saida")*($F$2:$F209=Tabela_Movimentacao_Geral[[#This Row],[ID Produto]])*($H$2:$H209)),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197</v>
      </c>
      <c r="I210" s="5">
        <f ca="1">_xlfn.XLOOKUP(Tabela_Movimentacao_Geral[[#This Row],[ID Produto]], Tabela_Produtos[ID_Produto],Tabela_Produtos[Preco_Unitario_Venda])</f>
        <v>18</v>
      </c>
      <c r="J210" s="6">
        <f ca="1">Tabela_Movimentacao_Geral[[#This Row],[Quantidade]] * Tabela_Movimentacao_Geral[[#This Row],[Valor Unitário]]</f>
        <v>3546</v>
      </c>
      <c r="K210" t="str">
        <f ca="1">IF(
   $O$7="Desbloqueado",
   CHOOSE(RANDBETWEEN(1,3),"Pago","Pendente","Atrasado"),
   Tabela_Movimentacao_Geral[[#This Row],[Status Financeiro]]
)</f>
        <v>Atrasado</v>
      </c>
      <c r="L210" t="str">
        <f ca="1">IF(
   $O$7="Desbloqueado",
   CHOOSE(RANDBETWEEN(1,3),"Entregue","Em Rota","Aguardando"),
   Tabela_Movimentacao_Geral[[#This Row],[Status Logistico]]
)</f>
        <v>Aguardando</v>
      </c>
      <c r="M21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45770</v>
      </c>
    </row>
    <row r="211" spans="1:13" x14ac:dyDescent="0.3">
      <c r="A211" t="str">
        <f t="shared" si="2"/>
        <v>T0210</v>
      </c>
      <c r="B211" s="1">
        <v>45765</v>
      </c>
      <c r="C211" t="str" cm="1">
        <f t="array" aca="1" ref="C211" ca="1">IF($O$7="Desbloqueado",
  _xlfn.LET(
    _xlpm.saldo_atual, SUM(($C$2:$C210="Entrada")*($F$2:$F210=Tabela_Movimentacao_Geral[[#This Row],[ID Produto]])*($H$2:$H210) - ($C$2:$C210="Saida")*($F$2:$F210=Tabela_Movimentacao_Geral[[#This Row],[ID Produto]])*($H$2:$H210)),
    IF(_xlpm.saldo_atual &gt; 0, IF(RANDBETWEEN(0,10)&gt;3,"Saida","Entrada"), "Entrada")
  ),
  Tabela_Movimentacao_Geral[[#This Row],[Tipo Fluxo]]
)</f>
        <v>Entrada</v>
      </c>
      <c r="D2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2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211" t="str">
        <f ca="1">IF(
  $O$7="Desbloqueado",
  "PROD"&amp;TEXT(RANDBETWEEN(1,200),"000"),
  Tabela_Movimentacao_Geral[[#This Row],[ID Produto]]
)</f>
        <v>PROD173</v>
      </c>
      <c r="G211" t="str">
        <f ca="1">_xlfn.XLOOKUP(Tabela_Movimentacao_Geral[[#This Row],[ID Produto]], Tabela_Produtos[ID_Produto],Tabela_Produtos[Descricao_Produto],"Produto não encontrado")</f>
        <v>Fita para Empacotamento</v>
      </c>
      <c r="H211" cm="1">
        <f t="array" aca="1" ref="H211" ca="1">IF(
   $O$7="Desbloqueado",
   _xlfn.LET(
     _xlpm.saldo_atual, SUM(($C$2:$C210="Entrada")*($F$2:$F210=Tabela_Movimentacao_Geral[[#This Row],[ID Produto]])*($H$2:$H210) - ($C$2:$C210="Saida")*($F$2:$F210=Tabela_Movimentacao_Geral[[#This Row],[ID Produto]])*($H$2:$H210)),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211" s="5">
        <f ca="1">_xlfn.XLOOKUP(Tabela_Movimentacao_Geral[[#This Row],[ID Produto]], Tabela_Produtos[ID_Produto],Tabela_Produtos[Preco_Unitario_Venda])</f>
        <v>15</v>
      </c>
      <c r="J211" s="6">
        <f ca="1">Tabela_Movimentacao_Geral[[#This Row],[Quantidade]] * Tabela_Movimentacao_Geral[[#This Row],[Valor Unitário]]</f>
        <v>30</v>
      </c>
      <c r="K211" t="str">
        <f ca="1">IF(
   $O$7="Desbloqueado",
   CHOOSE(RANDBETWEEN(1,3),"Pago","Pendente","Atrasado"),
   Tabela_Movimentacao_Geral[[#This Row],[Status Financeiro]]
)</f>
        <v>Pago</v>
      </c>
      <c r="L211" t="str">
        <f ca="1">IF(
   $O$7="Desbloqueado",
   CHOOSE(RANDBETWEEN(1,3),"Entregue","Em Rota","Aguardando"),
   Tabela_Movimentacao_Geral[[#This Row],[Status Logistico]]
)</f>
        <v>Em Rota</v>
      </c>
      <c r="M21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45766</v>
      </c>
    </row>
    <row r="212" spans="1:13" x14ac:dyDescent="0.3">
      <c r="A212" t="str">
        <f t="shared" si="2"/>
        <v>T0211</v>
      </c>
      <c r="B212" s="1">
        <v>45765</v>
      </c>
      <c r="C212" t="str" cm="1">
        <f t="array" aca="1" ref="C212" ca="1">IF($O$7="Desbloqueado",
  _xlfn.LET(
    _xlpm.saldo_atual, SUM(($C$2:$C211="Entrada")*($F$2:$F211=Tabela_Movimentacao_Geral[[#This Row],[ID Produto]])*($H$2:$H211) - ($C$2:$C211="Saida")*($F$2:$F211=Tabela_Movimentacao_Geral[[#This Row],[ID Produto]])*($H$2:$H211)),
    IF(_xlpm.saldo_atual &gt; 0, IF(RANDBETWEEN(0,10)&gt;3,"Saida","Entrada"), "Entrada")
  ),
  Tabela_Movimentacao_Geral[[#This Row],[Tipo Fluxo]]
)</f>
        <v>Saida</v>
      </c>
      <c r="D2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2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212" t="str">
        <f ca="1">IF(
  $O$7="Desbloqueado",
  "PROD"&amp;TEXT(RANDBETWEEN(1,200),"000"),
  Tabela_Movimentacao_Geral[[#This Row],[ID Produto]]
)</f>
        <v>PROD071</v>
      </c>
      <c r="G212" t="str">
        <f ca="1">_xlfn.XLOOKUP(Tabela_Movimentacao_Geral[[#This Row],[ID Produto]], Tabela_Produtos[ID_Produto],Tabela_Produtos[Descricao_Produto],"Produto não encontrado")</f>
        <v>Bloco Auto-Adesivo 76x76</v>
      </c>
      <c r="H212" cm="1">
        <f t="array" aca="1" ref="H212" ca="1">IF(
   $O$7="Desbloqueado",
   _xlfn.LET(
     _xlpm.saldo_atual, SUM(($C$2:$C211="Entrada")*($F$2:$F211=Tabela_Movimentacao_Geral[[#This Row],[ID Produto]])*($H$2:$H211) - ($C$2:$C211="Saida")*($F$2:$F211=Tabela_Movimentacao_Geral[[#This Row],[ID Produto]])*($H$2:$H211)),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52</v>
      </c>
      <c r="I212" s="5">
        <f ca="1">_xlfn.XLOOKUP(Tabela_Movimentacao_Geral[[#This Row],[ID Produto]], Tabela_Produtos[ID_Produto],Tabela_Produtos[Preco_Unitario_Venda])</f>
        <v>8.5</v>
      </c>
      <c r="J212" s="6">
        <f ca="1">Tabela_Movimentacao_Geral[[#This Row],[Quantidade]] * Tabela_Movimentacao_Geral[[#This Row],[Valor Unitário]]</f>
        <v>442</v>
      </c>
      <c r="K212" t="str">
        <f ca="1">IF(
   $O$7="Desbloqueado",
   CHOOSE(RANDBETWEEN(1,3),"Pago","Pendente","Atrasado"),
   Tabela_Movimentacao_Geral[[#This Row],[Status Financeiro]]
)</f>
        <v>Atrasado</v>
      </c>
      <c r="L212" t="str">
        <f ca="1">IF(
   $O$7="Desbloqueado",
   CHOOSE(RANDBETWEEN(1,3),"Entregue","Em Rota","Aguardando"),
   Tabela_Movimentacao_Geral[[#This Row],[Status Logistico]]
)</f>
        <v>Em Rota</v>
      </c>
      <c r="M21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13" spans="1:13" x14ac:dyDescent="0.3">
      <c r="A213" t="str">
        <f t="shared" si="2"/>
        <v>T0212</v>
      </c>
      <c r="B213" s="1">
        <v>45766</v>
      </c>
      <c r="C213" t="str" cm="1">
        <f t="array" aca="1" ref="C213" ca="1">IF($O$7="Desbloqueado",
  _xlfn.LET(
    _xlpm.saldo_atual, SUM(($C$2:$C212="Entrada")*($F$2:$F212=Tabela_Movimentacao_Geral[[#This Row],[ID Produto]])*($H$2:$H212) - ($C$2:$C212="Saida")*($F$2:$F212=Tabela_Movimentacao_Geral[[#This Row],[ID Produto]])*($H$2:$H212)),
    IF(_xlpm.saldo_atual &gt; 0, IF(RANDBETWEEN(0,10)&gt;3,"Saida","Entrada"), "Entrada")
  ),
  Tabela_Movimentacao_Geral[[#This Row],[Tipo Fluxo]]
)</f>
        <v>Entrada</v>
      </c>
      <c r="D2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2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213" t="str">
        <f ca="1">IF(
  $O$7="Desbloqueado",
  "PROD"&amp;TEXT(RANDBETWEEN(1,200),"000"),
  Tabela_Movimentacao_Geral[[#This Row],[ID Produto]]
)</f>
        <v>PROD077</v>
      </c>
      <c r="G213" t="str">
        <f ca="1">_xlfn.XLOOKUP(Tabela_Movimentacao_Geral[[#This Row],[ID Produto]], Tabela_Produtos[ID_Produto],Tabela_Produtos[Descricao_Produto],"Produto não encontrado")</f>
        <v>Lixeira de Escritorio 10L</v>
      </c>
      <c r="H213" cm="1">
        <f t="array" aca="1" ref="H213" ca="1">IF(
   $O$7="Desbloqueado",
   _xlfn.LET(
     _xlpm.saldo_atual, SUM(($C$2:$C212="Entrada")*($F$2:$F212=Tabela_Movimentacao_Geral[[#This Row],[ID Produto]])*($H$2:$H212) - ($C$2:$C212="Saida")*($F$2:$F212=Tabela_Movimentacao_Geral[[#This Row],[ID Produto]])*($H$2:$H212)),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</v>
      </c>
      <c r="I213" s="5">
        <f ca="1">_xlfn.XLOOKUP(Tabela_Movimentacao_Geral[[#This Row],[ID Produto]], Tabela_Produtos[ID_Produto],Tabela_Produtos[Preco_Unitario_Venda])</f>
        <v>28</v>
      </c>
      <c r="J213" s="6">
        <f ca="1">Tabela_Movimentacao_Geral[[#This Row],[Quantidade]] * Tabela_Movimentacao_Geral[[#This Row],[Valor Unitário]]</f>
        <v>896</v>
      </c>
      <c r="K213" t="str">
        <f ca="1">IF(
   $O$7="Desbloqueado",
   CHOOSE(RANDBETWEEN(1,3),"Pago","Pendente","Atrasado"),
   Tabela_Movimentacao_Geral[[#This Row],[Status Financeiro]]
)</f>
        <v>Atrasado</v>
      </c>
      <c r="L213" t="str">
        <f ca="1">IF(
   $O$7="Desbloqueado",
   CHOOSE(RANDBETWEEN(1,3),"Entregue","Em Rota","Aguardando"),
   Tabela_Movimentacao_Geral[[#This Row],[Status Logistico]]
)</f>
        <v>Aguardando</v>
      </c>
      <c r="M21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45774</v>
      </c>
    </row>
    <row r="214" spans="1:13" x14ac:dyDescent="0.3">
      <c r="A214" t="str">
        <f t="shared" si="2"/>
        <v>T0213</v>
      </c>
      <c r="B214" s="1">
        <v>45767</v>
      </c>
      <c r="C214" t="str" cm="1">
        <f t="array" aca="1" ref="C214" ca="1">IF($O$7="Desbloqueado",
  _xlfn.LET(
    _xlpm.saldo_atual, SUM(($C$2:$C213="Entrada")*($F$2:$F213=Tabela_Movimentacao_Geral[[#This Row],[ID Produto]])*($H$2:$H213) - ($C$2:$C213="Saida")*($F$2:$F213=Tabela_Movimentacao_Geral[[#This Row],[ID Produto]])*($H$2:$H213)),
    IF(_xlpm.saldo_atual &gt; 0, IF(RANDBETWEEN(0,10)&gt;3,"Saida","Entrada"), "Entrada")
  ),
  Tabela_Movimentacao_Geral[[#This Row],[Tipo Fluxo]]
)</f>
        <v>Entrada</v>
      </c>
      <c r="D2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2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214" t="str">
        <f ca="1">IF(
  $O$7="Desbloqueado",
  "PROD"&amp;TEXT(RANDBETWEEN(1,200),"000"),
  Tabela_Movimentacao_Geral[[#This Row],[ID Produto]]
)</f>
        <v>PROD151</v>
      </c>
      <c r="G214" t="str">
        <f ca="1">_xlfn.XLOOKUP(Tabela_Movimentacao_Geral[[#This Row],[ID Produto]], Tabela_Produtos[ID_Produto],Tabela_Produtos[Descricao_Produto],"Produto não encontrado")</f>
        <v>Papel Fotografico A4 20fls</v>
      </c>
      <c r="H214" cm="1">
        <f t="array" aca="1" ref="H214" ca="1">IF(
   $O$7="Desbloqueado",
   _xlfn.LET(
     _xlpm.saldo_atual, SUM(($C$2:$C213="Entrada")*($F$2:$F213=Tabela_Movimentacao_Geral[[#This Row],[ID Produto]])*($H$2:$H213) - ($C$2:$C213="Saida")*($F$2:$F213=Tabela_Movimentacao_Geral[[#This Row],[ID Produto]])*($H$2:$H213)),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95</v>
      </c>
      <c r="I214" s="5">
        <f ca="1">_xlfn.XLOOKUP(Tabela_Movimentacao_Geral[[#This Row],[ID Produto]], Tabela_Produtos[ID_Produto],Tabela_Produtos[Preco_Unitario_Venda])</f>
        <v>45</v>
      </c>
      <c r="J214" s="6">
        <f ca="1">Tabela_Movimentacao_Geral[[#This Row],[Quantidade]] * Tabela_Movimentacao_Geral[[#This Row],[Valor Unitário]]</f>
        <v>4275</v>
      </c>
      <c r="K214" t="str">
        <f ca="1">IF(
   $O$7="Desbloqueado",
   CHOOSE(RANDBETWEEN(1,3),"Pago","Pendente","Atrasado"),
   Tabela_Movimentacao_Geral[[#This Row],[Status Financeiro]]
)</f>
        <v>Pendente</v>
      </c>
      <c r="L214" t="str">
        <f ca="1">IF(
   $O$7="Desbloqueado",
   CHOOSE(RANDBETWEEN(1,3),"Entregue","Em Rota","Aguardando"),
   Tabela_Movimentacao_Geral[[#This Row],[Status Logistico]]
)</f>
        <v>Entregue</v>
      </c>
      <c r="M21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45768</v>
      </c>
    </row>
    <row r="215" spans="1:13" x14ac:dyDescent="0.3">
      <c r="A215" t="str">
        <f t="shared" ref="A215:A278" si="3">"T"&amp;TEXT(ROW(A215)-1,"0000")</f>
        <v>T0214</v>
      </c>
      <c r="B215" s="1">
        <v>45768</v>
      </c>
      <c r="C215" t="str" cm="1">
        <f t="array" aca="1" ref="C215" ca="1">IF($O$7="Desbloqueado",
  _xlfn.LET(
    _xlpm.saldo_atual, SUM(($C$2:$C214="Entrada")*($F$2:$F214=Tabela_Movimentacao_Geral[[#This Row],[ID Produto]])*($H$2:$H214) - ($C$2:$C214="Saida")*($F$2:$F214=Tabela_Movimentacao_Geral[[#This Row],[ID Produto]])*($H$2:$H214)),
    IF(_xlpm.saldo_atual &gt; 0, IF(RANDBETWEEN(0,10)&gt;3,"Saida","Entrada"), "Entrada")
  ),
  Tabela_Movimentacao_Geral[[#This Row],[Tipo Fluxo]]
)</f>
        <v>Entrada</v>
      </c>
      <c r="D2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2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215" t="str">
        <f ca="1">IF(
  $O$7="Desbloqueado",
  "PROD"&amp;TEXT(RANDBETWEEN(1,200),"000"),
  Tabela_Movimentacao_Geral[[#This Row],[ID Produto]]
)</f>
        <v>PROD171</v>
      </c>
      <c r="G215" t="str">
        <f ca="1">_xlfn.XLOOKUP(Tabela_Movimentacao_Geral[[#This Row],[ID Produto]], Tabela_Produtos[ID_Produto],Tabela_Produtos[Descricao_Produto],"Produto não encontrado")</f>
        <v>Calculadora de Mesa 12 Dig</v>
      </c>
      <c r="H215" cm="1">
        <f t="array" aca="1" ref="H215" ca="1">IF(
   $O$7="Desbloqueado",
   _xlfn.LET(
     _xlpm.saldo_atual, SUM(($C$2:$C214="Entrada")*($F$2:$F214=Tabela_Movimentacao_Geral[[#This Row],[ID Produto]])*($H$2:$H214) - ($C$2:$C214="Saida")*($F$2:$F214=Tabela_Movimentacao_Geral[[#This Row],[ID Produto]])*($H$2:$H214)),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39</v>
      </c>
      <c r="I215" s="5">
        <f ca="1">_xlfn.XLOOKUP(Tabela_Movimentacao_Geral[[#This Row],[ID Produto]], Tabela_Produtos[ID_Produto],Tabela_Produtos[Preco_Unitario_Venda])</f>
        <v>65</v>
      </c>
      <c r="J215" s="6">
        <f ca="1">Tabela_Movimentacao_Geral[[#This Row],[Quantidade]] * Tabela_Movimentacao_Geral[[#This Row],[Valor Unitário]]</f>
        <v>2535</v>
      </c>
      <c r="K215" t="str">
        <f ca="1">IF(
   $O$7="Desbloqueado",
   CHOOSE(RANDBETWEEN(1,3),"Pago","Pendente","Atrasado"),
   Tabela_Movimentacao_Geral[[#This Row],[Status Financeiro]]
)</f>
        <v>Atrasado</v>
      </c>
      <c r="L215" t="str">
        <f ca="1">IF(
   $O$7="Desbloqueado",
   CHOOSE(RANDBETWEEN(1,3),"Entregue","Em Rota","Aguardando"),
   Tabela_Movimentacao_Geral[[#This Row],[Status Logistico]]
)</f>
        <v>Entregue</v>
      </c>
      <c r="M21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45769</v>
      </c>
    </row>
    <row r="216" spans="1:13" x14ac:dyDescent="0.3">
      <c r="A216" t="str">
        <f t="shared" si="3"/>
        <v>T0215</v>
      </c>
      <c r="B216" s="1">
        <v>45768</v>
      </c>
      <c r="C216" t="str" cm="1">
        <f t="array" aca="1" ref="C216" ca="1">IF($O$7="Desbloqueado",
  _xlfn.LET(
    _xlpm.saldo_atual, SUM(($C$2:$C215="Entrada")*($F$2:$F215=Tabela_Movimentacao_Geral[[#This Row],[ID Produto]])*($H$2:$H215) - ($C$2:$C215="Saida")*($F$2:$F215=Tabela_Movimentacao_Geral[[#This Row],[ID Produto]])*($H$2:$H215)),
    IF(_xlpm.saldo_atual &gt; 0, IF(RANDBETWEEN(0,10)&gt;3,"Saida","Entrada"), "Entrada")
  ),
  Tabela_Movimentacao_Geral[[#This Row],[Tipo Fluxo]]
)</f>
        <v>Entrada</v>
      </c>
      <c r="D2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2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216" t="str">
        <f ca="1">IF(
  $O$7="Desbloqueado",
  "PROD"&amp;TEXT(RANDBETWEEN(1,200),"000"),
  Tabela_Movimentacao_Geral[[#This Row],[ID Produto]]
)</f>
        <v>PROD193</v>
      </c>
      <c r="G216" t="str">
        <f ca="1">_xlfn.XLOOKUP(Tabela_Movimentacao_Geral[[#This Row],[ID Produto]], Tabela_Produtos[ID_Produto],Tabela_Produtos[Descricao_Produto],"Produto não encontrado")</f>
        <v>Mini Rack 6U Parede</v>
      </c>
      <c r="H216" cm="1">
        <f t="array" aca="1" ref="H216" ca="1">IF(
   $O$7="Desbloqueado",
   _xlfn.LET(
     _xlpm.saldo_atual, SUM(($C$2:$C215="Entrada")*($F$2:$F215=Tabela_Movimentacao_Geral[[#This Row],[ID Produto]])*($H$2:$H215) - ($C$2:$C215="Saida")*($F$2:$F215=Tabela_Movimentacao_Geral[[#This Row],[ID Produto]])*($H$2:$H215)),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216" s="5">
        <f ca="1">_xlfn.XLOOKUP(Tabela_Movimentacao_Geral[[#This Row],[ID Produto]], Tabela_Produtos[ID_Produto],Tabela_Produtos[Preco_Unitario_Venda])</f>
        <v>450</v>
      </c>
      <c r="J216" s="6">
        <f ca="1">Tabela_Movimentacao_Geral[[#This Row],[Quantidade]] * Tabela_Movimentacao_Geral[[#This Row],[Valor Unitário]]</f>
        <v>9000</v>
      </c>
      <c r="K216" t="str">
        <f ca="1">IF(
   $O$7="Desbloqueado",
   CHOOSE(RANDBETWEEN(1,3),"Pago","Pendente","Atrasado"),
   Tabela_Movimentacao_Geral[[#This Row],[Status Financeiro]]
)</f>
        <v>Atrasado</v>
      </c>
      <c r="L216" t="str">
        <f ca="1">IF(
   $O$7="Desbloqueado",
   CHOOSE(RANDBETWEEN(1,3),"Entregue","Em Rota","Aguardando"),
   Tabela_Movimentacao_Geral[[#This Row],[Status Logistico]]
)</f>
        <v>Entregue</v>
      </c>
      <c r="M21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45769</v>
      </c>
    </row>
    <row r="217" spans="1:13" x14ac:dyDescent="0.3">
      <c r="A217" t="str">
        <f t="shared" si="3"/>
        <v>T0216</v>
      </c>
      <c r="B217" s="1">
        <v>45769</v>
      </c>
      <c r="C217" t="str" cm="1">
        <f t="array" aca="1" ref="C217" ca="1">IF($O$7="Desbloqueado",
  _xlfn.LET(
    _xlpm.saldo_atual, SUM(($C$2:$C216="Entrada")*($F$2:$F216=Tabela_Movimentacao_Geral[[#This Row],[ID Produto]])*($H$2:$H216) - ($C$2:$C216="Saida")*($F$2:$F216=Tabela_Movimentacao_Geral[[#This Row],[ID Produto]])*($H$2:$H216)),
    IF(_xlpm.saldo_atual &gt; 0, IF(RANDBETWEEN(0,10)&gt;3,"Saida","Entrada"), "Entrada")
  ),
  Tabela_Movimentacao_Geral[[#This Row],[Tipo Fluxo]]
)</f>
        <v>Entrada</v>
      </c>
      <c r="D2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2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217" t="str">
        <f ca="1">IF(
  $O$7="Desbloqueado",
  "PROD"&amp;TEXT(RANDBETWEEN(1,200),"000"),
  Tabela_Movimentacao_Geral[[#This Row],[ID Produto]]
)</f>
        <v>PROD030</v>
      </c>
      <c r="G217" t="str">
        <f ca="1">_xlfn.XLOOKUP(Tabela_Movimentacao_Geral[[#This Row],[ID Produto]], Tabela_Produtos[ID_Produto],Tabela_Produtos[Descricao_Produto],"Produto não encontrado")</f>
        <v>Mochila para Notebook 15.6</v>
      </c>
      <c r="H217" cm="1">
        <f t="array" aca="1" ref="H217" ca="1">IF(
   $O$7="Desbloqueado",
   _xlfn.LET(
     _xlpm.saldo_atual, SUM(($C$2:$C216="Entrada")*($F$2:$F216=Tabela_Movimentacao_Geral[[#This Row],[ID Produto]])*($H$2:$H216) - ($C$2:$C216="Saida")*($F$2:$F216=Tabela_Movimentacao_Geral[[#This Row],[ID Produto]])*($H$2:$H216)),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217" s="5">
        <f ca="1">_xlfn.XLOOKUP(Tabela_Movimentacao_Geral[[#This Row],[ID Produto]], Tabela_Produtos[ID_Produto],Tabela_Produtos[Preco_Unitario_Venda])</f>
        <v>250</v>
      </c>
      <c r="J217" s="6">
        <f ca="1">Tabela_Movimentacao_Geral[[#This Row],[Quantidade]] * Tabela_Movimentacao_Geral[[#This Row],[Valor Unitário]]</f>
        <v>21250</v>
      </c>
      <c r="K217" t="str">
        <f ca="1">IF(
   $O$7="Desbloqueado",
   CHOOSE(RANDBETWEEN(1,3),"Pago","Pendente","Atrasado"),
   Tabela_Movimentacao_Geral[[#This Row],[Status Financeiro]]
)</f>
        <v>Pago</v>
      </c>
      <c r="L217" t="str">
        <f ca="1">IF(
   $O$7="Desbloqueado",
   CHOOSE(RANDBETWEEN(1,3),"Entregue","Em Rota","Aguardando"),
   Tabela_Movimentacao_Geral[[#This Row],[Status Logistico]]
)</f>
        <v>Aguardando</v>
      </c>
      <c r="M21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45777</v>
      </c>
    </row>
    <row r="218" spans="1:13" x14ac:dyDescent="0.3">
      <c r="A218" t="str">
        <f t="shared" si="3"/>
        <v>T0217</v>
      </c>
      <c r="B218" s="1">
        <v>45769</v>
      </c>
      <c r="C218" t="str" cm="1">
        <f t="array" aca="1" ref="C218" ca="1">IF($O$7="Desbloqueado",
  _xlfn.LET(
    _xlpm.saldo_atual, SUM(($C$2:$C217="Entrada")*($F$2:$F217=Tabela_Movimentacao_Geral[[#This Row],[ID Produto]])*($H$2:$H217) - ($C$2:$C217="Saida")*($F$2:$F217=Tabela_Movimentacao_Geral[[#This Row],[ID Produto]])*($H$2:$H217)),
    IF(_xlpm.saldo_atual &gt; 0, IF(RANDBETWEEN(0,10)&gt;3,"Saida","Entrada"), "Entrada")
  ),
  Tabela_Movimentacao_Geral[[#This Row],[Tipo Fluxo]]
)</f>
        <v>Saida</v>
      </c>
      <c r="D2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2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218" t="str">
        <f ca="1">IF(
  $O$7="Desbloqueado",
  "PROD"&amp;TEXT(RANDBETWEEN(1,200),"000"),
  Tabela_Movimentacao_Geral[[#This Row],[ID Produto]]
)</f>
        <v>PROD064</v>
      </c>
      <c r="G218" t="str">
        <f ca="1">_xlfn.XLOOKUP(Tabela_Movimentacao_Geral[[#This Row],[ID Produto]], Tabela_Produtos[ID_Produto],Tabela_Produtos[Descricao_Produto],"Produto não encontrado")</f>
        <v>Cola em Bastao 40g</v>
      </c>
      <c r="H218" cm="1">
        <f t="array" aca="1" ref="H218" ca="1">IF(
   $O$7="Desbloqueado",
   _xlfn.LET(
     _xlpm.saldo_atual, SUM(($C$2:$C217="Entrada")*($F$2:$F217=Tabela_Movimentacao_Geral[[#This Row],[ID Produto]])*($H$2:$H217) - ($C$2:$C217="Saida")*($F$2:$F217=Tabela_Movimentacao_Geral[[#This Row],[ID Produto]])*($H$2:$H217)),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218" s="5">
        <f ca="1">_xlfn.XLOOKUP(Tabela_Movimentacao_Geral[[#This Row],[ID Produto]], Tabela_Produtos[ID_Produto],Tabela_Produtos[Preco_Unitario_Venda])</f>
        <v>14</v>
      </c>
      <c r="J218" s="6">
        <f ca="1">Tabela_Movimentacao_Geral[[#This Row],[Quantidade]] * Tabela_Movimentacao_Geral[[#This Row],[Valor Unitário]]</f>
        <v>588</v>
      </c>
      <c r="K218" t="str">
        <f ca="1">IF(
   $O$7="Desbloqueado",
   CHOOSE(RANDBETWEEN(1,3),"Pago","Pendente","Atrasado"),
   Tabela_Movimentacao_Geral[[#This Row],[Status Financeiro]]
)</f>
        <v>Pago</v>
      </c>
      <c r="L218" t="str">
        <f ca="1">IF(
   $O$7="Desbloqueado",
   CHOOSE(RANDBETWEEN(1,3),"Entregue","Em Rota","Aguardando"),
   Tabela_Movimentacao_Geral[[#This Row],[Status Logistico]]
)</f>
        <v>Aguardando</v>
      </c>
      <c r="M21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19" spans="1:13" x14ac:dyDescent="0.3">
      <c r="A219" t="str">
        <f t="shared" si="3"/>
        <v>T0218</v>
      </c>
      <c r="B219" s="1">
        <v>45770</v>
      </c>
      <c r="C219" t="str" cm="1">
        <f t="array" aca="1" ref="C219" ca="1">IF($O$7="Desbloqueado",
  _xlfn.LET(
    _xlpm.saldo_atual, SUM(($C$2:$C218="Entrada")*($F$2:$F218=Tabela_Movimentacao_Geral[[#This Row],[ID Produto]])*($H$2:$H218) - ($C$2:$C218="Saida")*($F$2:$F218=Tabela_Movimentacao_Geral[[#This Row],[ID Produto]])*($H$2:$H218)),
    IF(_xlpm.saldo_atual &gt; 0, IF(RANDBETWEEN(0,10)&gt;3,"Saida","Entrada"), "Entrada")
  ),
  Tabela_Movimentacao_Geral[[#This Row],[Tipo Fluxo]]
)</f>
        <v>Saida</v>
      </c>
      <c r="D2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2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219" t="str">
        <f ca="1">IF(
  $O$7="Desbloqueado",
  "PROD"&amp;TEXT(RANDBETWEEN(1,200),"000"),
  Tabela_Movimentacao_Geral[[#This Row],[ID Produto]]
)</f>
        <v>PROD059</v>
      </c>
      <c r="G219" t="str">
        <f ca="1">_xlfn.XLOOKUP(Tabela_Movimentacao_Geral[[#This Row],[ID Produto]], Tabela_Produtos[ID_Produto],Tabela_Produtos[Descricao_Produto],"Produto não encontrado")</f>
        <v>Lapiseira 0.7mm</v>
      </c>
      <c r="H219" cm="1">
        <f t="array" aca="1" ref="H219" ca="1">IF(
   $O$7="Desbloqueado",
   _xlfn.LET(
     _xlpm.saldo_atual, SUM(($C$2:$C218="Entrada")*($F$2:$F218=Tabela_Movimentacao_Geral[[#This Row],[ID Produto]])*($H$2:$H218) - ($C$2:$C218="Saida")*($F$2:$F218=Tabela_Movimentacao_Geral[[#This Row],[ID Produto]])*($H$2:$H218)),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219" s="5">
        <f ca="1">_xlfn.XLOOKUP(Tabela_Movimentacao_Geral[[#This Row],[ID Produto]], Tabela_Produtos[ID_Produto],Tabela_Produtos[Preco_Unitario_Venda])</f>
        <v>12</v>
      </c>
      <c r="J219" s="6">
        <f ca="1">Tabela_Movimentacao_Geral[[#This Row],[Quantidade]] * Tabela_Movimentacao_Geral[[#This Row],[Valor Unitário]]</f>
        <v>108</v>
      </c>
      <c r="K219" t="str">
        <f ca="1">IF(
   $O$7="Desbloqueado",
   CHOOSE(RANDBETWEEN(1,3),"Pago","Pendente","Atrasado"),
   Tabela_Movimentacao_Geral[[#This Row],[Status Financeiro]]
)</f>
        <v>Pago</v>
      </c>
      <c r="L219" t="str">
        <f ca="1">IF(
   $O$7="Desbloqueado",
   CHOOSE(RANDBETWEEN(1,3),"Entregue","Em Rota","Aguardando"),
   Tabela_Movimentacao_Geral[[#This Row],[Status Logistico]]
)</f>
        <v>Entregue</v>
      </c>
      <c r="M21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20" spans="1:13" x14ac:dyDescent="0.3">
      <c r="A220" t="str">
        <f t="shared" si="3"/>
        <v>T0219</v>
      </c>
      <c r="B220" s="1">
        <v>45770</v>
      </c>
      <c r="C220" t="str" cm="1">
        <f t="array" aca="1" ref="C220" ca="1">IF($O$7="Desbloqueado",
  _xlfn.LET(
    _xlpm.saldo_atual, SUM(($C$2:$C219="Entrada")*($F$2:$F219=Tabela_Movimentacao_Geral[[#This Row],[ID Produto]])*($H$2:$H219) - ($C$2:$C219="Saida")*($F$2:$F219=Tabela_Movimentacao_Geral[[#This Row],[ID Produto]])*($H$2:$H219)),
    IF(_xlpm.saldo_atual &gt; 0, IF(RANDBETWEEN(0,10)&gt;3,"Saida","Entrada"), "Entrada")
  ),
  Tabela_Movimentacao_Geral[[#This Row],[Tipo Fluxo]]
)</f>
        <v>Entrada</v>
      </c>
      <c r="D2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2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220" t="str">
        <f ca="1">IF(
  $O$7="Desbloqueado",
  "PROD"&amp;TEXT(RANDBETWEEN(1,200),"000"),
  Tabela_Movimentacao_Geral[[#This Row],[ID Produto]]
)</f>
        <v>PROD099</v>
      </c>
      <c r="G220" t="str">
        <f ca="1">_xlfn.XLOOKUP(Tabela_Movimentacao_Geral[[#This Row],[ID Produto]], Tabela_Produtos[ID_Produto],Tabela_Produtos[Descricao_Produto],"Produto não encontrado")</f>
        <v>HD SkyHawk 4TB (CFTV)</v>
      </c>
      <c r="H220" cm="1">
        <f t="array" aca="1" ref="H220" ca="1">IF(
   $O$7="Desbloqueado",
   _xlfn.LET(
     _xlpm.saldo_atual, SUM(($C$2:$C219="Entrada")*($F$2:$F219=Tabela_Movimentacao_Geral[[#This Row],[ID Produto]])*($H$2:$H219) - ($C$2:$C219="Saida")*($F$2:$F219=Tabela_Movimentacao_Geral[[#This Row],[ID Produto]])*($H$2:$H219)),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220" s="5">
        <f ca="1">_xlfn.XLOOKUP(Tabela_Movimentacao_Geral[[#This Row],[ID Produto]], Tabela_Produtos[ID_Produto],Tabela_Produtos[Preco_Unitario_Venda])</f>
        <v>750</v>
      </c>
      <c r="J220" s="6">
        <f ca="1">Tabela_Movimentacao_Geral[[#This Row],[Quantidade]] * Tabela_Movimentacao_Geral[[#This Row],[Valor Unitário]]</f>
        <v>51000</v>
      </c>
      <c r="K220" t="str">
        <f ca="1">IF(
   $O$7="Desbloqueado",
   CHOOSE(RANDBETWEEN(1,3),"Pago","Pendente","Atrasado"),
   Tabela_Movimentacao_Geral[[#This Row],[Status Financeiro]]
)</f>
        <v>Pendente</v>
      </c>
      <c r="L220" t="str">
        <f ca="1">IF(
   $O$7="Desbloqueado",
   CHOOSE(RANDBETWEEN(1,3),"Entregue","Em Rota","Aguardando"),
   Tabela_Movimentacao_Geral[[#This Row],[Status Logistico]]
)</f>
        <v>Entregue</v>
      </c>
      <c r="M22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45772</v>
      </c>
    </row>
    <row r="221" spans="1:13" x14ac:dyDescent="0.3">
      <c r="A221" t="str">
        <f t="shared" si="3"/>
        <v>T0220</v>
      </c>
      <c r="B221" s="1">
        <v>45771</v>
      </c>
      <c r="C221" t="str" cm="1">
        <f t="array" aca="1" ref="C221" ca="1">IF($O$7="Desbloqueado",
  _xlfn.LET(
    _xlpm.saldo_atual, SUM(($C$2:$C220="Entrada")*($F$2:$F220=Tabela_Movimentacao_Geral[[#This Row],[ID Produto]])*($H$2:$H220) - ($C$2:$C220="Saida")*($F$2:$F220=Tabela_Movimentacao_Geral[[#This Row],[ID Produto]])*($H$2:$H220)),
    IF(_xlpm.saldo_atual &gt; 0, IF(RANDBETWEEN(0,10)&gt;3,"Saida","Entrada"), "Entrada")
  ),
  Tabela_Movimentacao_Geral[[#This Row],[Tipo Fluxo]]
)</f>
        <v>Saida</v>
      </c>
      <c r="D2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2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221" t="str">
        <f ca="1">IF(
  $O$7="Desbloqueado",
  "PROD"&amp;TEXT(RANDBETWEEN(1,200),"000"),
  Tabela_Movimentacao_Geral[[#This Row],[ID Produto]]
)</f>
        <v>PROD185</v>
      </c>
      <c r="G221" t="str">
        <f ca="1">_xlfn.XLOOKUP(Tabela_Movimentacao_Geral[[#This Row],[ID Produto]], Tabela_Produtos[ID_Produto],Tabela_Produtos[Descricao_Produto],"Produto não encontrado")</f>
        <v>PDU Básica 12 Tomadas</v>
      </c>
      <c r="H221" cm="1">
        <f t="array" aca="1" ref="H221" ca="1">IF(
   $O$7="Desbloqueado",
   _xlfn.LET(
     _xlpm.saldo_atual, SUM(($C$2:$C220="Entrada")*($F$2:$F220=Tabela_Movimentacao_Geral[[#This Row],[ID Produto]])*($H$2:$H220) - ($C$2:$C220="Saida")*($F$2:$F220=Tabela_Movimentacao_Geral[[#This Row],[ID Produto]])*($H$2:$H220)),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221" s="5">
        <f ca="1">_xlfn.XLOOKUP(Tabela_Movimentacao_Geral[[#This Row],[ID Produto]], Tabela_Produtos[ID_Produto],Tabela_Produtos[Preco_Unitario_Venda])</f>
        <v>380</v>
      </c>
      <c r="J221" s="6">
        <f ca="1">Tabela_Movimentacao_Geral[[#This Row],[Quantidade]] * Tabela_Movimentacao_Geral[[#This Row],[Valor Unitário]]</f>
        <v>5320</v>
      </c>
      <c r="K221" t="str">
        <f ca="1">IF(
   $O$7="Desbloqueado",
   CHOOSE(RANDBETWEEN(1,3),"Pago","Pendente","Atrasado"),
   Tabela_Movimentacao_Geral[[#This Row],[Status Financeiro]]
)</f>
        <v>Pago</v>
      </c>
      <c r="L221" t="str">
        <f ca="1">IF(
   $O$7="Desbloqueado",
   CHOOSE(RANDBETWEEN(1,3),"Entregue","Em Rota","Aguardando"),
   Tabela_Movimentacao_Geral[[#This Row],[Status Logistico]]
)</f>
        <v>Em Rota</v>
      </c>
      <c r="M22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22" spans="1:13" x14ac:dyDescent="0.3">
      <c r="A222" t="str">
        <f t="shared" si="3"/>
        <v>T0221</v>
      </c>
      <c r="B222" s="1">
        <v>45771</v>
      </c>
      <c r="C222" t="str" cm="1">
        <f t="array" aca="1" ref="C222" ca="1">IF($O$7="Desbloqueado",
  _xlfn.LET(
    _xlpm.saldo_atual, SUM(($C$2:$C221="Entrada")*($F$2:$F221=Tabela_Movimentacao_Geral[[#This Row],[ID Produto]])*($H$2:$H221) - ($C$2:$C221="Saida")*($F$2:$F221=Tabela_Movimentacao_Geral[[#This Row],[ID Produto]])*($H$2:$H221)),
    IF(_xlpm.saldo_atual &gt; 0, IF(RANDBETWEEN(0,10)&gt;3,"Saida","Entrada"), "Entrada")
  ),
  Tabela_Movimentacao_Geral[[#This Row],[Tipo Fluxo]]
)</f>
        <v>Saida</v>
      </c>
      <c r="D2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2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222" t="str">
        <f ca="1">IF(
  $O$7="Desbloqueado",
  "PROD"&amp;TEXT(RANDBETWEEN(1,200),"000"),
  Tabela_Movimentacao_Geral[[#This Row],[ID Produto]]
)</f>
        <v>PROD134</v>
      </c>
      <c r="G222" t="str">
        <f ca="1">_xlfn.XLOOKUP(Tabela_Movimentacao_Geral[[#This Row],[ID Produto]], Tabela_Produtos[ID_Produto],Tabela_Produtos[Descricao_Produto],"Produto não encontrado")</f>
        <v>Suporte Projetor Teto</v>
      </c>
      <c r="H222" cm="1">
        <f t="array" aca="1" ref="H222" ca="1">IF(
   $O$7="Desbloqueado",
   _xlfn.LET(
     _xlpm.saldo_atual, SUM(($C$2:$C221="Entrada")*($F$2:$F221=Tabela_Movimentacao_Geral[[#This Row],[ID Produto]])*($H$2:$H221) - ($C$2:$C221="Saida")*($F$2:$F221=Tabela_Movimentacao_Geral[[#This Row],[ID Produto]])*($H$2:$H221)),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222" s="5">
        <f ca="1">_xlfn.XLOOKUP(Tabela_Movimentacao_Geral[[#This Row],[ID Produto]], Tabela_Produtos[ID_Produto],Tabela_Produtos[Preco_Unitario_Venda])</f>
        <v>155</v>
      </c>
      <c r="J222" s="6">
        <f ca="1">Tabela_Movimentacao_Geral[[#This Row],[Quantidade]] * Tabela_Movimentacao_Geral[[#This Row],[Valor Unitário]]</f>
        <v>3255</v>
      </c>
      <c r="K222" t="str">
        <f ca="1">IF(
   $O$7="Desbloqueado",
   CHOOSE(RANDBETWEEN(1,3),"Pago","Pendente","Atrasado"),
   Tabela_Movimentacao_Geral[[#This Row],[Status Financeiro]]
)</f>
        <v>Pago</v>
      </c>
      <c r="L222" t="str">
        <f ca="1">IF(
   $O$7="Desbloqueado",
   CHOOSE(RANDBETWEEN(1,3),"Entregue","Em Rota","Aguardando"),
   Tabela_Movimentacao_Geral[[#This Row],[Status Logistico]]
)</f>
        <v>Aguardando</v>
      </c>
      <c r="M22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23" spans="1:13" x14ac:dyDescent="0.3">
      <c r="A223" t="str">
        <f t="shared" si="3"/>
        <v>T0222</v>
      </c>
      <c r="B223" s="1">
        <v>45771</v>
      </c>
      <c r="C223" t="str" cm="1">
        <f t="array" aca="1" ref="C223" ca="1">IF($O$7="Desbloqueado",
  _xlfn.LET(
    _xlpm.saldo_atual, SUM(($C$2:$C222="Entrada")*($F$2:$F222=Tabela_Movimentacao_Geral[[#This Row],[ID Produto]])*($H$2:$H222) - ($C$2:$C222="Saida")*($F$2:$F222=Tabela_Movimentacao_Geral[[#This Row],[ID Produto]])*($H$2:$H222)),
    IF(_xlpm.saldo_atual &gt; 0, IF(RANDBETWEEN(0,10)&gt;3,"Saida","Entrada"), "Entrada")
  ),
  Tabela_Movimentacao_Geral[[#This Row],[Tipo Fluxo]]
)</f>
        <v>Saida</v>
      </c>
      <c r="D2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2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23" t="str">
        <f ca="1">IF(
  $O$7="Desbloqueado",
  "PROD"&amp;TEXT(RANDBETWEEN(1,200),"000"),
  Tabela_Movimentacao_Geral[[#This Row],[ID Produto]]
)</f>
        <v>PROD192</v>
      </c>
      <c r="G223" t="str">
        <f ca="1">_xlfn.XLOOKUP(Tabela_Movimentacao_Geral[[#This Row],[ID Produto]], Tabela_Produtos[ID_Produto],Tabela_Produtos[Descricao_Produto],"Produto não encontrado")</f>
        <v>Protetor Surto Coaxial</v>
      </c>
      <c r="H223" cm="1">
        <f t="array" aca="1" ref="H223" ca="1">IF(
   $O$7="Desbloqueado",
   _xlfn.LET(
     _xlpm.saldo_atual, SUM(($C$2:$C222="Entrada")*($F$2:$F222=Tabela_Movimentacao_Geral[[#This Row],[ID Produto]])*($H$2:$H222) - ($C$2:$C222="Saida")*($F$2:$F222=Tabela_Movimentacao_Geral[[#This Row],[ID Produto]])*($H$2:$H222)),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223" s="5">
        <f ca="1">_xlfn.XLOOKUP(Tabela_Movimentacao_Geral[[#This Row],[ID Produto]], Tabela_Produtos[ID_Produto],Tabela_Produtos[Preco_Unitario_Venda])</f>
        <v>85</v>
      </c>
      <c r="J223" s="6">
        <f ca="1">Tabela_Movimentacao_Geral[[#This Row],[Quantidade]] * Tabela_Movimentacao_Geral[[#This Row],[Valor Unitário]]</f>
        <v>595</v>
      </c>
      <c r="K223" t="str">
        <f ca="1">IF(
   $O$7="Desbloqueado",
   CHOOSE(RANDBETWEEN(1,3),"Pago","Pendente","Atrasado"),
   Tabela_Movimentacao_Geral[[#This Row],[Status Financeiro]]
)</f>
        <v>Atrasado</v>
      </c>
      <c r="L223" t="str">
        <f ca="1">IF(
   $O$7="Desbloqueado",
   CHOOSE(RANDBETWEEN(1,3),"Entregue","Em Rota","Aguardando"),
   Tabela_Movimentacao_Geral[[#This Row],[Status Logistico]]
)</f>
        <v>Entregue</v>
      </c>
      <c r="M22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24" spans="1:13" x14ac:dyDescent="0.3">
      <c r="A224" t="str">
        <f t="shared" si="3"/>
        <v>T0223</v>
      </c>
      <c r="B224" s="1">
        <v>45773</v>
      </c>
      <c r="C224" t="str" cm="1">
        <f t="array" aca="1" ref="C224" ca="1">IF($O$7="Desbloqueado",
  _xlfn.LET(
    _xlpm.saldo_atual, SUM(($C$2:$C223="Entrada")*($F$2:$F223=Tabela_Movimentacao_Geral[[#This Row],[ID Produto]])*($H$2:$H223) - ($C$2:$C223="Saida")*($F$2:$F223=Tabela_Movimentacao_Geral[[#This Row],[ID Produto]])*($H$2:$H223)),
    IF(_xlpm.saldo_atual &gt; 0, IF(RANDBETWEEN(0,10)&gt;3,"Saida","Entrada"), "Entrada")
  ),
  Tabela_Movimentacao_Geral[[#This Row],[Tipo Fluxo]]
)</f>
        <v>Entrada</v>
      </c>
      <c r="D2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2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224" t="str">
        <f ca="1">IF(
  $O$7="Desbloqueado",
  "PROD"&amp;TEXT(RANDBETWEEN(1,200),"000"),
  Tabela_Movimentacao_Geral[[#This Row],[ID Produto]]
)</f>
        <v>PROD021</v>
      </c>
      <c r="G224" t="str">
        <f ca="1">_xlfn.XLOOKUP(Tabela_Movimentacao_Geral[[#This Row],[ID Produto]], Tabela_Produtos[ID_Produto],Tabela_Produtos[Descricao_Produto],"Produto não encontrado")</f>
        <v>Pacote Office Business Anual</v>
      </c>
      <c r="H224" cm="1">
        <f t="array" aca="1" ref="H224" ca="1">IF(
   $O$7="Desbloqueado",
   _xlfn.LET(
     _xlpm.saldo_atual, SUM(($C$2:$C223="Entrada")*($F$2:$F223=Tabela_Movimentacao_Geral[[#This Row],[ID Produto]])*($H$2:$H223) - ($C$2:$C223="Saida")*($F$2:$F223=Tabela_Movimentacao_Geral[[#This Row],[ID Produto]])*($H$2:$H223)),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152</v>
      </c>
      <c r="I224" s="5">
        <f ca="1">_xlfn.XLOOKUP(Tabela_Movimentacao_Geral[[#This Row],[ID Produto]], Tabela_Produtos[ID_Produto],Tabela_Produtos[Preco_Unitario_Venda])</f>
        <v>599</v>
      </c>
      <c r="J224" s="6">
        <f ca="1">Tabela_Movimentacao_Geral[[#This Row],[Quantidade]] * Tabela_Movimentacao_Geral[[#This Row],[Valor Unitário]]</f>
        <v>91048</v>
      </c>
      <c r="K224" t="str">
        <f ca="1">IF(
   $O$7="Desbloqueado",
   CHOOSE(RANDBETWEEN(1,3),"Pago","Pendente","Atrasado"),
   Tabela_Movimentacao_Geral[[#This Row],[Status Financeiro]]
)</f>
        <v>Pago</v>
      </c>
      <c r="L224" t="str">
        <f ca="1">IF(
   $O$7="Desbloqueado",
   CHOOSE(RANDBETWEEN(1,3),"Entregue","Em Rota","Aguardando"),
   Tabela_Movimentacao_Geral[[#This Row],[Status Logistico]]
)</f>
        <v>Entregue</v>
      </c>
      <c r="M22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45776</v>
      </c>
    </row>
    <row r="225" spans="1:13" x14ac:dyDescent="0.3">
      <c r="A225" t="str">
        <f t="shared" si="3"/>
        <v>T0224</v>
      </c>
      <c r="B225" s="1">
        <v>45773</v>
      </c>
      <c r="C225" t="str" cm="1">
        <f t="array" aca="1" ref="C225" ca="1">IF($O$7="Desbloqueado",
  _xlfn.LET(
    _xlpm.saldo_atual, SUM(($C$2:$C224="Entrada")*($F$2:$F224=Tabela_Movimentacao_Geral[[#This Row],[ID Produto]])*($H$2:$H224) - ($C$2:$C224="Saida")*($F$2:$F224=Tabela_Movimentacao_Geral[[#This Row],[ID Produto]])*($H$2:$H224)),
    IF(_xlpm.saldo_atual &gt; 0, IF(RANDBETWEEN(0,10)&gt;3,"Saida","Entrada"), "Entrada")
  ),
  Tabela_Movimentacao_Geral[[#This Row],[Tipo Fluxo]]
)</f>
        <v>Entrada</v>
      </c>
      <c r="D2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2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225" t="str">
        <f ca="1">IF(
  $O$7="Desbloqueado",
  "PROD"&amp;TEXT(RANDBETWEEN(1,200),"000"),
  Tabela_Movimentacao_Geral[[#This Row],[ID Produto]]
)</f>
        <v>PROD061</v>
      </c>
      <c r="G225" t="str">
        <f ca="1">_xlfn.XLOOKUP(Tabela_Movimentacao_Geral[[#This Row],[ID Produto]], Tabela_Produtos[ID_Produto],Tabela_Produtos[Descricao_Produto],"Produto não encontrado")</f>
        <v>Borracha Branca Escolar</v>
      </c>
      <c r="H225" cm="1">
        <f t="array" aca="1" ref="H225" ca="1">IF(
   $O$7="Desbloqueado",
   _xlfn.LET(
     _xlpm.saldo_atual, SUM(($C$2:$C224="Entrada")*($F$2:$F224=Tabela_Movimentacao_Geral[[#This Row],[ID Produto]])*($H$2:$H224) - ($C$2:$C224="Saida")*($F$2:$F224=Tabela_Movimentacao_Geral[[#This Row],[ID Produto]])*($H$2:$H224)),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220</v>
      </c>
      <c r="I225" s="5">
        <f ca="1">_xlfn.XLOOKUP(Tabela_Movimentacao_Geral[[#This Row],[ID Produto]], Tabela_Produtos[ID_Produto],Tabela_Produtos[Preco_Unitario_Venda])</f>
        <v>2.5</v>
      </c>
      <c r="J225" s="6">
        <f ca="1">Tabela_Movimentacao_Geral[[#This Row],[Quantidade]] * Tabela_Movimentacao_Geral[[#This Row],[Valor Unitário]]</f>
        <v>550</v>
      </c>
      <c r="K225" t="str">
        <f ca="1">IF(
   $O$7="Desbloqueado",
   CHOOSE(RANDBETWEEN(1,3),"Pago","Pendente","Atrasado"),
   Tabela_Movimentacao_Geral[[#This Row],[Status Financeiro]]
)</f>
        <v>Atrasado</v>
      </c>
      <c r="L225" t="str">
        <f ca="1">IF(
   $O$7="Desbloqueado",
   CHOOSE(RANDBETWEEN(1,3),"Entregue","Em Rota","Aguardando"),
   Tabela_Movimentacao_Geral[[#This Row],[Status Logistico]]
)</f>
        <v>Aguardando</v>
      </c>
      <c r="M22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45775</v>
      </c>
    </row>
    <row r="226" spans="1:13" x14ac:dyDescent="0.3">
      <c r="A226" t="str">
        <f t="shared" si="3"/>
        <v>T0225</v>
      </c>
      <c r="B226" s="1">
        <v>45775</v>
      </c>
      <c r="C226" t="str" cm="1">
        <f t="array" aca="1" ref="C226" ca="1">IF($O$7="Desbloqueado",
  _xlfn.LET(
    _xlpm.saldo_atual, SUM(($C$2:$C225="Entrada")*($F$2:$F225=Tabela_Movimentacao_Geral[[#This Row],[ID Produto]])*($H$2:$H225) - ($C$2:$C225="Saida")*($F$2:$F225=Tabela_Movimentacao_Geral[[#This Row],[ID Produto]])*($H$2:$H225)),
    IF(_xlpm.saldo_atual &gt; 0, IF(RANDBETWEEN(0,10)&gt;3,"Saida","Entrada"), "Entrada")
  ),
  Tabela_Movimentacao_Geral[[#This Row],[Tipo Fluxo]]
)</f>
        <v>Entrada</v>
      </c>
      <c r="D2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2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226" t="str">
        <f ca="1">IF(
  $O$7="Desbloqueado",
  "PROD"&amp;TEXT(RANDBETWEEN(1,200),"000"),
  Tabela_Movimentacao_Geral[[#This Row],[ID Produto]]
)</f>
        <v>PROD080</v>
      </c>
      <c r="G226" t="str">
        <f ca="1">_xlfn.XLOOKUP(Tabela_Movimentacao_Geral[[#This Row],[ID Produto]], Tabela_Produtos[ID_Produto],Tabela_Produtos[Descricao_Produto],"Produto não encontrado")</f>
        <v>Quadro de Avisos Cortica</v>
      </c>
      <c r="H226" cm="1">
        <f t="array" aca="1" ref="H226" ca="1">IF(
   $O$7="Desbloqueado",
   _xlfn.LET(
     _xlpm.saldo_atual, SUM(($C$2:$C225="Entrada")*($F$2:$F225=Tabela_Movimentacao_Geral[[#This Row],[ID Produto]])*($H$2:$H225) - ($C$2:$C225="Saida")*($F$2:$F225=Tabela_Movimentacao_Geral[[#This Row],[ID Produto]])*($H$2:$H225)),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80</v>
      </c>
      <c r="I226" s="5">
        <f ca="1">_xlfn.XLOOKUP(Tabela_Movimentacao_Geral[[#This Row],[ID Produto]], Tabela_Produtos[ID_Produto],Tabela_Produtos[Preco_Unitario_Venda])</f>
        <v>110</v>
      </c>
      <c r="J226" s="6">
        <f ca="1">Tabela_Movimentacao_Geral[[#This Row],[Quantidade]] * Tabela_Movimentacao_Geral[[#This Row],[Valor Unitário]]</f>
        <v>8800</v>
      </c>
      <c r="K226" t="str">
        <f ca="1">IF(
   $O$7="Desbloqueado",
   CHOOSE(RANDBETWEEN(1,3),"Pago","Pendente","Atrasado"),
   Tabela_Movimentacao_Geral[[#This Row],[Status Financeiro]]
)</f>
        <v>Pago</v>
      </c>
      <c r="L226" t="str">
        <f ca="1">IF(
   $O$7="Desbloqueado",
   CHOOSE(RANDBETWEEN(1,3),"Entregue","Em Rota","Aguardando"),
   Tabela_Movimentacao_Geral[[#This Row],[Status Logistico]]
)</f>
        <v>Aguardando</v>
      </c>
      <c r="M22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45776</v>
      </c>
    </row>
    <row r="227" spans="1:13" x14ac:dyDescent="0.3">
      <c r="A227" t="str">
        <f t="shared" si="3"/>
        <v>T0226</v>
      </c>
      <c r="B227" s="1">
        <v>45775</v>
      </c>
      <c r="C227" t="str" cm="1">
        <f t="array" aca="1" ref="C227" ca="1">IF($O$7="Desbloqueado",
  _xlfn.LET(
    _xlpm.saldo_atual, SUM(($C$2:$C226="Entrada")*($F$2:$F226=Tabela_Movimentacao_Geral[[#This Row],[ID Produto]])*($H$2:$H226) - ($C$2:$C226="Saida")*($F$2:$F226=Tabela_Movimentacao_Geral[[#This Row],[ID Produto]])*($H$2:$H226)),
    IF(_xlpm.saldo_atual &gt; 0, IF(RANDBETWEEN(0,10)&gt;3,"Saida","Entrada"), "Entrada")
  ),
  Tabela_Movimentacao_Geral[[#This Row],[Tipo Fluxo]]
)</f>
        <v>Entrada</v>
      </c>
      <c r="D2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2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227" t="str">
        <f ca="1">IF(
  $O$7="Desbloqueado",
  "PROD"&amp;TEXT(RANDBETWEEN(1,200),"000"),
  Tabela_Movimentacao_Geral[[#This Row],[ID Produto]]
)</f>
        <v>PROD034</v>
      </c>
      <c r="G227" t="str">
        <f ca="1">_xlfn.XLOOKUP(Tabela_Movimentacao_Geral[[#This Row],[ID Produto]], Tabela_Produtos[ID_Produto],Tabela_Produtos[Descricao_Produto],"Produto não encontrado")</f>
        <v>Projetor Multimidia 4K</v>
      </c>
      <c r="H227" cm="1">
        <f t="array" aca="1" ref="H227" ca="1">IF(
   $O$7="Desbloqueado",
   _xlfn.LET(
     _xlpm.saldo_atual, SUM(($C$2:$C226="Entrada")*($F$2:$F226=Tabela_Movimentacao_Geral[[#This Row],[ID Produto]])*($H$2:$H226) - ($C$2:$C226="Saida")*($F$2:$F226=Tabela_Movimentacao_Geral[[#This Row],[ID Produto]])*($H$2:$H226)),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83</v>
      </c>
      <c r="I227" s="5">
        <f ca="1">_xlfn.XLOOKUP(Tabela_Movimentacao_Geral[[#This Row],[ID Produto]], Tabela_Produtos[ID_Produto],Tabela_Produtos[Preco_Unitario_Venda])</f>
        <v>4200</v>
      </c>
      <c r="J227" s="6">
        <f ca="1">Tabela_Movimentacao_Geral[[#This Row],[Quantidade]] * Tabela_Movimentacao_Geral[[#This Row],[Valor Unitário]]</f>
        <v>348600</v>
      </c>
      <c r="K227" t="str">
        <f ca="1">IF(
   $O$7="Desbloqueado",
   CHOOSE(RANDBETWEEN(1,3),"Pago","Pendente","Atrasado"),
   Tabela_Movimentacao_Geral[[#This Row],[Status Financeiro]]
)</f>
        <v>Pago</v>
      </c>
      <c r="L227" t="str">
        <f ca="1">IF(
   $O$7="Desbloqueado",
   CHOOSE(RANDBETWEEN(1,3),"Entregue","Em Rota","Aguardando"),
   Tabela_Movimentacao_Geral[[#This Row],[Status Logistico]]
)</f>
        <v>Em Rota</v>
      </c>
      <c r="M22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45776</v>
      </c>
    </row>
    <row r="228" spans="1:13" x14ac:dyDescent="0.3">
      <c r="A228" t="str">
        <f t="shared" si="3"/>
        <v>T0227</v>
      </c>
      <c r="B228" s="1">
        <v>45775</v>
      </c>
      <c r="C228" t="str" cm="1">
        <f t="array" aca="1" ref="C228" ca="1">IF($O$7="Desbloqueado",
  _xlfn.LET(
    _xlpm.saldo_atual, SUM(($C$2:$C227="Entrada")*($F$2:$F227=Tabela_Movimentacao_Geral[[#This Row],[ID Produto]])*($H$2:$H227) - ($C$2:$C227="Saida")*($F$2:$F227=Tabela_Movimentacao_Geral[[#This Row],[ID Produto]])*($H$2:$H227)),
    IF(_xlpm.saldo_atual &gt; 0, IF(RANDBETWEEN(0,10)&gt;3,"Saida","Entrada"), "Entrada")
  ),
  Tabela_Movimentacao_Geral[[#This Row],[Tipo Fluxo]]
)</f>
        <v>Entrada</v>
      </c>
      <c r="D2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2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228" t="str">
        <f ca="1">IF(
  $O$7="Desbloqueado",
  "PROD"&amp;TEXT(RANDBETWEEN(1,200),"000"),
  Tabela_Movimentacao_Geral[[#This Row],[ID Produto]]
)</f>
        <v>PROD129</v>
      </c>
      <c r="G228" t="str">
        <f ca="1">_xlfn.XLOOKUP(Tabela_Movimentacao_Geral[[#This Row],[ID Produto]], Tabela_Produtos[ID_Produto],Tabela_Produtos[Descricao_Produto],"Produto não encontrado")</f>
        <v>Mesa Digitalizadora Media</v>
      </c>
      <c r="H228" cm="1">
        <f t="array" aca="1" ref="H228" ca="1">IF(
   $O$7="Desbloqueado",
   _xlfn.LET(
     _xlpm.saldo_atual, SUM(($C$2:$C227="Entrada")*($F$2:$F227=Tabela_Movimentacao_Geral[[#This Row],[ID Produto]])*($H$2:$H227) - ($C$2:$C227="Saida")*($F$2:$F227=Tabela_Movimentacao_Geral[[#This Row],[ID Produto]])*($H$2:$H227)),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81</v>
      </c>
      <c r="I228" s="5">
        <f ca="1">_xlfn.XLOOKUP(Tabela_Movimentacao_Geral[[#This Row],[ID Produto]], Tabela_Produtos[ID_Produto],Tabela_Produtos[Preco_Unitario_Venda])</f>
        <v>650</v>
      </c>
      <c r="J228" s="6">
        <f ca="1">Tabela_Movimentacao_Geral[[#This Row],[Quantidade]] * Tabela_Movimentacao_Geral[[#This Row],[Valor Unitário]]</f>
        <v>52650</v>
      </c>
      <c r="K228" t="str">
        <f ca="1">IF(
   $O$7="Desbloqueado",
   CHOOSE(RANDBETWEEN(1,3),"Pago","Pendente","Atrasado"),
   Tabela_Movimentacao_Geral[[#This Row],[Status Financeiro]]
)</f>
        <v>Pendente</v>
      </c>
      <c r="L228" t="str">
        <f ca="1">IF(
   $O$7="Desbloqueado",
   CHOOSE(RANDBETWEEN(1,3),"Entregue","Em Rota","Aguardando"),
   Tabela_Movimentacao_Geral[[#This Row],[Status Logistico]]
)</f>
        <v>Entregue</v>
      </c>
      <c r="M22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45776</v>
      </c>
    </row>
    <row r="229" spans="1:13" x14ac:dyDescent="0.3">
      <c r="A229" t="str">
        <f t="shared" si="3"/>
        <v>T0228</v>
      </c>
      <c r="B229" s="1">
        <v>45776</v>
      </c>
      <c r="C229" t="str" cm="1">
        <f t="array" aca="1" ref="C229" ca="1">IF($O$7="Desbloqueado",
  _xlfn.LET(
    _xlpm.saldo_atual, SUM(($C$2:$C228="Entrada")*($F$2:$F228=Tabela_Movimentacao_Geral[[#This Row],[ID Produto]])*($H$2:$H228) - ($C$2:$C228="Saida")*($F$2:$F228=Tabela_Movimentacao_Geral[[#This Row],[ID Produto]])*($H$2:$H228)),
    IF(_xlpm.saldo_atual &gt; 0, IF(RANDBETWEEN(0,10)&gt;3,"Saida","Entrada"), "Entrada")
  ),
  Tabela_Movimentacao_Geral[[#This Row],[Tipo Fluxo]]
)</f>
        <v>Entrada</v>
      </c>
      <c r="D2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2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229" t="str">
        <f ca="1">IF(
  $O$7="Desbloqueado",
  "PROD"&amp;TEXT(RANDBETWEEN(1,200),"000"),
  Tabela_Movimentacao_Geral[[#This Row],[ID Produto]]
)</f>
        <v>PROD003</v>
      </c>
      <c r="G229" t="str">
        <f ca="1">_xlfn.XLOOKUP(Tabela_Movimentacao_Geral[[#This Row],[ID Produto]], Tabela_Produtos[ID_Produto],Tabela_Produtos[Descricao_Produto],"Produto não encontrado")</f>
        <v>Mouse Sem Fio Optico</v>
      </c>
      <c r="H229" cm="1">
        <f t="array" aca="1" ref="H229" ca="1">IF(
   $O$7="Desbloqueado",
   _xlfn.LET(
     _xlpm.saldo_atual, SUM(($C$2:$C228="Entrada")*($F$2:$F228=Tabela_Movimentacao_Geral[[#This Row],[ID Produto]])*($H$2:$H228) - ($C$2:$C228="Saida")*($F$2:$F228=Tabela_Movimentacao_Geral[[#This Row],[ID Produto]])*($H$2:$H228)),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112</v>
      </c>
      <c r="I229" s="5">
        <f ca="1">_xlfn.XLOOKUP(Tabela_Movimentacao_Geral[[#This Row],[ID Produto]], Tabela_Produtos[ID_Produto],Tabela_Produtos[Preco_Unitario_Venda])</f>
        <v>120</v>
      </c>
      <c r="J229" s="6">
        <f ca="1">Tabela_Movimentacao_Geral[[#This Row],[Quantidade]] * Tabela_Movimentacao_Geral[[#This Row],[Valor Unitário]]</f>
        <v>13440</v>
      </c>
      <c r="K229" t="str">
        <f ca="1">IF(
   $O$7="Desbloqueado",
   CHOOSE(RANDBETWEEN(1,3),"Pago","Pendente","Atrasado"),
   Tabela_Movimentacao_Geral[[#This Row],[Status Financeiro]]
)</f>
        <v>Pendente</v>
      </c>
      <c r="L229" t="str">
        <f ca="1">IF(
   $O$7="Desbloqueado",
   CHOOSE(RANDBETWEEN(1,3),"Entregue","Em Rota","Aguardando"),
   Tabela_Movimentacao_Geral[[#This Row],[Status Logistico]]
)</f>
        <v>Entregue</v>
      </c>
      <c r="M22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45782</v>
      </c>
    </row>
    <row r="230" spans="1:13" x14ac:dyDescent="0.3">
      <c r="A230" t="str">
        <f t="shared" si="3"/>
        <v>T0229</v>
      </c>
      <c r="B230" s="1">
        <v>45776</v>
      </c>
      <c r="C230" t="str" cm="1">
        <f t="array" aca="1" ref="C230" ca="1">IF($O$7="Desbloqueado",
  _xlfn.LET(
    _xlpm.saldo_atual, SUM(($C$2:$C229="Entrada")*($F$2:$F229=Tabela_Movimentacao_Geral[[#This Row],[ID Produto]])*($H$2:$H229) - ($C$2:$C229="Saida")*($F$2:$F229=Tabela_Movimentacao_Geral[[#This Row],[ID Produto]])*($H$2:$H229)),
    IF(_xlpm.saldo_atual &gt; 0, IF(RANDBETWEEN(0,10)&gt;3,"Saida","Entrada"), "Entrada")
  ),
  Tabela_Movimentacao_Geral[[#This Row],[Tipo Fluxo]]
)</f>
        <v>Saida</v>
      </c>
      <c r="D2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2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230" t="str">
        <f ca="1">IF(
  $O$7="Desbloqueado",
  "PROD"&amp;TEXT(RANDBETWEEN(1,200),"000"),
  Tabela_Movimentacao_Geral[[#This Row],[ID Produto]]
)</f>
        <v>PROD120</v>
      </c>
      <c r="G230" t="str">
        <f ca="1">_xlfn.XLOOKUP(Tabela_Movimentacao_Geral[[#This Row],[ID Produto]], Tabela_Produtos[ID_Produto],Tabela_Produtos[Descricao_Produto],"Produto não encontrado")</f>
        <v>Conversor de Midia Fibra</v>
      </c>
      <c r="H230" cm="1">
        <f t="array" aca="1" ref="H230" ca="1">IF(
   $O$7="Desbloqueado",
   _xlfn.LET(
     _xlpm.saldo_atual, SUM(($C$2:$C229="Entrada")*($F$2:$F229=Tabela_Movimentacao_Geral[[#This Row],[ID Produto]])*($H$2:$H229) - ($C$2:$C229="Saida")*($F$2:$F229=Tabela_Movimentacao_Geral[[#This Row],[ID Produto]])*($H$2:$H229)),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64</v>
      </c>
      <c r="I230" s="5">
        <f ca="1">_xlfn.XLOOKUP(Tabela_Movimentacao_Geral[[#This Row],[ID Produto]], Tabela_Produtos[ID_Produto],Tabela_Produtos[Preco_Unitario_Venda])</f>
        <v>320</v>
      </c>
      <c r="J230" s="6">
        <f ca="1">Tabela_Movimentacao_Geral[[#This Row],[Quantidade]] * Tabela_Movimentacao_Geral[[#This Row],[Valor Unitário]]</f>
        <v>20480</v>
      </c>
      <c r="K230" t="str">
        <f ca="1">IF(
   $O$7="Desbloqueado",
   CHOOSE(RANDBETWEEN(1,3),"Pago","Pendente","Atrasado"),
   Tabela_Movimentacao_Geral[[#This Row],[Status Financeiro]]
)</f>
        <v>Atrasado</v>
      </c>
      <c r="L230" t="str">
        <f ca="1">IF(
   $O$7="Desbloqueado",
   CHOOSE(RANDBETWEEN(1,3),"Entregue","Em Rota","Aguardando"),
   Tabela_Movimentacao_Geral[[#This Row],[Status Logistico]]
)</f>
        <v>Aguardando</v>
      </c>
      <c r="M23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31" spans="1:13" x14ac:dyDescent="0.3">
      <c r="A231" t="str">
        <f t="shared" si="3"/>
        <v>T0230</v>
      </c>
      <c r="B231" s="1">
        <v>45776</v>
      </c>
      <c r="C231" t="str" cm="1">
        <f t="array" aca="1" ref="C231" ca="1">IF($O$7="Desbloqueado",
  _xlfn.LET(
    _xlpm.saldo_atual, SUM(($C$2:$C230="Entrada")*($F$2:$F230=Tabela_Movimentacao_Geral[[#This Row],[ID Produto]])*($H$2:$H230) - ($C$2:$C230="Saida")*($F$2:$F230=Tabela_Movimentacao_Geral[[#This Row],[ID Produto]])*($H$2:$H230)),
    IF(_xlpm.saldo_atual &gt; 0, IF(RANDBETWEEN(0,10)&gt;3,"Saida","Entrada"), "Entrada")
  ),
  Tabela_Movimentacao_Geral[[#This Row],[Tipo Fluxo]]
)</f>
        <v>Entrada</v>
      </c>
      <c r="D2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2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231" t="str">
        <f ca="1">IF(
  $O$7="Desbloqueado",
  "PROD"&amp;TEXT(RANDBETWEEN(1,200),"000"),
  Tabela_Movimentacao_Geral[[#This Row],[ID Produto]]
)</f>
        <v>PROD183</v>
      </c>
      <c r="G231" t="str">
        <f ca="1">_xlfn.XLOOKUP(Tabela_Movimentacao_Geral[[#This Row],[ID Produto]], Tabela_Produtos[ID_Produto],Tabela_Produtos[Descricao_Produto],"Produto não encontrado")</f>
        <v>Placa de Rede Quad Port</v>
      </c>
      <c r="H231" cm="1">
        <f t="array" aca="1" ref="H231" ca="1">IF(
   $O$7="Desbloqueado",
   _xlfn.LET(
     _xlpm.saldo_atual, SUM(($C$2:$C230="Entrada")*($F$2:$F230=Tabela_Movimentacao_Geral[[#This Row],[ID Produto]])*($H$2:$H230) - ($C$2:$C230="Saida")*($F$2:$F230=Tabela_Movimentacao_Geral[[#This Row],[ID Produto]])*($H$2:$H230)),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52</v>
      </c>
      <c r="I231" s="5">
        <f ca="1">_xlfn.XLOOKUP(Tabela_Movimentacao_Geral[[#This Row],[ID Produto]], Tabela_Produtos[ID_Produto],Tabela_Produtos[Preco_Unitario_Venda])</f>
        <v>1200</v>
      </c>
      <c r="J231" s="6">
        <f ca="1">Tabela_Movimentacao_Geral[[#This Row],[Quantidade]] * Tabela_Movimentacao_Geral[[#This Row],[Valor Unitário]]</f>
        <v>62400</v>
      </c>
      <c r="K231" t="str">
        <f ca="1">IF(
   $O$7="Desbloqueado",
   CHOOSE(RANDBETWEEN(1,3),"Pago","Pendente","Atrasado"),
   Tabela_Movimentacao_Geral[[#This Row],[Status Financeiro]]
)</f>
        <v>Atrasado</v>
      </c>
      <c r="L231" t="str">
        <f ca="1">IF(
   $O$7="Desbloqueado",
   CHOOSE(RANDBETWEEN(1,3),"Entregue","Em Rota","Aguardando"),
   Tabela_Movimentacao_Geral[[#This Row],[Status Logistico]]
)</f>
        <v>Entregue</v>
      </c>
      <c r="M23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45778</v>
      </c>
    </row>
    <row r="232" spans="1:13" x14ac:dyDescent="0.3">
      <c r="A232" t="str">
        <f t="shared" si="3"/>
        <v>T0231</v>
      </c>
      <c r="B232" s="1">
        <v>45777</v>
      </c>
      <c r="C232" t="str" cm="1">
        <f t="array" aca="1" ref="C232" ca="1">IF($O$7="Desbloqueado",
  _xlfn.LET(
    _xlpm.saldo_atual, SUM(($C$2:$C231="Entrada")*($F$2:$F231=Tabela_Movimentacao_Geral[[#This Row],[ID Produto]])*($H$2:$H231) - ($C$2:$C231="Saida")*($F$2:$F231=Tabela_Movimentacao_Geral[[#This Row],[ID Produto]])*($H$2:$H231)),
    IF(_xlpm.saldo_atual &gt; 0, IF(RANDBETWEEN(0,10)&gt;3,"Saida","Entrada"), "Entrada")
  ),
  Tabela_Movimentacao_Geral[[#This Row],[Tipo Fluxo]]
)</f>
        <v>Entrada</v>
      </c>
      <c r="D2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2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232" t="str">
        <f ca="1">IF(
  $O$7="Desbloqueado",
  "PROD"&amp;TEXT(RANDBETWEEN(1,200),"000"),
  Tabela_Movimentacao_Geral[[#This Row],[ID Produto]]
)</f>
        <v>PROD151</v>
      </c>
      <c r="G232" t="str">
        <f ca="1">_xlfn.XLOOKUP(Tabela_Movimentacao_Geral[[#This Row],[ID Produto]], Tabela_Produtos[ID_Produto],Tabela_Produtos[Descricao_Produto],"Produto não encontrado")</f>
        <v>Papel Fotografico A4 20fls</v>
      </c>
      <c r="H232" cm="1">
        <f t="array" aca="1" ref="H232" ca="1">IF(
   $O$7="Desbloqueado",
   _xlfn.LET(
     _xlpm.saldo_atual, SUM(($C$2:$C231="Entrada")*($F$2:$F231=Tabela_Movimentacao_Geral[[#This Row],[ID Produto]])*($H$2:$H231) - ($C$2:$C231="Saida")*($F$2:$F231=Tabela_Movimentacao_Geral[[#This Row],[ID Produto]])*($H$2:$H231)),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98</v>
      </c>
      <c r="I232" s="5">
        <f ca="1">_xlfn.XLOOKUP(Tabela_Movimentacao_Geral[[#This Row],[ID Produto]], Tabela_Produtos[ID_Produto],Tabela_Produtos[Preco_Unitario_Venda])</f>
        <v>45</v>
      </c>
      <c r="J232" s="6">
        <f ca="1">Tabela_Movimentacao_Geral[[#This Row],[Quantidade]] * Tabela_Movimentacao_Geral[[#This Row],[Valor Unitário]]</f>
        <v>4410</v>
      </c>
      <c r="K232" t="str">
        <f ca="1">IF(
   $O$7="Desbloqueado",
   CHOOSE(RANDBETWEEN(1,3),"Pago","Pendente","Atrasado"),
   Tabela_Movimentacao_Geral[[#This Row],[Status Financeiro]]
)</f>
        <v>Pendente</v>
      </c>
      <c r="L232" t="str">
        <f ca="1">IF(
   $O$7="Desbloqueado",
   CHOOSE(RANDBETWEEN(1,3),"Entregue","Em Rota","Aguardando"),
   Tabela_Movimentacao_Geral[[#This Row],[Status Logistico]]
)</f>
        <v>Entregue</v>
      </c>
      <c r="M23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45782</v>
      </c>
    </row>
    <row r="233" spans="1:13" x14ac:dyDescent="0.3">
      <c r="A233" t="str">
        <f t="shared" si="3"/>
        <v>T0232</v>
      </c>
      <c r="B233" s="1">
        <v>45777</v>
      </c>
      <c r="C233" t="str" cm="1">
        <f t="array" aca="1" ref="C233" ca="1">IF($O$7="Desbloqueado",
  _xlfn.LET(
    _xlpm.saldo_atual, SUM(($C$2:$C232="Entrada")*($F$2:$F232=Tabela_Movimentacao_Geral[[#This Row],[ID Produto]])*($H$2:$H232) - ($C$2:$C232="Saida")*($F$2:$F232=Tabela_Movimentacao_Geral[[#This Row],[ID Produto]])*($H$2:$H232)),
    IF(_xlpm.saldo_atual &gt; 0, IF(RANDBETWEEN(0,10)&gt;3,"Saida","Entrada"), "Entrada")
  ),
  Tabela_Movimentacao_Geral[[#This Row],[Tipo Fluxo]]
)</f>
        <v>Saida</v>
      </c>
      <c r="D2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2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33" t="str">
        <f ca="1">IF(
  $O$7="Desbloqueado",
  "PROD"&amp;TEXT(RANDBETWEEN(1,200),"000"),
  Tabela_Movimentacao_Geral[[#This Row],[ID Produto]]
)</f>
        <v>PROD034</v>
      </c>
      <c r="G233" t="str">
        <f ca="1">_xlfn.XLOOKUP(Tabela_Movimentacao_Geral[[#This Row],[ID Produto]], Tabela_Produtos[ID_Produto],Tabela_Produtos[Descricao_Produto],"Produto não encontrado")</f>
        <v>Projetor Multimidia 4K</v>
      </c>
      <c r="H233" cm="1">
        <f t="array" aca="1" ref="H233" ca="1">IF(
   $O$7="Desbloqueado",
   _xlfn.LET(
     _xlpm.saldo_atual, SUM(($C$2:$C232="Entrada")*($F$2:$F232=Tabela_Movimentacao_Geral[[#This Row],[ID Produto]])*($H$2:$H232) - ($C$2:$C232="Saida")*($F$2:$F232=Tabela_Movimentacao_Geral[[#This Row],[ID Produto]])*($H$2:$H232)),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41</v>
      </c>
      <c r="I233" s="5">
        <f ca="1">_xlfn.XLOOKUP(Tabela_Movimentacao_Geral[[#This Row],[ID Produto]], Tabela_Produtos[ID_Produto],Tabela_Produtos[Preco_Unitario_Venda])</f>
        <v>4200</v>
      </c>
      <c r="J233" s="6">
        <f ca="1">Tabela_Movimentacao_Geral[[#This Row],[Quantidade]] * Tabela_Movimentacao_Geral[[#This Row],[Valor Unitário]]</f>
        <v>172200</v>
      </c>
      <c r="K233" t="str">
        <f ca="1">IF(
   $O$7="Desbloqueado",
   CHOOSE(RANDBETWEEN(1,3),"Pago","Pendente","Atrasado"),
   Tabela_Movimentacao_Geral[[#This Row],[Status Financeiro]]
)</f>
        <v>Pago</v>
      </c>
      <c r="L233" t="str">
        <f ca="1">IF(
   $O$7="Desbloqueado",
   CHOOSE(RANDBETWEEN(1,3),"Entregue","Em Rota","Aguardando"),
   Tabela_Movimentacao_Geral[[#This Row],[Status Logistico]]
)</f>
        <v>Entregue</v>
      </c>
      <c r="M23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34" spans="1:13" x14ac:dyDescent="0.3">
      <c r="A234" t="str">
        <f t="shared" si="3"/>
        <v>T0233</v>
      </c>
      <c r="B234" s="1">
        <v>45777</v>
      </c>
      <c r="C234" t="str" cm="1">
        <f t="array" aca="1" ref="C234" ca="1">IF($O$7="Desbloqueado",
  _xlfn.LET(
    _xlpm.saldo_atual, SUM(($C$2:$C233="Entrada")*($F$2:$F233=Tabela_Movimentacao_Geral[[#This Row],[ID Produto]])*($H$2:$H233) - ($C$2:$C233="Saida")*($F$2:$F233=Tabela_Movimentacao_Geral[[#This Row],[ID Produto]])*($H$2:$H233)),
    IF(_xlpm.saldo_atual &gt; 0, IF(RANDBETWEEN(0,10)&gt;3,"Saida","Entrada"), "Entrada")
  ),
  Tabela_Movimentacao_Geral[[#This Row],[Tipo Fluxo]]
)</f>
        <v>Saida</v>
      </c>
      <c r="D2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2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234" t="str">
        <f ca="1">IF(
  $O$7="Desbloqueado",
  "PROD"&amp;TEXT(RANDBETWEEN(1,200),"000"),
  Tabela_Movimentacao_Geral[[#This Row],[ID Produto]]
)</f>
        <v>PROD185</v>
      </c>
      <c r="G234" t="str">
        <f ca="1">_xlfn.XLOOKUP(Tabela_Movimentacao_Geral[[#This Row],[ID Produto]], Tabela_Produtos[ID_Produto],Tabela_Produtos[Descricao_Produto],"Produto não encontrado")</f>
        <v>PDU Básica 12 Tomadas</v>
      </c>
      <c r="H234" cm="1">
        <f t="array" aca="1" ref="H234" ca="1">IF(
   $O$7="Desbloqueado",
   _xlfn.LET(
     _xlpm.saldo_atual, SUM(($C$2:$C233="Entrada")*($F$2:$F233=Tabela_Movimentacao_Geral[[#This Row],[ID Produto]])*($H$2:$H233) - ($C$2:$C233="Saida")*($F$2:$F233=Tabela_Movimentacao_Geral[[#This Row],[ID Produto]])*($H$2:$H233)),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234" s="5">
        <f ca="1">_xlfn.XLOOKUP(Tabela_Movimentacao_Geral[[#This Row],[ID Produto]], Tabela_Produtos[ID_Produto],Tabela_Produtos[Preco_Unitario_Venda])</f>
        <v>380</v>
      </c>
      <c r="J234" s="6">
        <f ca="1">Tabela_Movimentacao_Geral[[#This Row],[Quantidade]] * Tabela_Movimentacao_Geral[[#This Row],[Valor Unitário]]</f>
        <v>17100</v>
      </c>
      <c r="K234" t="str">
        <f ca="1">IF(
   $O$7="Desbloqueado",
   CHOOSE(RANDBETWEEN(1,3),"Pago","Pendente","Atrasado"),
   Tabela_Movimentacao_Geral[[#This Row],[Status Financeiro]]
)</f>
        <v>Pago</v>
      </c>
      <c r="L234" t="str">
        <f ca="1">IF(
   $O$7="Desbloqueado",
   CHOOSE(RANDBETWEEN(1,3),"Entregue","Em Rota","Aguardando"),
   Tabela_Movimentacao_Geral[[#This Row],[Status Logistico]]
)</f>
        <v>Aguardando</v>
      </c>
      <c r="M2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35" spans="1:13" x14ac:dyDescent="0.3">
      <c r="A235" t="str">
        <f t="shared" si="3"/>
        <v>T0234</v>
      </c>
      <c r="B235" s="1">
        <v>45777</v>
      </c>
      <c r="C235" t="str" cm="1">
        <f t="array" aca="1" ref="C235" ca="1">IF($O$7="Desbloqueado",
  _xlfn.LET(
    _xlpm.saldo_atual, SUM(($C$2:$C234="Entrada")*($F$2:$F234=Tabela_Movimentacao_Geral[[#This Row],[ID Produto]])*($H$2:$H234) - ($C$2:$C234="Saida")*($F$2:$F234=Tabela_Movimentacao_Geral[[#This Row],[ID Produto]])*($H$2:$H234)),
    IF(_xlpm.saldo_atual &gt; 0, IF(RANDBETWEEN(0,10)&gt;3,"Saida","Entrada"), "Entrada")
  ),
  Tabela_Movimentacao_Geral[[#This Row],[Tipo Fluxo]]
)</f>
        <v>Saida</v>
      </c>
      <c r="D2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2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235" t="str">
        <f ca="1">IF(
  $O$7="Desbloqueado",
  "PROD"&amp;TEXT(RANDBETWEEN(1,200),"000"),
  Tabela_Movimentacao_Geral[[#This Row],[ID Produto]]
)</f>
        <v>PROD013</v>
      </c>
      <c r="G235" t="str">
        <f ca="1">_xlfn.XLOOKUP(Tabela_Movimentacao_Geral[[#This Row],[ID Produto]], Tabela_Produtos[ID_Produto],Tabela_Produtos[Descricao_Produto],"Produto não encontrado")</f>
        <v>Headset com Microfone</v>
      </c>
      <c r="H235" cm="1">
        <f t="array" aca="1" ref="H235" ca="1">IF(
   $O$7="Desbloqueado",
   _xlfn.LET(
     _xlpm.saldo_atual, SUM(($C$2:$C234="Entrada")*($F$2:$F234=Tabela_Movimentacao_Geral[[#This Row],[ID Produto]])*($H$2:$H234) - ($C$2:$C234="Saida")*($F$2:$F234=Tabela_Movimentacao_Geral[[#This Row],[ID Produto]])*($H$2:$H234)),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235" s="5">
        <f ca="1">_xlfn.XLOOKUP(Tabela_Movimentacao_Geral[[#This Row],[ID Produto]], Tabela_Produtos[ID_Produto],Tabela_Produtos[Preco_Unitario_Venda])</f>
        <v>180</v>
      </c>
      <c r="J235" s="6">
        <f ca="1">Tabela_Movimentacao_Geral[[#This Row],[Quantidade]] * Tabela_Movimentacao_Geral[[#This Row],[Valor Unitário]]</f>
        <v>11880</v>
      </c>
      <c r="K235" t="str">
        <f ca="1">IF(
   $O$7="Desbloqueado",
   CHOOSE(RANDBETWEEN(1,3),"Pago","Pendente","Atrasado"),
   Tabela_Movimentacao_Geral[[#This Row],[Status Financeiro]]
)</f>
        <v>Atrasado</v>
      </c>
      <c r="L235" t="str">
        <f ca="1">IF(
   $O$7="Desbloqueado",
   CHOOSE(RANDBETWEEN(1,3),"Entregue","Em Rota","Aguardando"),
   Tabela_Movimentacao_Geral[[#This Row],[Status Logistico]]
)</f>
        <v>Em Rota</v>
      </c>
      <c r="M23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36" spans="1:13" x14ac:dyDescent="0.3">
      <c r="A236" t="str">
        <f t="shared" si="3"/>
        <v>T0235</v>
      </c>
      <c r="B236" s="1">
        <v>45777</v>
      </c>
      <c r="C236" t="str" cm="1">
        <f t="array" aca="1" ref="C236" ca="1">IF($O$7="Desbloqueado",
  _xlfn.LET(
    _xlpm.saldo_atual, SUM(($C$2:$C235="Entrada")*($F$2:$F235=Tabela_Movimentacao_Geral[[#This Row],[ID Produto]])*($H$2:$H235) - ($C$2:$C235="Saida")*($F$2:$F235=Tabela_Movimentacao_Geral[[#This Row],[ID Produto]])*($H$2:$H235)),
    IF(_xlpm.saldo_atual &gt; 0, IF(RANDBETWEEN(0,10)&gt;3,"Saida","Entrada"), "Entrada")
  ),
  Tabela_Movimentacao_Geral[[#This Row],[Tipo Fluxo]]
)</f>
        <v>Entrada</v>
      </c>
      <c r="D2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2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236" t="str">
        <f ca="1">IF(
  $O$7="Desbloqueado",
  "PROD"&amp;TEXT(RANDBETWEEN(1,200),"000"),
  Tabela_Movimentacao_Geral[[#This Row],[ID Produto]]
)</f>
        <v>PROD126</v>
      </c>
      <c r="G236" t="str">
        <f ca="1">_xlfn.XLOOKUP(Tabela_Movimentacao_Geral[[#This Row],[ID Produto]], Tabela_Produtos[ID_Produto],Tabela_Produtos[Descricao_Produto],"Produto não encontrado")</f>
        <v>Mouse Ergonomico Vertical</v>
      </c>
      <c r="H236" cm="1">
        <f t="array" aca="1" ref="H236" ca="1">IF(
   $O$7="Desbloqueado",
   _xlfn.LET(
     _xlpm.saldo_atual, SUM(($C$2:$C235="Entrada")*($F$2:$F235=Tabela_Movimentacao_Geral[[#This Row],[ID Produto]])*($H$2:$H235) - ($C$2:$C235="Saida")*($F$2:$F235=Tabela_Movimentacao_Geral[[#This Row],[ID Produto]])*($H$2:$H235)),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236" s="5">
        <f ca="1">_xlfn.XLOOKUP(Tabela_Movimentacao_Geral[[#This Row],[ID Produto]], Tabela_Produtos[ID_Produto],Tabela_Produtos[Preco_Unitario_Venda])</f>
        <v>280</v>
      </c>
      <c r="J236" s="6">
        <f ca="1">Tabela_Movimentacao_Geral[[#This Row],[Quantidade]] * Tabela_Movimentacao_Geral[[#This Row],[Valor Unitário]]</f>
        <v>5040</v>
      </c>
      <c r="K236" t="str">
        <f ca="1">IF(
   $O$7="Desbloqueado",
   CHOOSE(RANDBETWEEN(1,3),"Pago","Pendente","Atrasado"),
   Tabela_Movimentacao_Geral[[#This Row],[Status Financeiro]]
)</f>
        <v>Pago</v>
      </c>
      <c r="L236" t="str">
        <f ca="1">IF(
   $O$7="Desbloqueado",
   CHOOSE(RANDBETWEEN(1,3),"Entregue","Em Rota","Aguardando"),
   Tabela_Movimentacao_Geral[[#This Row],[Status Logistico]]
)</f>
        <v>Entregue</v>
      </c>
      <c r="M23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45789</v>
      </c>
    </row>
    <row r="237" spans="1:13" x14ac:dyDescent="0.3">
      <c r="A237" t="str">
        <f t="shared" si="3"/>
        <v>T0236</v>
      </c>
      <c r="B237" s="1">
        <v>45778</v>
      </c>
      <c r="C237" t="str" cm="1">
        <f t="array" aca="1" ref="C237" ca="1">IF($O$7="Desbloqueado",
  _xlfn.LET(
    _xlpm.saldo_atual, SUM(($C$2:$C236="Entrada")*($F$2:$F236=Tabela_Movimentacao_Geral[[#This Row],[ID Produto]])*($H$2:$H236) - ($C$2:$C236="Saida")*($F$2:$F236=Tabela_Movimentacao_Geral[[#This Row],[ID Produto]])*($H$2:$H236)),
    IF(_xlpm.saldo_atual &gt; 0, IF(RANDBETWEEN(0,10)&gt;3,"Saida","Entrada"), "Entrada")
  ),
  Tabela_Movimentacao_Geral[[#This Row],[Tipo Fluxo]]
)</f>
        <v>Saida</v>
      </c>
      <c r="D2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2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237" t="str">
        <f ca="1">IF(
  $O$7="Desbloqueado",
  "PROD"&amp;TEXT(RANDBETWEEN(1,200),"000"),
  Tabela_Movimentacao_Geral[[#This Row],[ID Produto]]
)</f>
        <v>PROD054</v>
      </c>
      <c r="G237" t="str">
        <f ca="1">_xlfn.XLOOKUP(Tabela_Movimentacao_Geral[[#This Row],[ID Produto]], Tabela_Produtos[ID_Produto],Tabela_Produtos[Descricao_Produto],"Produto não encontrado")</f>
        <v>Caixa de Grampos 26/6</v>
      </c>
      <c r="H237" cm="1">
        <f t="array" aca="1" ref="H237" ca="1">IF(
   $O$7="Desbloqueado",
   _xlfn.LET(
     _xlpm.saldo_atual, SUM(($C$2:$C236="Entrada")*($F$2:$F236=Tabela_Movimentacao_Geral[[#This Row],[ID Produto]])*($H$2:$H236) - ($C$2:$C236="Saida")*($F$2:$F236=Tabela_Movimentacao_Geral[[#This Row],[ID Produto]])*($H$2:$H236)),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237" s="5">
        <f ca="1">_xlfn.XLOOKUP(Tabela_Movimentacao_Geral[[#This Row],[ID Produto]], Tabela_Produtos[ID_Produto],Tabela_Produtos[Preco_Unitario_Venda])</f>
        <v>8</v>
      </c>
      <c r="J237" s="6">
        <f ca="1">Tabela_Movimentacao_Geral[[#This Row],[Quantidade]] * Tabela_Movimentacao_Geral[[#This Row],[Valor Unitário]]</f>
        <v>112</v>
      </c>
      <c r="K237" t="str">
        <f ca="1">IF(
   $O$7="Desbloqueado",
   CHOOSE(RANDBETWEEN(1,3),"Pago","Pendente","Atrasado"),
   Tabela_Movimentacao_Geral[[#This Row],[Status Financeiro]]
)</f>
        <v>Pago</v>
      </c>
      <c r="L237" t="str">
        <f ca="1">IF(
   $O$7="Desbloqueado",
   CHOOSE(RANDBETWEEN(1,3),"Entregue","Em Rota","Aguardando"),
   Tabela_Movimentacao_Geral[[#This Row],[Status Logistico]]
)</f>
        <v>Em Rota</v>
      </c>
      <c r="M23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38" spans="1:13" x14ac:dyDescent="0.3">
      <c r="A238" t="str">
        <f t="shared" si="3"/>
        <v>T0237</v>
      </c>
      <c r="B238" s="1">
        <v>45778</v>
      </c>
      <c r="C238" t="str" cm="1">
        <f t="array" aca="1" ref="C238" ca="1">IF($O$7="Desbloqueado",
  _xlfn.LET(
    _xlpm.saldo_atual, SUM(($C$2:$C237="Entrada")*($F$2:$F237=Tabela_Movimentacao_Geral[[#This Row],[ID Produto]])*($H$2:$H237) - ($C$2:$C237="Saida")*($F$2:$F237=Tabela_Movimentacao_Geral[[#This Row],[ID Produto]])*($H$2:$H237)),
    IF(_xlpm.saldo_atual &gt; 0, IF(RANDBETWEEN(0,10)&gt;3,"Saida","Entrada"), "Entrada")
  ),
  Tabela_Movimentacao_Geral[[#This Row],[Tipo Fluxo]]
)</f>
        <v>Saida</v>
      </c>
      <c r="D2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2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238" t="str">
        <f ca="1">IF(
  $O$7="Desbloqueado",
  "PROD"&amp;TEXT(RANDBETWEEN(1,200),"000"),
  Tabela_Movimentacao_Geral[[#This Row],[ID Produto]]
)</f>
        <v>PROD012</v>
      </c>
      <c r="G238" t="str">
        <f ca="1">_xlfn.XLOOKUP(Tabela_Movimentacao_Geral[[#This Row],[ID Produto]], Tabela_Produtos[ID_Produto],Tabela_Produtos[Descricao_Produto],"Produto não encontrado")</f>
        <v>Webcam 1080p Business</v>
      </c>
      <c r="H238" cm="1">
        <f t="array" aca="1" ref="H238" ca="1">IF(
   $O$7="Desbloqueado",
   _xlfn.LET(
     _xlpm.saldo_atual, SUM(($C$2:$C237="Entrada")*($F$2:$F237=Tabela_Movimentacao_Geral[[#This Row],[ID Produto]])*($H$2:$H237) - ($C$2:$C237="Saida")*($F$2:$F237=Tabela_Movimentacao_Geral[[#This Row],[ID Produto]])*($H$2:$H237)),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238" s="5">
        <f ca="1">_xlfn.XLOOKUP(Tabela_Movimentacao_Geral[[#This Row],[ID Produto]], Tabela_Produtos[ID_Produto],Tabela_Produtos[Preco_Unitario_Venda])</f>
        <v>450</v>
      </c>
      <c r="J238" s="6">
        <f ca="1">Tabela_Movimentacao_Geral[[#This Row],[Quantidade]] * Tabela_Movimentacao_Geral[[#This Row],[Valor Unitário]]</f>
        <v>1800</v>
      </c>
      <c r="K238" t="str">
        <f ca="1">IF(
   $O$7="Desbloqueado",
   CHOOSE(RANDBETWEEN(1,3),"Pago","Pendente","Atrasado"),
   Tabela_Movimentacao_Geral[[#This Row],[Status Financeiro]]
)</f>
        <v>Pago</v>
      </c>
      <c r="L238" t="str">
        <f ca="1">IF(
   $O$7="Desbloqueado",
   CHOOSE(RANDBETWEEN(1,3),"Entregue","Em Rota","Aguardando"),
   Tabela_Movimentacao_Geral[[#This Row],[Status Logistico]]
)</f>
        <v>Aguardando</v>
      </c>
      <c r="M2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39" spans="1:13" x14ac:dyDescent="0.3">
      <c r="A239" t="str">
        <f t="shared" si="3"/>
        <v>T0238</v>
      </c>
      <c r="B239" s="1">
        <v>45778</v>
      </c>
      <c r="C239" t="str" cm="1">
        <f t="array" aca="1" ref="C239" ca="1">IF($O$7="Desbloqueado",
  _xlfn.LET(
    _xlpm.saldo_atual, SUM(($C$2:$C238="Entrada")*($F$2:$F238=Tabela_Movimentacao_Geral[[#This Row],[ID Produto]])*($H$2:$H238) - ($C$2:$C238="Saida")*($F$2:$F238=Tabela_Movimentacao_Geral[[#This Row],[ID Produto]])*($H$2:$H238)),
    IF(_xlpm.saldo_atual &gt; 0, IF(RANDBETWEEN(0,10)&gt;3,"Saida","Entrada"), "Entrada")
  ),
  Tabela_Movimentacao_Geral[[#This Row],[Tipo Fluxo]]
)</f>
        <v>Entrada</v>
      </c>
      <c r="D2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2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239" t="str">
        <f ca="1">IF(
  $O$7="Desbloqueado",
  "PROD"&amp;TEXT(RANDBETWEEN(1,200),"000"),
  Tabela_Movimentacao_Geral[[#This Row],[ID Produto]]
)</f>
        <v>PROD116</v>
      </c>
      <c r="G239" t="str">
        <f ca="1">_xlfn.XLOOKUP(Tabela_Movimentacao_Geral[[#This Row],[ID Produto]], Tabela_Produtos[ID_Produto],Tabela_Produtos[Descricao_Produto],"Produto não encontrado")</f>
        <v>Protetor Eletronico 8 Tom</v>
      </c>
      <c r="H239" cm="1">
        <f t="array" aca="1" ref="H239" ca="1">IF(
   $O$7="Desbloqueado",
   _xlfn.LET(
     _xlpm.saldo_atual, SUM(($C$2:$C238="Entrada")*($F$2:$F238=Tabela_Movimentacao_Geral[[#This Row],[ID Produto]])*($H$2:$H238) - ($C$2:$C238="Saida")*($F$2:$F238=Tabela_Movimentacao_Geral[[#This Row],[ID Produto]])*($H$2:$H238)),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125</v>
      </c>
      <c r="I239" s="5">
        <f ca="1">_xlfn.XLOOKUP(Tabela_Movimentacao_Geral[[#This Row],[ID Produto]], Tabela_Produtos[ID_Produto],Tabela_Produtos[Preco_Unitario_Venda])</f>
        <v>85</v>
      </c>
      <c r="J239" s="6">
        <f ca="1">Tabela_Movimentacao_Geral[[#This Row],[Quantidade]] * Tabela_Movimentacao_Geral[[#This Row],[Valor Unitário]]</f>
        <v>10625</v>
      </c>
      <c r="K239" t="str">
        <f ca="1">IF(
   $O$7="Desbloqueado",
   CHOOSE(RANDBETWEEN(1,3),"Pago","Pendente","Atrasado"),
   Tabela_Movimentacao_Geral[[#This Row],[Status Financeiro]]
)</f>
        <v>Atrasado</v>
      </c>
      <c r="L239" t="str">
        <f ca="1">IF(
   $O$7="Desbloqueado",
   CHOOSE(RANDBETWEEN(1,3),"Entregue","Em Rota","Aguardando"),
   Tabela_Movimentacao_Geral[[#This Row],[Status Logistico]]
)</f>
        <v>Aguardando</v>
      </c>
      <c r="M23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45780</v>
      </c>
    </row>
    <row r="240" spans="1:13" x14ac:dyDescent="0.3">
      <c r="A240" t="str">
        <f t="shared" si="3"/>
        <v>T0239</v>
      </c>
      <c r="B240" s="1">
        <v>45779</v>
      </c>
      <c r="C240" t="str" cm="1">
        <f t="array" aca="1" ref="C240" ca="1">IF($O$7="Desbloqueado",
  _xlfn.LET(
    _xlpm.saldo_atual, SUM(($C$2:$C239="Entrada")*($F$2:$F239=Tabela_Movimentacao_Geral[[#This Row],[ID Produto]])*($H$2:$H239) - ($C$2:$C239="Saida")*($F$2:$F239=Tabela_Movimentacao_Geral[[#This Row],[ID Produto]])*($H$2:$H239)),
    IF(_xlpm.saldo_atual &gt; 0, IF(RANDBETWEEN(0,10)&gt;3,"Saida","Entrada"), "Entrada")
  ),
  Tabela_Movimentacao_Geral[[#This Row],[Tipo Fluxo]]
)</f>
        <v>Saida</v>
      </c>
      <c r="D2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2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240" t="str">
        <f ca="1">IF(
  $O$7="Desbloqueado",
  "PROD"&amp;TEXT(RANDBETWEEN(1,200),"000"),
  Tabela_Movimentacao_Geral[[#This Row],[ID Produto]]
)</f>
        <v>PROD051</v>
      </c>
      <c r="G240" t="str">
        <f ca="1">_xlfn.XLOOKUP(Tabela_Movimentacao_Geral[[#This Row],[ID Produto]], Tabela_Produtos[ID_Produto],Tabela_Produtos[Descricao_Produto],"Produto não encontrado")</f>
        <v>Papel A4 Report 500fls</v>
      </c>
      <c r="H240" cm="1">
        <f t="array" aca="1" ref="H240" ca="1">IF(
   $O$7="Desbloqueado",
   _xlfn.LET(
     _xlpm.saldo_atual, SUM(($C$2:$C239="Entrada")*($F$2:$F239=Tabela_Movimentacao_Geral[[#This Row],[ID Produto]])*($H$2:$H239) - ($C$2:$C239="Saida")*($F$2:$F239=Tabela_Movimentacao_Geral[[#This Row],[ID Produto]])*($H$2:$H239)),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240" s="5">
        <f ca="1">_xlfn.XLOOKUP(Tabela_Movimentacao_Geral[[#This Row],[ID Produto]], Tabela_Produtos[ID_Produto],Tabela_Produtos[Preco_Unitario_Venda])</f>
        <v>28</v>
      </c>
      <c r="J240" s="6">
        <f ca="1">Tabela_Movimentacao_Geral[[#This Row],[Quantidade]] * Tabela_Movimentacao_Geral[[#This Row],[Valor Unitário]]</f>
        <v>868</v>
      </c>
      <c r="K240" t="str">
        <f ca="1">IF(
   $O$7="Desbloqueado",
   CHOOSE(RANDBETWEEN(1,3),"Pago","Pendente","Atrasado"),
   Tabela_Movimentacao_Geral[[#This Row],[Status Financeiro]]
)</f>
        <v>Atrasado</v>
      </c>
      <c r="L240" t="str">
        <f ca="1">IF(
   $O$7="Desbloqueado",
   CHOOSE(RANDBETWEEN(1,3),"Entregue","Em Rota","Aguardando"),
   Tabela_Movimentacao_Geral[[#This Row],[Status Logistico]]
)</f>
        <v>Em Rota</v>
      </c>
      <c r="M24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41" spans="1:13" x14ac:dyDescent="0.3">
      <c r="A241" t="str">
        <f t="shared" si="3"/>
        <v>T0240</v>
      </c>
      <c r="B241" s="1">
        <v>45780</v>
      </c>
      <c r="C241" t="str" cm="1">
        <f t="array" aca="1" ref="C241" ca="1">IF($O$7="Desbloqueado",
  _xlfn.LET(
    _xlpm.saldo_atual, SUM(($C$2:$C240="Entrada")*($F$2:$F240=Tabela_Movimentacao_Geral[[#This Row],[ID Produto]])*($H$2:$H240) - ($C$2:$C240="Saida")*($F$2:$F240=Tabela_Movimentacao_Geral[[#This Row],[ID Produto]])*($H$2:$H240)),
    IF(_xlpm.saldo_atual &gt; 0, IF(RANDBETWEEN(0,10)&gt;3,"Saida","Entrada"), "Entrada")
  ),
  Tabela_Movimentacao_Geral[[#This Row],[Tipo Fluxo]]
)</f>
        <v>Saida</v>
      </c>
      <c r="D2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2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241" t="str">
        <f ca="1">IF(
  $O$7="Desbloqueado",
  "PROD"&amp;TEXT(RANDBETWEEN(1,200),"000"),
  Tabela_Movimentacao_Geral[[#This Row],[ID Produto]]
)</f>
        <v>PROD184</v>
      </c>
      <c r="G241" t="str">
        <f ca="1">_xlfn.XLOOKUP(Tabela_Movimentacao_Geral[[#This Row],[ID Produto]], Tabela_Produtos[ID_Produto],Tabela_Produtos[Descricao_Produto],"Produto não encontrado")</f>
        <v>Cabo Serial Console</v>
      </c>
      <c r="H241" cm="1">
        <f t="array" aca="1" ref="H241" ca="1">IF(
   $O$7="Desbloqueado",
   _xlfn.LET(
     _xlpm.saldo_atual, SUM(($C$2:$C240="Entrada")*($F$2:$F240=Tabela_Movimentacao_Geral[[#This Row],[ID Produto]])*($H$2:$H240) - ($C$2:$C240="Saida")*($F$2:$F240=Tabela_Movimentacao_Geral[[#This Row],[ID Produto]])*($H$2:$H240)),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241" s="5">
        <f ca="1">_xlfn.XLOOKUP(Tabela_Movimentacao_Geral[[#This Row],[ID Produto]], Tabela_Produtos[ID_Produto],Tabela_Produtos[Preco_Unitario_Venda])</f>
        <v>45</v>
      </c>
      <c r="J241" s="6">
        <f ca="1">Tabela_Movimentacao_Geral[[#This Row],[Quantidade]] * Tabela_Movimentacao_Geral[[#This Row],[Valor Unitário]]</f>
        <v>2115</v>
      </c>
      <c r="K241" t="str">
        <f ca="1">IF(
   $O$7="Desbloqueado",
   CHOOSE(RANDBETWEEN(1,3),"Pago","Pendente","Atrasado"),
   Tabela_Movimentacao_Geral[[#This Row],[Status Financeiro]]
)</f>
        <v>Pago</v>
      </c>
      <c r="L241" t="str">
        <f ca="1">IF(
   $O$7="Desbloqueado",
   CHOOSE(RANDBETWEEN(1,3),"Entregue","Em Rota","Aguardando"),
   Tabela_Movimentacao_Geral[[#This Row],[Status Logistico]]
)</f>
        <v>Aguardando</v>
      </c>
      <c r="M24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42" spans="1:13" x14ac:dyDescent="0.3">
      <c r="A242" t="str">
        <f t="shared" si="3"/>
        <v>T0241</v>
      </c>
      <c r="B242" s="1">
        <v>45780</v>
      </c>
      <c r="C242" t="str" cm="1">
        <f t="array" aca="1" ref="C242" ca="1">IF($O$7="Desbloqueado",
  _xlfn.LET(
    _xlpm.saldo_atual, SUM(($C$2:$C241="Entrada")*($F$2:$F241=Tabela_Movimentacao_Geral[[#This Row],[ID Produto]])*($H$2:$H241) - ($C$2:$C241="Saida")*($F$2:$F241=Tabela_Movimentacao_Geral[[#This Row],[ID Produto]])*($H$2:$H241)),
    IF(_xlpm.saldo_atual &gt; 0, IF(RANDBETWEEN(0,10)&gt;3,"Saida","Entrada"), "Entrada")
  ),
  Tabela_Movimentacao_Geral[[#This Row],[Tipo Fluxo]]
)</f>
        <v>Entrada</v>
      </c>
      <c r="D2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2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242" t="str">
        <f ca="1">IF(
  $O$7="Desbloqueado",
  "PROD"&amp;TEXT(RANDBETWEEN(1,200),"000"),
  Tabela_Movimentacao_Geral[[#This Row],[ID Produto]]
)</f>
        <v>PROD180</v>
      </c>
      <c r="G242" t="str">
        <f ca="1">_xlfn.XLOOKUP(Tabela_Movimentacao_Geral[[#This Row],[ID Produto]], Tabela_Produtos[ID_Produto],Tabela_Produtos[Descricao_Produto],"Produto não encontrado")</f>
        <v>Gaveteiro 3 Gavetas</v>
      </c>
      <c r="H242" cm="1">
        <f t="array" aca="1" ref="H242" ca="1">IF(
   $O$7="Desbloqueado",
   _xlfn.LET(
     _xlpm.saldo_atual, SUM(($C$2:$C241="Entrada")*($F$2:$F241=Tabela_Movimentacao_Geral[[#This Row],[ID Produto]])*($H$2:$H241) - ($C$2:$C241="Saida")*($F$2:$F241=Tabela_Movimentacao_Geral[[#This Row],[ID Produto]])*($H$2:$H241)),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67</v>
      </c>
      <c r="I242" s="5">
        <f ca="1">_xlfn.XLOOKUP(Tabela_Movimentacao_Geral[[#This Row],[ID Produto]], Tabela_Produtos[ID_Produto],Tabela_Produtos[Preco_Unitario_Venda])</f>
        <v>450</v>
      </c>
      <c r="J242" s="6">
        <f ca="1">Tabela_Movimentacao_Geral[[#This Row],[Quantidade]] * Tabela_Movimentacao_Geral[[#This Row],[Valor Unitário]]</f>
        <v>30150</v>
      </c>
      <c r="K242" t="str">
        <f ca="1">IF(
   $O$7="Desbloqueado",
   CHOOSE(RANDBETWEEN(1,3),"Pago","Pendente","Atrasado"),
   Tabela_Movimentacao_Geral[[#This Row],[Status Financeiro]]
)</f>
        <v>Atrasado</v>
      </c>
      <c r="L242" t="str">
        <f ca="1">IF(
   $O$7="Desbloqueado",
   CHOOSE(RANDBETWEEN(1,3),"Entregue","Em Rota","Aguardando"),
   Tabela_Movimentacao_Geral[[#This Row],[Status Logistico]]
)</f>
        <v>Entregue</v>
      </c>
      <c r="M24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45782</v>
      </c>
    </row>
    <row r="243" spans="1:13" x14ac:dyDescent="0.3">
      <c r="A243" t="str">
        <f t="shared" si="3"/>
        <v>T0242</v>
      </c>
      <c r="B243" s="1">
        <v>45780</v>
      </c>
      <c r="C243" t="str" cm="1">
        <f t="array" aca="1" ref="C243" ca="1">IF($O$7="Desbloqueado",
  _xlfn.LET(
    _xlpm.saldo_atual, SUM(($C$2:$C242="Entrada")*($F$2:$F242=Tabela_Movimentacao_Geral[[#This Row],[ID Produto]])*($H$2:$H242) - ($C$2:$C242="Saida")*($F$2:$F242=Tabela_Movimentacao_Geral[[#This Row],[ID Produto]])*($H$2:$H242)),
    IF(_xlpm.saldo_atual &gt; 0, IF(RANDBETWEEN(0,10)&gt;3,"Saida","Entrada"), "Entrada")
  ),
  Tabela_Movimentacao_Geral[[#This Row],[Tipo Fluxo]]
)</f>
        <v>Saida</v>
      </c>
      <c r="D2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2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243" t="str">
        <f ca="1">IF(
  $O$7="Desbloqueado",
  "PROD"&amp;TEXT(RANDBETWEEN(1,200),"000"),
  Tabela_Movimentacao_Geral[[#This Row],[ID Produto]]
)</f>
        <v>PROD002</v>
      </c>
      <c r="G243" t="str">
        <f ca="1">_xlfn.XLOOKUP(Tabela_Movimentacao_Geral[[#This Row],[ID Produto]], Tabela_Produtos[ID_Produto],Tabela_Produtos[Descricao_Produto],"Produto não encontrado")</f>
        <v>Teclado Mecanico RGB</v>
      </c>
      <c r="H243" cm="1">
        <f t="array" aca="1" ref="H243" ca="1">IF(
   $O$7="Desbloqueado",
   _xlfn.LET(
     _xlpm.saldo_atual, SUM(($C$2:$C242="Entrada")*($F$2:$F242=Tabela_Movimentacao_Geral[[#This Row],[ID Produto]])*($H$2:$H242) - ($C$2:$C242="Saida")*($F$2:$F242=Tabela_Movimentacao_Geral[[#This Row],[ID Produto]])*($H$2:$H242)),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243" s="5">
        <f ca="1">_xlfn.XLOOKUP(Tabela_Movimentacao_Geral[[#This Row],[ID Produto]], Tabela_Produtos[ID_Produto],Tabela_Produtos[Preco_Unitario_Venda])</f>
        <v>350</v>
      </c>
      <c r="J243" s="6">
        <f ca="1">Tabela_Movimentacao_Geral[[#This Row],[Quantidade]] * Tabela_Movimentacao_Geral[[#This Row],[Valor Unitário]]</f>
        <v>7000</v>
      </c>
      <c r="K243" t="str">
        <f ca="1">IF(
   $O$7="Desbloqueado",
   CHOOSE(RANDBETWEEN(1,3),"Pago","Pendente","Atrasado"),
   Tabela_Movimentacao_Geral[[#This Row],[Status Financeiro]]
)</f>
        <v>Atrasado</v>
      </c>
      <c r="L243" t="str">
        <f ca="1">IF(
   $O$7="Desbloqueado",
   CHOOSE(RANDBETWEEN(1,3),"Entregue","Em Rota","Aguardando"),
   Tabela_Movimentacao_Geral[[#This Row],[Status Logistico]]
)</f>
        <v>Entregue</v>
      </c>
      <c r="M2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44" spans="1:13" x14ac:dyDescent="0.3">
      <c r="A244" t="str">
        <f t="shared" si="3"/>
        <v>T0243</v>
      </c>
      <c r="B244" s="1">
        <v>45781</v>
      </c>
      <c r="C244" t="str" cm="1">
        <f t="array" aca="1" ref="C244" ca="1">IF($O$7="Desbloqueado",
  _xlfn.LET(
    _xlpm.saldo_atual, SUM(($C$2:$C243="Entrada")*($F$2:$F243=Tabela_Movimentacao_Geral[[#This Row],[ID Produto]])*($H$2:$H243) - ($C$2:$C243="Saida")*($F$2:$F243=Tabela_Movimentacao_Geral[[#This Row],[ID Produto]])*($H$2:$H243)),
    IF(_xlpm.saldo_atual &gt; 0, IF(RANDBETWEEN(0,10)&gt;3,"Saida","Entrada"), "Entrada")
  ),
  Tabela_Movimentacao_Geral[[#This Row],[Tipo Fluxo]]
)</f>
        <v>Saida</v>
      </c>
      <c r="D2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2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244" t="str">
        <f ca="1">IF(
  $O$7="Desbloqueado",
  "PROD"&amp;TEXT(RANDBETWEEN(1,200),"000"),
  Tabela_Movimentacao_Geral[[#This Row],[ID Produto]]
)</f>
        <v>PROD022</v>
      </c>
      <c r="G244" t="str">
        <f ca="1">_xlfn.XLOOKUP(Tabela_Movimentacao_Geral[[#This Row],[ID Produto]], Tabela_Produtos[ID_Produto],Tabela_Produtos[Descricao_Produto],"Produto não encontrado")</f>
        <v>Licenca Windows 11 Pro</v>
      </c>
      <c r="H244" cm="1">
        <f t="array" aca="1" ref="H244" ca="1">IF(
   $O$7="Desbloqueado",
   _xlfn.LET(
     _xlpm.saldo_atual, SUM(($C$2:$C243="Entrada")*($F$2:$F243=Tabela_Movimentacao_Geral[[#This Row],[ID Produto]])*($H$2:$H243) - ($C$2:$C243="Saida")*($F$2:$F243=Tabela_Movimentacao_Geral[[#This Row],[ID Produto]])*($H$2:$H243)),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244" s="5">
        <f ca="1">_xlfn.XLOOKUP(Tabela_Movimentacao_Geral[[#This Row],[ID Produto]], Tabela_Produtos[ID_Produto],Tabela_Produtos[Preco_Unitario_Venda])</f>
        <v>980</v>
      </c>
      <c r="J244" s="6">
        <f ca="1">Tabela_Movimentacao_Geral[[#This Row],[Quantidade]] * Tabela_Movimentacao_Geral[[#This Row],[Valor Unitário]]</f>
        <v>3920</v>
      </c>
      <c r="K244" t="str">
        <f ca="1">IF(
   $O$7="Desbloqueado",
   CHOOSE(RANDBETWEEN(1,3),"Pago","Pendente","Atrasado"),
   Tabela_Movimentacao_Geral[[#This Row],[Status Financeiro]]
)</f>
        <v>Atrasado</v>
      </c>
      <c r="L244" t="str">
        <f ca="1">IF(
   $O$7="Desbloqueado",
   CHOOSE(RANDBETWEEN(1,3),"Entregue","Em Rota","Aguardando"),
   Tabela_Movimentacao_Geral[[#This Row],[Status Logistico]]
)</f>
        <v>Entregue</v>
      </c>
      <c r="M2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45" spans="1:13" x14ac:dyDescent="0.3">
      <c r="A245" t="str">
        <f t="shared" si="3"/>
        <v>T0244</v>
      </c>
      <c r="B245" s="1">
        <v>45781</v>
      </c>
      <c r="C245" t="str" cm="1">
        <f t="array" aca="1" ref="C245" ca="1">IF($O$7="Desbloqueado",
  _xlfn.LET(
    _xlpm.saldo_atual, SUM(($C$2:$C244="Entrada")*($F$2:$F244=Tabela_Movimentacao_Geral[[#This Row],[ID Produto]])*($H$2:$H244) - ($C$2:$C244="Saida")*($F$2:$F244=Tabela_Movimentacao_Geral[[#This Row],[ID Produto]])*($H$2:$H244)),
    IF(_xlpm.saldo_atual &gt; 0, IF(RANDBETWEEN(0,10)&gt;3,"Saida","Entrada"), "Entrada")
  ),
  Tabela_Movimentacao_Geral[[#This Row],[Tipo Fluxo]]
)</f>
        <v>Saida</v>
      </c>
      <c r="D2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2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245" t="str">
        <f ca="1">IF(
  $O$7="Desbloqueado",
  "PROD"&amp;TEXT(RANDBETWEEN(1,200),"000"),
  Tabela_Movimentacao_Geral[[#This Row],[ID Produto]]
)</f>
        <v>PROD151</v>
      </c>
      <c r="G245" t="str">
        <f ca="1">_xlfn.XLOOKUP(Tabela_Movimentacao_Geral[[#This Row],[ID Produto]], Tabela_Produtos[ID_Produto],Tabela_Produtos[Descricao_Produto],"Produto não encontrado")</f>
        <v>Papel Fotografico A4 20fls</v>
      </c>
      <c r="H245" cm="1">
        <f t="array" aca="1" ref="H245" ca="1">IF(
   $O$7="Desbloqueado",
   _xlfn.LET(
     _xlpm.saldo_atual, SUM(($C$2:$C244="Entrada")*($F$2:$F244=Tabela_Movimentacao_Geral[[#This Row],[ID Produto]])*($H$2:$H244) - ($C$2:$C244="Saida")*($F$2:$F244=Tabela_Movimentacao_Geral[[#This Row],[ID Produto]])*($H$2:$H244)),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245" s="5">
        <f ca="1">_xlfn.XLOOKUP(Tabela_Movimentacao_Geral[[#This Row],[ID Produto]], Tabela_Produtos[ID_Produto],Tabela_Produtos[Preco_Unitario_Venda])</f>
        <v>45</v>
      </c>
      <c r="J245" s="6">
        <f ca="1">Tabela_Movimentacao_Geral[[#This Row],[Quantidade]] * Tabela_Movimentacao_Geral[[#This Row],[Valor Unitário]]</f>
        <v>2115</v>
      </c>
      <c r="K245" t="str">
        <f ca="1">IF(
   $O$7="Desbloqueado",
   CHOOSE(RANDBETWEEN(1,3),"Pago","Pendente","Atrasado"),
   Tabela_Movimentacao_Geral[[#This Row],[Status Financeiro]]
)</f>
        <v>Pago</v>
      </c>
      <c r="L245" t="str">
        <f ca="1">IF(
   $O$7="Desbloqueado",
   CHOOSE(RANDBETWEEN(1,3),"Entregue","Em Rota","Aguardando"),
   Tabela_Movimentacao_Geral[[#This Row],[Status Logistico]]
)</f>
        <v>Em Rota</v>
      </c>
      <c r="M24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46" spans="1:13" x14ac:dyDescent="0.3">
      <c r="A246" t="str">
        <f t="shared" si="3"/>
        <v>T0245</v>
      </c>
      <c r="B246" s="1">
        <v>45781</v>
      </c>
      <c r="C246" t="str" cm="1">
        <f t="array" aca="1" ref="C246" ca="1">IF($O$7="Desbloqueado",
  _xlfn.LET(
    _xlpm.saldo_atual, SUM(($C$2:$C245="Entrada")*($F$2:$F245=Tabela_Movimentacao_Geral[[#This Row],[ID Produto]])*($H$2:$H245) - ($C$2:$C245="Saida")*($F$2:$F245=Tabela_Movimentacao_Geral[[#This Row],[ID Produto]])*($H$2:$H245)),
    IF(_xlpm.saldo_atual &gt; 0, IF(RANDBETWEEN(0,10)&gt;3,"Saida","Entrada"), "Entrada")
  ),
  Tabela_Movimentacao_Geral[[#This Row],[Tipo Fluxo]]
)</f>
        <v>Entrada</v>
      </c>
      <c r="D2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2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246" t="str">
        <f ca="1">IF(
  $O$7="Desbloqueado",
  "PROD"&amp;TEXT(RANDBETWEEN(1,200),"000"),
  Tabela_Movimentacao_Geral[[#This Row],[ID Produto]]
)</f>
        <v>PROD130</v>
      </c>
      <c r="G246" t="str">
        <f ca="1">_xlfn.XLOOKUP(Tabela_Movimentacao_Geral[[#This Row],[ID Produto]], Tabela_Produtos[ID_Produto],Tabela_Produtos[Descricao_Produto],"Produto não encontrado")</f>
        <v>Maleta Rigida Notebook</v>
      </c>
      <c r="H246" cm="1">
        <f t="array" aca="1" ref="H246" ca="1">IF(
   $O$7="Desbloqueado",
   _xlfn.LET(
     _xlpm.saldo_atual, SUM(($C$2:$C245="Entrada")*($F$2:$F245=Tabela_Movimentacao_Geral[[#This Row],[ID Produto]])*($H$2:$H245) - ($C$2:$C245="Saida")*($F$2:$F245=Tabela_Movimentacao_Geral[[#This Row],[ID Produto]])*($H$2:$H245)),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246" s="5">
        <f ca="1">_xlfn.XLOOKUP(Tabela_Movimentacao_Geral[[#This Row],[ID Produto]], Tabela_Produtos[ID_Produto],Tabela_Produtos[Preco_Unitario_Venda])</f>
        <v>380</v>
      </c>
      <c r="J246" s="6">
        <f ca="1">Tabela_Movimentacao_Geral[[#This Row],[Quantidade]] * Tabela_Movimentacao_Geral[[#This Row],[Valor Unitário]]</f>
        <v>8360</v>
      </c>
      <c r="K246" t="str">
        <f ca="1">IF(
   $O$7="Desbloqueado",
   CHOOSE(RANDBETWEEN(1,3),"Pago","Pendente","Atrasado"),
   Tabela_Movimentacao_Geral[[#This Row],[Status Financeiro]]
)</f>
        <v>Pago</v>
      </c>
      <c r="L246" t="str">
        <f ca="1">IF(
   $O$7="Desbloqueado",
   CHOOSE(RANDBETWEEN(1,3),"Entregue","Em Rota","Aguardando"),
   Tabela_Movimentacao_Geral[[#This Row],[Status Logistico]]
)</f>
        <v>Aguardando</v>
      </c>
      <c r="M2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45782</v>
      </c>
    </row>
    <row r="247" spans="1:13" x14ac:dyDescent="0.3">
      <c r="A247" t="str">
        <f t="shared" si="3"/>
        <v>T0246</v>
      </c>
      <c r="B247" s="1">
        <v>45781</v>
      </c>
      <c r="C247" t="str" cm="1">
        <f t="array" aca="1" ref="C247" ca="1">IF($O$7="Desbloqueado",
  _xlfn.LET(
    _xlpm.saldo_atual, SUM(($C$2:$C246="Entrada")*($F$2:$F246=Tabela_Movimentacao_Geral[[#This Row],[ID Produto]])*($H$2:$H246) - ($C$2:$C246="Saida")*($F$2:$F246=Tabela_Movimentacao_Geral[[#This Row],[ID Produto]])*($H$2:$H246)),
    IF(_xlpm.saldo_atual &gt; 0, IF(RANDBETWEEN(0,10)&gt;3,"Saida","Entrada"), "Entrada")
  ),
  Tabela_Movimentacao_Geral[[#This Row],[Tipo Fluxo]]
)</f>
        <v>Entrada</v>
      </c>
      <c r="D2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2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247" t="str">
        <f ca="1">IF(
  $O$7="Desbloqueado",
  "PROD"&amp;TEXT(RANDBETWEEN(1,200),"000"),
  Tabela_Movimentacao_Geral[[#This Row],[ID Produto]]
)</f>
        <v>PROD124</v>
      </c>
      <c r="G247" t="str">
        <f ca="1">_xlfn.XLOOKUP(Tabela_Movimentacao_Geral[[#This Row],[ID Produto]], Tabela_Produtos[ID_Produto],Tabela_Produtos[Descricao_Produto],"Produto não encontrado")</f>
        <v>Ferramenta BI Assinatura</v>
      </c>
      <c r="H247" cm="1">
        <f t="array" aca="1" ref="H247" ca="1">IF(
   $O$7="Desbloqueado",
   _xlfn.LET(
     _xlpm.saldo_atual, SUM(($C$2:$C246="Entrada")*($F$2:$F246=Tabela_Movimentacao_Geral[[#This Row],[ID Produto]])*($H$2:$H246) - ($C$2:$C246="Saida")*($F$2:$F246=Tabela_Movimentacao_Geral[[#This Row],[ID Produto]])*($H$2:$H246)),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131</v>
      </c>
      <c r="I247" s="5">
        <f ca="1">_xlfn.XLOOKUP(Tabela_Movimentacao_Geral[[#This Row],[ID Produto]], Tabela_Produtos[ID_Produto],Tabela_Produtos[Preco_Unitario_Venda])</f>
        <v>250</v>
      </c>
      <c r="J247" s="6">
        <f ca="1">Tabela_Movimentacao_Geral[[#This Row],[Quantidade]] * Tabela_Movimentacao_Geral[[#This Row],[Valor Unitário]]</f>
        <v>32750</v>
      </c>
      <c r="K247" t="str">
        <f ca="1">IF(
   $O$7="Desbloqueado",
   CHOOSE(RANDBETWEEN(1,3),"Pago","Pendente","Atrasado"),
   Tabela_Movimentacao_Geral[[#This Row],[Status Financeiro]]
)</f>
        <v>Atrasado</v>
      </c>
      <c r="L247" t="str">
        <f ca="1">IF(
   $O$7="Desbloqueado",
   CHOOSE(RANDBETWEEN(1,3),"Entregue","Em Rota","Aguardando"),
   Tabela_Movimentacao_Geral[[#This Row],[Status Logistico]]
)</f>
        <v>Em Rota</v>
      </c>
      <c r="M2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45782</v>
      </c>
    </row>
    <row r="248" spans="1:13" x14ac:dyDescent="0.3">
      <c r="A248" t="str">
        <f t="shared" si="3"/>
        <v>T0247</v>
      </c>
      <c r="B248" s="1">
        <v>45782</v>
      </c>
      <c r="C248" t="str" cm="1">
        <f t="array" aca="1" ref="C248" ca="1">IF($O$7="Desbloqueado",
  _xlfn.LET(
    _xlpm.saldo_atual, SUM(($C$2:$C247="Entrada")*($F$2:$F247=Tabela_Movimentacao_Geral[[#This Row],[ID Produto]])*($H$2:$H247) - ($C$2:$C247="Saida")*($F$2:$F247=Tabela_Movimentacao_Geral[[#This Row],[ID Produto]])*($H$2:$H247)),
    IF(_xlpm.saldo_atual &gt; 0, IF(RANDBETWEEN(0,10)&gt;3,"Saida","Entrada"), "Entrada")
  ),
  Tabela_Movimentacao_Geral[[#This Row],[Tipo Fluxo]]
)</f>
        <v>Saida</v>
      </c>
      <c r="D2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2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48" t="str">
        <f ca="1">IF(
  $O$7="Desbloqueado",
  "PROD"&amp;TEXT(RANDBETWEEN(1,200),"000"),
  Tabela_Movimentacao_Geral[[#This Row],[ID Produto]]
)</f>
        <v>PROD126</v>
      </c>
      <c r="G248" t="str">
        <f ca="1">_xlfn.XLOOKUP(Tabela_Movimentacao_Geral[[#This Row],[ID Produto]], Tabela_Produtos[ID_Produto],Tabela_Produtos[Descricao_Produto],"Produto não encontrado")</f>
        <v>Mouse Ergonomico Vertical</v>
      </c>
      <c r="H248" cm="1">
        <f t="array" aca="1" ref="H248" ca="1">IF(
   $O$7="Desbloqueado",
   _xlfn.LET(
     _xlpm.saldo_atual, SUM(($C$2:$C247="Entrada")*($F$2:$F247=Tabela_Movimentacao_Geral[[#This Row],[ID Produto]])*($H$2:$H247) - ($C$2:$C247="Saida")*($F$2:$F247=Tabela_Movimentacao_Geral[[#This Row],[ID Produto]])*($H$2:$H247)),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248" s="5">
        <f ca="1">_xlfn.XLOOKUP(Tabela_Movimentacao_Geral[[#This Row],[ID Produto]], Tabela_Produtos[ID_Produto],Tabela_Produtos[Preco_Unitario_Venda])</f>
        <v>280</v>
      </c>
      <c r="J248" s="6">
        <f ca="1">Tabela_Movimentacao_Geral[[#This Row],[Quantidade]] * Tabela_Movimentacao_Geral[[#This Row],[Valor Unitário]]</f>
        <v>5040</v>
      </c>
      <c r="K248" t="str">
        <f ca="1">IF(
   $O$7="Desbloqueado",
   CHOOSE(RANDBETWEEN(1,3),"Pago","Pendente","Atrasado"),
   Tabela_Movimentacao_Geral[[#This Row],[Status Financeiro]]
)</f>
        <v>Atrasado</v>
      </c>
      <c r="L248" t="str">
        <f ca="1">IF(
   $O$7="Desbloqueado",
   CHOOSE(RANDBETWEEN(1,3),"Entregue","Em Rota","Aguardando"),
   Tabela_Movimentacao_Geral[[#This Row],[Status Logistico]]
)</f>
        <v>Em Rota</v>
      </c>
      <c r="M24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49" spans="1:13" x14ac:dyDescent="0.3">
      <c r="A249" t="str">
        <f t="shared" si="3"/>
        <v>T0248</v>
      </c>
      <c r="B249" s="1">
        <v>45782</v>
      </c>
      <c r="C249" t="str" cm="1">
        <f t="array" aca="1" ref="C249" ca="1">IF($O$7="Desbloqueado",
  _xlfn.LET(
    _xlpm.saldo_atual, SUM(($C$2:$C248="Entrada")*($F$2:$F248=Tabela_Movimentacao_Geral[[#This Row],[ID Produto]])*($H$2:$H248) - ($C$2:$C248="Saida")*($F$2:$F248=Tabela_Movimentacao_Geral[[#This Row],[ID Produto]])*($H$2:$H248)),
    IF(_xlpm.saldo_atual &gt; 0, IF(RANDBETWEEN(0,10)&gt;3,"Saida","Entrada"), "Entrada")
  ),
  Tabela_Movimentacao_Geral[[#This Row],[Tipo Fluxo]]
)</f>
        <v>Saida</v>
      </c>
      <c r="D2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2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249" t="str">
        <f ca="1">IF(
  $O$7="Desbloqueado",
  "PROD"&amp;TEXT(RANDBETWEEN(1,200),"000"),
  Tabela_Movimentacao_Geral[[#This Row],[ID Produto]]
)</f>
        <v>PROD076</v>
      </c>
      <c r="G249" t="str">
        <f ca="1">_xlfn.XLOOKUP(Tabela_Movimentacao_Geral[[#This Row],[ID Produto]], Tabela_Produtos[ID_Produto],Tabela_Produtos[Descricao_Produto],"Produto não encontrado")</f>
        <v>Fragmentadora de Papel</v>
      </c>
      <c r="H249" cm="1">
        <f t="array" aca="1" ref="H249" ca="1">IF(
   $O$7="Desbloqueado",
   _xlfn.LET(
     _xlpm.saldo_atual, SUM(($C$2:$C248="Entrada")*($F$2:$F248=Tabela_Movimentacao_Geral[[#This Row],[ID Produto]])*($H$2:$H248) - ($C$2:$C248="Saida")*($F$2:$F248=Tabela_Movimentacao_Geral[[#This Row],[ID Produto]])*($H$2:$H248)),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249" s="5">
        <f ca="1">_xlfn.XLOOKUP(Tabela_Movimentacao_Geral[[#This Row],[ID Produto]], Tabela_Produtos[ID_Produto],Tabela_Produtos[Preco_Unitario_Venda])</f>
        <v>750</v>
      </c>
      <c r="J249" s="6">
        <f ca="1">Tabela_Movimentacao_Geral[[#This Row],[Quantidade]] * Tabela_Movimentacao_Geral[[#This Row],[Valor Unitário]]</f>
        <v>750</v>
      </c>
      <c r="K249" t="str">
        <f ca="1">IF(
   $O$7="Desbloqueado",
   CHOOSE(RANDBETWEEN(1,3),"Pago","Pendente","Atrasado"),
   Tabela_Movimentacao_Geral[[#This Row],[Status Financeiro]]
)</f>
        <v>Pendente</v>
      </c>
      <c r="L249" t="str">
        <f ca="1">IF(
   $O$7="Desbloqueado",
   CHOOSE(RANDBETWEEN(1,3),"Entregue","Em Rota","Aguardando"),
   Tabela_Movimentacao_Geral[[#This Row],[Status Logistico]]
)</f>
        <v>Em Rota</v>
      </c>
      <c r="M24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50" spans="1:13" x14ac:dyDescent="0.3">
      <c r="A250" t="str">
        <f t="shared" si="3"/>
        <v>T0249</v>
      </c>
      <c r="B250" s="1">
        <v>45783</v>
      </c>
      <c r="C250" t="str" cm="1">
        <f t="array" aca="1" ref="C250" ca="1">IF($O$7="Desbloqueado",
  _xlfn.LET(
    _xlpm.saldo_atual, SUM(($C$2:$C249="Entrada")*($F$2:$F249=Tabela_Movimentacao_Geral[[#This Row],[ID Produto]])*($H$2:$H249) - ($C$2:$C249="Saida")*($F$2:$F249=Tabela_Movimentacao_Geral[[#This Row],[ID Produto]])*($H$2:$H249)),
    IF(_xlpm.saldo_atual &gt; 0, IF(RANDBETWEEN(0,10)&gt;3,"Saida","Entrada"), "Entrada")
  ),
  Tabela_Movimentacao_Geral[[#This Row],[Tipo Fluxo]]
)</f>
        <v>Entrada</v>
      </c>
      <c r="D2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2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250" t="str">
        <f ca="1">IF(
  $O$7="Desbloqueado",
  "PROD"&amp;TEXT(RANDBETWEEN(1,200),"000"),
  Tabela_Movimentacao_Geral[[#This Row],[ID Produto]]
)</f>
        <v>PROD001</v>
      </c>
      <c r="G250" t="str">
        <f ca="1">_xlfn.XLOOKUP(Tabela_Movimentacao_Geral[[#This Row],[ID Produto]], Tabela_Produtos[ID_Produto],Tabela_Produtos[Descricao_Produto],"Produto não encontrado")</f>
        <v>Monitor 24 pol Full HD</v>
      </c>
      <c r="H250" cm="1">
        <f t="array" aca="1" ref="H250" ca="1">IF(
   $O$7="Desbloqueado",
   _xlfn.LET(
     _xlpm.saldo_atual, SUM(($C$2:$C249="Entrada")*($F$2:$F249=Tabela_Movimentacao_Geral[[#This Row],[ID Produto]])*($H$2:$H249) - ($C$2:$C249="Saida")*($F$2:$F249=Tabela_Movimentacao_Geral[[#This Row],[ID Produto]])*($H$2:$H249)),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</v>
      </c>
      <c r="I250" s="5">
        <f ca="1">_xlfn.XLOOKUP(Tabela_Movimentacao_Geral[[#This Row],[ID Produto]], Tabela_Produtos[ID_Produto],Tabela_Produtos[Preco_Unitario_Venda])</f>
        <v>850</v>
      </c>
      <c r="J250" s="6">
        <f ca="1">Tabela_Movimentacao_Geral[[#This Row],[Quantidade]] * Tabela_Movimentacao_Geral[[#This Row],[Valor Unitário]]</f>
        <v>42500</v>
      </c>
      <c r="K250" t="str">
        <f ca="1">IF(
   $O$7="Desbloqueado",
   CHOOSE(RANDBETWEEN(1,3),"Pago","Pendente","Atrasado"),
   Tabela_Movimentacao_Geral[[#This Row],[Status Financeiro]]
)</f>
        <v>Pendente</v>
      </c>
      <c r="L250" t="str">
        <f ca="1">IF(
   $O$7="Desbloqueado",
   CHOOSE(RANDBETWEEN(1,3),"Entregue","Em Rota","Aguardando"),
   Tabela_Movimentacao_Geral[[#This Row],[Status Logistico]]
)</f>
        <v>Entregue</v>
      </c>
      <c r="M25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45789</v>
      </c>
    </row>
    <row r="251" spans="1:13" x14ac:dyDescent="0.3">
      <c r="A251" t="str">
        <f t="shared" si="3"/>
        <v>T0250</v>
      </c>
      <c r="B251" s="1">
        <v>45783</v>
      </c>
      <c r="C251" t="str" cm="1">
        <f t="array" aca="1" ref="C251" ca="1">IF($O$7="Desbloqueado",
  _xlfn.LET(
    _xlpm.saldo_atual, SUM(($C$2:$C250="Entrada")*($F$2:$F250=Tabela_Movimentacao_Geral[[#This Row],[ID Produto]])*($H$2:$H250) - ($C$2:$C250="Saida")*($F$2:$F250=Tabela_Movimentacao_Geral[[#This Row],[ID Produto]])*($H$2:$H250)),
    IF(_xlpm.saldo_atual &gt; 0, IF(RANDBETWEEN(0,10)&gt;3,"Saida","Entrada"), "Entrada")
  ),
  Tabela_Movimentacao_Geral[[#This Row],[Tipo Fluxo]]
)</f>
        <v>Saida</v>
      </c>
      <c r="D2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2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251" t="str">
        <f ca="1">IF(
  $O$7="Desbloqueado",
  "PROD"&amp;TEXT(RANDBETWEEN(1,200),"000"),
  Tabela_Movimentacao_Geral[[#This Row],[ID Produto]]
)</f>
        <v>PROD133</v>
      </c>
      <c r="G251" t="str">
        <f ca="1">_xlfn.XLOOKUP(Tabela_Movimentacao_Geral[[#This Row],[ID Produto]], Tabela_Produtos[ID_Produto],Tabela_Produtos[Descricao_Produto],"Produto não encontrado")</f>
        <v>Pendrive 128GB Metal</v>
      </c>
      <c r="H251" cm="1">
        <f t="array" aca="1" ref="H251" ca="1">IF(
   $O$7="Desbloqueado",
   _xlfn.LET(
     _xlpm.saldo_atual, SUM(($C$2:$C250="Entrada")*($F$2:$F250=Tabela_Movimentacao_Geral[[#This Row],[ID Produto]])*($H$2:$H250) - ($C$2:$C250="Saida")*($F$2:$F250=Tabela_Movimentacao_Geral[[#This Row],[ID Produto]])*($H$2:$H250)),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251" s="5">
        <f ca="1">_xlfn.XLOOKUP(Tabela_Movimentacao_Geral[[#This Row],[ID Produto]], Tabela_Produtos[ID_Produto],Tabela_Produtos[Preco_Unitario_Venda])</f>
        <v>110</v>
      </c>
      <c r="J251" s="6">
        <f ca="1">Tabela_Movimentacao_Geral[[#This Row],[Quantidade]] * Tabela_Movimentacao_Geral[[#This Row],[Valor Unitário]]</f>
        <v>550</v>
      </c>
      <c r="K251" t="str">
        <f ca="1">IF(
   $O$7="Desbloqueado",
   CHOOSE(RANDBETWEEN(1,3),"Pago","Pendente","Atrasado"),
   Tabela_Movimentacao_Geral[[#This Row],[Status Financeiro]]
)</f>
        <v>Pendente</v>
      </c>
      <c r="L251" t="str">
        <f ca="1">IF(
   $O$7="Desbloqueado",
   CHOOSE(RANDBETWEEN(1,3),"Entregue","Em Rota","Aguardando"),
   Tabela_Movimentacao_Geral[[#This Row],[Status Logistico]]
)</f>
        <v>Em Rota</v>
      </c>
      <c r="M25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52" spans="1:13" x14ac:dyDescent="0.3">
      <c r="A252" t="str">
        <f t="shared" si="3"/>
        <v>T0251</v>
      </c>
      <c r="B252" s="1">
        <v>45783</v>
      </c>
      <c r="C252" t="str" cm="1">
        <f t="array" aca="1" ref="C252" ca="1">IF($O$7="Desbloqueado",
  _xlfn.LET(
    _xlpm.saldo_atual, SUM(($C$2:$C251="Entrada")*($F$2:$F251=Tabela_Movimentacao_Geral[[#This Row],[ID Produto]])*($H$2:$H251) - ($C$2:$C251="Saida")*($F$2:$F251=Tabela_Movimentacao_Geral[[#This Row],[ID Produto]])*($H$2:$H251)),
    IF(_xlpm.saldo_atual &gt; 0, IF(RANDBETWEEN(0,10)&gt;3,"Saida","Entrada"), "Entrada")
  ),
  Tabela_Movimentacao_Geral[[#This Row],[Tipo Fluxo]]
)</f>
        <v>Saida</v>
      </c>
      <c r="D2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2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252" t="str">
        <f ca="1">IF(
  $O$7="Desbloqueado",
  "PROD"&amp;TEXT(RANDBETWEEN(1,200),"000"),
  Tabela_Movimentacao_Geral[[#This Row],[ID Produto]]
)</f>
        <v>PROD124</v>
      </c>
      <c r="G252" t="str">
        <f ca="1">_xlfn.XLOOKUP(Tabela_Movimentacao_Geral[[#This Row],[ID Produto]], Tabela_Produtos[ID_Produto],Tabela_Produtos[Descricao_Produto],"Produto não encontrado")</f>
        <v>Ferramenta BI Assinatura</v>
      </c>
      <c r="H252" cm="1">
        <f t="array" aca="1" ref="H252" ca="1">IF(
   $O$7="Desbloqueado",
   _xlfn.LET(
     _xlpm.saldo_atual, SUM(($C$2:$C251="Entrada")*($F$2:$F251=Tabela_Movimentacao_Geral[[#This Row],[ID Produto]])*($H$2:$H251) - ($C$2:$C251="Saida")*($F$2:$F251=Tabela_Movimentacao_Geral[[#This Row],[ID Produto]])*($H$2:$H251)),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252" s="5">
        <f ca="1">_xlfn.XLOOKUP(Tabela_Movimentacao_Geral[[#This Row],[ID Produto]], Tabela_Produtos[ID_Produto],Tabela_Produtos[Preco_Unitario_Venda])</f>
        <v>250</v>
      </c>
      <c r="J252" s="6">
        <f ca="1">Tabela_Movimentacao_Geral[[#This Row],[Quantidade]] * Tabela_Movimentacao_Geral[[#This Row],[Valor Unitário]]</f>
        <v>5750</v>
      </c>
      <c r="K252" t="str">
        <f ca="1">IF(
   $O$7="Desbloqueado",
   CHOOSE(RANDBETWEEN(1,3),"Pago","Pendente","Atrasado"),
   Tabela_Movimentacao_Geral[[#This Row],[Status Financeiro]]
)</f>
        <v>Pendente</v>
      </c>
      <c r="L252" t="str">
        <f ca="1">IF(
   $O$7="Desbloqueado",
   CHOOSE(RANDBETWEEN(1,3),"Entregue","Em Rota","Aguardando"),
   Tabela_Movimentacao_Geral[[#This Row],[Status Logistico]]
)</f>
        <v>Entregue</v>
      </c>
      <c r="M2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53" spans="1:13" x14ac:dyDescent="0.3">
      <c r="A253" t="str">
        <f t="shared" si="3"/>
        <v>T0252</v>
      </c>
      <c r="B253" s="1">
        <v>45784</v>
      </c>
      <c r="C253" t="str" cm="1">
        <f t="array" aca="1" ref="C253" ca="1">IF($O$7="Desbloqueado",
  _xlfn.LET(
    _xlpm.saldo_atual, SUM(($C$2:$C252="Entrada")*($F$2:$F252=Tabela_Movimentacao_Geral[[#This Row],[ID Produto]])*($H$2:$H252) - ($C$2:$C252="Saida")*($F$2:$F252=Tabela_Movimentacao_Geral[[#This Row],[ID Produto]])*($H$2:$H252)),
    IF(_xlpm.saldo_atual &gt; 0, IF(RANDBETWEEN(0,10)&gt;3,"Saida","Entrada"), "Entrada")
  ),
  Tabela_Movimentacao_Geral[[#This Row],[Tipo Fluxo]]
)</f>
        <v>Entrada</v>
      </c>
      <c r="D2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2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253" t="str">
        <f ca="1">IF(
  $O$7="Desbloqueado",
  "PROD"&amp;TEXT(RANDBETWEEN(1,200),"000"),
  Tabela_Movimentacao_Geral[[#This Row],[ID Produto]]
)</f>
        <v>PROD018</v>
      </c>
      <c r="G253" t="str">
        <f ca="1">_xlfn.XLOOKUP(Tabela_Movimentacao_Geral[[#This Row],[ID Produto]], Tabela_Produtos[ID_Produto],Tabela_Produtos[Descricao_Produto],"Produto não encontrado")</f>
        <v>HD Externo 1TB</v>
      </c>
      <c r="H253" cm="1">
        <f t="array" aca="1" ref="H253" ca="1">IF(
   $O$7="Desbloqueado",
   _xlfn.LET(
     _xlpm.saldo_atual, SUM(($C$2:$C252="Entrada")*($F$2:$F252=Tabela_Movimentacao_Geral[[#This Row],[ID Produto]])*($H$2:$H252) - ($C$2:$C252="Saida")*($F$2:$F252=Tabela_Movimentacao_Geral[[#This Row],[ID Produto]])*($H$2:$H252)),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103</v>
      </c>
      <c r="I253" s="5">
        <f ca="1">_xlfn.XLOOKUP(Tabela_Movimentacao_Geral[[#This Row],[ID Produto]], Tabela_Produtos[ID_Produto],Tabela_Produtos[Preco_Unitario_Venda])</f>
        <v>380</v>
      </c>
      <c r="J253" s="6">
        <f ca="1">Tabela_Movimentacao_Geral[[#This Row],[Quantidade]] * Tabela_Movimentacao_Geral[[#This Row],[Valor Unitário]]</f>
        <v>39140</v>
      </c>
      <c r="K253" t="str">
        <f ca="1">IF(
   $O$7="Desbloqueado",
   CHOOSE(RANDBETWEEN(1,3),"Pago","Pendente","Atrasado"),
   Tabela_Movimentacao_Geral[[#This Row],[Status Financeiro]]
)</f>
        <v>Atrasado</v>
      </c>
      <c r="L253" t="str">
        <f ca="1">IF(
   $O$7="Desbloqueado",
   CHOOSE(RANDBETWEEN(1,3),"Entregue","Em Rota","Aguardando"),
   Tabela_Movimentacao_Geral[[#This Row],[Status Logistico]]
)</f>
        <v>Em Rota</v>
      </c>
      <c r="M25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45786</v>
      </c>
    </row>
    <row r="254" spans="1:13" x14ac:dyDescent="0.3">
      <c r="A254" t="str">
        <f t="shared" si="3"/>
        <v>T0253</v>
      </c>
      <c r="B254" s="1">
        <v>45785</v>
      </c>
      <c r="C254" t="str" cm="1">
        <f t="array" aca="1" ref="C254" ca="1">IF($O$7="Desbloqueado",
  _xlfn.LET(
    _xlpm.saldo_atual, SUM(($C$2:$C253="Entrada")*($F$2:$F253=Tabela_Movimentacao_Geral[[#This Row],[ID Produto]])*($H$2:$H253) - ($C$2:$C253="Saida")*($F$2:$F253=Tabela_Movimentacao_Geral[[#This Row],[ID Produto]])*($H$2:$H253)),
    IF(_xlpm.saldo_atual &gt; 0, IF(RANDBETWEEN(0,10)&gt;3,"Saida","Entrada"), "Entrada")
  ),
  Tabela_Movimentacao_Geral[[#This Row],[Tipo Fluxo]]
)</f>
        <v>Entrada</v>
      </c>
      <c r="D2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2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254" t="str">
        <f ca="1">IF(
  $O$7="Desbloqueado",
  "PROD"&amp;TEXT(RANDBETWEEN(1,200),"000"),
  Tabela_Movimentacao_Geral[[#This Row],[ID Produto]]
)</f>
        <v>PROD016</v>
      </c>
      <c r="G254" t="str">
        <f ca="1">_xlfn.XLOOKUP(Tabela_Movimentacao_Geral[[#This Row],[ID Produto]], Tabela_Produtos[ID_Produto],Tabela_Produtos[Descricao_Produto],"Produto não encontrado")</f>
        <v>Filtro de Linha 6 Tomadas</v>
      </c>
      <c r="H254" cm="1">
        <f t="array" aca="1" ref="H254" ca="1">IF(
   $O$7="Desbloqueado",
   _xlfn.LET(
     _xlpm.saldo_atual, SUM(($C$2:$C253="Entrada")*($F$2:$F253=Tabela_Movimentacao_Geral[[#This Row],[ID Produto]])*($H$2:$H253) - ($C$2:$C253="Saida")*($F$2:$F253=Tabela_Movimentacao_Geral[[#This Row],[ID Produto]])*($H$2:$H253)),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55</v>
      </c>
      <c r="I254" s="5">
        <f ca="1">_xlfn.XLOOKUP(Tabela_Movimentacao_Geral[[#This Row],[ID Produto]], Tabela_Produtos[ID_Produto],Tabela_Produtos[Preco_Unitario_Venda])</f>
        <v>55</v>
      </c>
      <c r="J254" s="6">
        <f ca="1">Tabela_Movimentacao_Geral[[#This Row],[Quantidade]] * Tabela_Movimentacao_Geral[[#This Row],[Valor Unitário]]</f>
        <v>3025</v>
      </c>
      <c r="K254" t="str">
        <f ca="1">IF(
   $O$7="Desbloqueado",
   CHOOSE(RANDBETWEEN(1,3),"Pago","Pendente","Atrasado"),
   Tabela_Movimentacao_Geral[[#This Row],[Status Financeiro]]
)</f>
        <v>Pago</v>
      </c>
      <c r="L254" t="str">
        <f ca="1">IF(
   $O$7="Desbloqueado",
   CHOOSE(RANDBETWEEN(1,3),"Entregue","Em Rota","Aguardando"),
   Tabela_Movimentacao_Geral[[#This Row],[Status Logistico]]
)</f>
        <v>Entregue</v>
      </c>
      <c r="M25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45789</v>
      </c>
    </row>
    <row r="255" spans="1:13" x14ac:dyDescent="0.3">
      <c r="A255" t="str">
        <f t="shared" si="3"/>
        <v>T0254</v>
      </c>
      <c r="B255" s="1">
        <v>45785</v>
      </c>
      <c r="C255" t="str" cm="1">
        <f t="array" aca="1" ref="C255" ca="1">IF($O$7="Desbloqueado",
  _xlfn.LET(
    _xlpm.saldo_atual, SUM(($C$2:$C254="Entrada")*($F$2:$F254=Tabela_Movimentacao_Geral[[#This Row],[ID Produto]])*($H$2:$H254) - ($C$2:$C254="Saida")*($F$2:$F254=Tabela_Movimentacao_Geral[[#This Row],[ID Produto]])*($H$2:$H254)),
    IF(_xlpm.saldo_atual &gt; 0, IF(RANDBETWEEN(0,10)&gt;3,"Saida","Entrada"), "Entrada")
  ),
  Tabela_Movimentacao_Geral[[#This Row],[Tipo Fluxo]]
)</f>
        <v>Entrada</v>
      </c>
      <c r="D2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2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255" t="str">
        <f ca="1">IF(
  $O$7="Desbloqueado",
  "PROD"&amp;TEXT(RANDBETWEEN(1,200),"000"),
  Tabela_Movimentacao_Geral[[#This Row],[ID Produto]]
)</f>
        <v>PROD171</v>
      </c>
      <c r="G255" t="str">
        <f ca="1">_xlfn.XLOOKUP(Tabela_Movimentacao_Geral[[#This Row],[ID Produto]], Tabela_Produtos[ID_Produto],Tabela_Produtos[Descricao_Produto],"Produto não encontrado")</f>
        <v>Calculadora de Mesa 12 Dig</v>
      </c>
      <c r="H255" cm="1">
        <f t="array" aca="1" ref="H255" ca="1">IF(
   $O$7="Desbloqueado",
   _xlfn.LET(
     _xlpm.saldo_atual, SUM(($C$2:$C254="Entrada")*($F$2:$F254=Tabela_Movimentacao_Geral[[#This Row],[ID Produto]])*($H$2:$H254) - ($C$2:$C254="Saida")*($F$2:$F254=Tabela_Movimentacao_Geral[[#This Row],[ID Produto]])*($H$2:$H254)),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99</v>
      </c>
      <c r="I255" s="5">
        <f ca="1">_xlfn.XLOOKUP(Tabela_Movimentacao_Geral[[#This Row],[ID Produto]], Tabela_Produtos[ID_Produto],Tabela_Produtos[Preco_Unitario_Venda])</f>
        <v>65</v>
      </c>
      <c r="J255" s="6">
        <f ca="1">Tabela_Movimentacao_Geral[[#This Row],[Quantidade]] * Tabela_Movimentacao_Geral[[#This Row],[Valor Unitário]]</f>
        <v>6435</v>
      </c>
      <c r="K255" t="str">
        <f ca="1">IF(
   $O$7="Desbloqueado",
   CHOOSE(RANDBETWEEN(1,3),"Pago","Pendente","Atrasado"),
   Tabela_Movimentacao_Geral[[#This Row],[Status Financeiro]]
)</f>
        <v>Pago</v>
      </c>
      <c r="L255" t="str">
        <f ca="1">IF(
   $O$7="Desbloqueado",
   CHOOSE(RANDBETWEEN(1,3),"Entregue","Em Rota","Aguardando"),
   Tabela_Movimentacao_Geral[[#This Row],[Status Logistico]]
)</f>
        <v>Entregue</v>
      </c>
      <c r="M25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45786</v>
      </c>
    </row>
    <row r="256" spans="1:13" x14ac:dyDescent="0.3">
      <c r="A256" t="str">
        <f t="shared" si="3"/>
        <v>T0255</v>
      </c>
      <c r="B256" s="1">
        <v>45787</v>
      </c>
      <c r="C256" t="str" cm="1">
        <f t="array" aca="1" ref="C256" ca="1">IF($O$7="Desbloqueado",
  _xlfn.LET(
    _xlpm.saldo_atual, SUM(($C$2:$C255="Entrada")*($F$2:$F255=Tabela_Movimentacao_Geral[[#This Row],[ID Produto]])*($H$2:$H255) - ($C$2:$C255="Saida")*($F$2:$F255=Tabela_Movimentacao_Geral[[#This Row],[ID Produto]])*($H$2:$H255)),
    IF(_xlpm.saldo_atual &gt; 0, IF(RANDBETWEEN(0,10)&gt;3,"Saida","Entrada"), "Entrada")
  ),
  Tabela_Movimentacao_Geral[[#This Row],[Tipo Fluxo]]
)</f>
        <v>Saida</v>
      </c>
      <c r="D2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2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256" t="str">
        <f ca="1">IF(
  $O$7="Desbloqueado",
  "PROD"&amp;TEXT(RANDBETWEEN(1,200),"000"),
  Tabela_Movimentacao_Geral[[#This Row],[ID Produto]]
)</f>
        <v>PROD091</v>
      </c>
      <c r="G256" t="str">
        <f ca="1">_xlfn.XLOOKUP(Tabela_Movimentacao_Geral[[#This Row],[ID Produto]], Tabela_Produtos[ID_Produto],Tabela_Produtos[Descricao_Produto],"Produto não encontrado")</f>
        <v>Unidade LTO-8 Backup</v>
      </c>
      <c r="H256" cm="1">
        <f t="array" aca="1" ref="H256" ca="1">IF(
   $O$7="Desbloqueado",
   _xlfn.LET(
     _xlpm.saldo_atual, SUM(($C$2:$C255="Entrada")*($F$2:$F255=Tabela_Movimentacao_Geral[[#This Row],[ID Produto]])*($H$2:$H255) - ($C$2:$C255="Saida")*($F$2:$F255=Tabela_Movimentacao_Geral[[#This Row],[ID Produto]])*($H$2:$H255)),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256" s="5">
        <f ca="1">_xlfn.XLOOKUP(Tabela_Movimentacao_Geral[[#This Row],[ID Produto]], Tabela_Produtos[ID_Produto],Tabela_Produtos[Preco_Unitario_Venda])</f>
        <v>28000</v>
      </c>
      <c r="J256" s="6">
        <f ca="1">Tabela_Movimentacao_Geral[[#This Row],[Quantidade]] * Tabela_Movimentacao_Geral[[#This Row],[Valor Unitário]]</f>
        <v>336000</v>
      </c>
      <c r="K256" t="str">
        <f ca="1">IF(
   $O$7="Desbloqueado",
   CHOOSE(RANDBETWEEN(1,3),"Pago","Pendente","Atrasado"),
   Tabela_Movimentacao_Geral[[#This Row],[Status Financeiro]]
)</f>
        <v>Pago</v>
      </c>
      <c r="L256" t="str">
        <f ca="1">IF(
   $O$7="Desbloqueado",
   CHOOSE(RANDBETWEEN(1,3),"Entregue","Em Rota","Aguardando"),
   Tabela_Movimentacao_Geral[[#This Row],[Status Logistico]]
)</f>
        <v>Aguardando</v>
      </c>
      <c r="M25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57" spans="1:13" x14ac:dyDescent="0.3">
      <c r="A257" t="str">
        <f t="shared" si="3"/>
        <v>T0256</v>
      </c>
      <c r="B257" s="1">
        <v>45787</v>
      </c>
      <c r="C257" t="str" cm="1">
        <f t="array" aca="1" ref="C257" ca="1">IF($O$7="Desbloqueado",
  _xlfn.LET(
    _xlpm.saldo_atual, SUM(($C$2:$C256="Entrada")*($F$2:$F256=Tabela_Movimentacao_Geral[[#This Row],[ID Produto]])*($H$2:$H256) - ($C$2:$C256="Saida")*($F$2:$F256=Tabela_Movimentacao_Geral[[#This Row],[ID Produto]])*($H$2:$H256)),
    IF(_xlpm.saldo_atual &gt; 0, IF(RANDBETWEEN(0,10)&gt;3,"Saida","Entrada"), "Entrada")
  ),
  Tabela_Movimentacao_Geral[[#This Row],[Tipo Fluxo]]
)</f>
        <v>Entrada</v>
      </c>
      <c r="D2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2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257" t="str">
        <f ca="1">IF(
  $O$7="Desbloqueado",
  "PROD"&amp;TEXT(RANDBETWEEN(1,200),"000"),
  Tabela_Movimentacao_Geral[[#This Row],[ID Produto]]
)</f>
        <v>PROD118</v>
      </c>
      <c r="G257" t="str">
        <f ca="1">_xlfn.XLOOKUP(Tabela_Movimentacao_Geral[[#This Row],[ID Produto]], Tabela_Produtos[ID_Produto],Tabela_Produtos[Descricao_Produto],"Produto não encontrado")</f>
        <v>Case para HD Externo 2.5</v>
      </c>
      <c r="H257" cm="1">
        <f t="array" aca="1" ref="H257" ca="1">IF(
   $O$7="Desbloqueado",
   _xlfn.LET(
     _xlpm.saldo_atual, SUM(($C$2:$C256="Entrada")*($F$2:$F256=Tabela_Movimentacao_Geral[[#This Row],[ID Produto]])*($H$2:$H256) - ($C$2:$C256="Saida")*($F$2:$F256=Tabela_Movimentacao_Geral[[#This Row],[ID Produto]])*($H$2:$H256)),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77</v>
      </c>
      <c r="I257" s="5">
        <f ca="1">_xlfn.XLOOKUP(Tabela_Movimentacao_Geral[[#This Row],[ID Produto]], Tabela_Produtos[ID_Produto],Tabela_Produtos[Preco_Unitario_Venda])</f>
        <v>55</v>
      </c>
      <c r="J257" s="6">
        <f ca="1">Tabela_Movimentacao_Geral[[#This Row],[Quantidade]] * Tabela_Movimentacao_Geral[[#This Row],[Valor Unitário]]</f>
        <v>4235</v>
      </c>
      <c r="K257" t="str">
        <f ca="1">IF(
   $O$7="Desbloqueado",
   CHOOSE(RANDBETWEEN(1,3),"Pago","Pendente","Atrasado"),
   Tabela_Movimentacao_Geral[[#This Row],[Status Financeiro]]
)</f>
        <v>Atrasado</v>
      </c>
      <c r="L257" t="str">
        <f ca="1">IF(
   $O$7="Desbloqueado",
   CHOOSE(RANDBETWEEN(1,3),"Entregue","Em Rota","Aguardando"),
   Tabela_Movimentacao_Geral[[#This Row],[Status Logistico]]
)</f>
        <v>Aguardando</v>
      </c>
      <c r="M25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45790</v>
      </c>
    </row>
    <row r="258" spans="1:13" x14ac:dyDescent="0.3">
      <c r="A258" t="str">
        <f t="shared" si="3"/>
        <v>T0257</v>
      </c>
      <c r="B258" s="1">
        <v>45787</v>
      </c>
      <c r="C258" t="str" cm="1">
        <f t="array" aca="1" ref="C258" ca="1">IF($O$7="Desbloqueado",
  _xlfn.LET(
    _xlpm.saldo_atual, SUM(($C$2:$C257="Entrada")*($F$2:$F257=Tabela_Movimentacao_Geral[[#This Row],[ID Produto]])*($H$2:$H257) - ($C$2:$C257="Saida")*($F$2:$F257=Tabela_Movimentacao_Geral[[#This Row],[ID Produto]])*($H$2:$H257)),
    IF(_xlpm.saldo_atual &gt; 0, IF(RANDBETWEEN(0,10)&gt;3,"Saida","Entrada"), "Entrada")
  ),
  Tabela_Movimentacao_Geral[[#This Row],[Tipo Fluxo]]
)</f>
        <v>Entrada</v>
      </c>
      <c r="D2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2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258" t="str">
        <f ca="1">IF(
  $O$7="Desbloqueado",
  "PROD"&amp;TEXT(RANDBETWEEN(1,200),"000"),
  Tabela_Movimentacao_Geral[[#This Row],[ID Produto]]
)</f>
        <v>PROD148</v>
      </c>
      <c r="G258" t="str">
        <f ca="1">_xlfn.XLOOKUP(Tabela_Movimentacao_Geral[[#This Row],[ID Produto]], Tabela_Produtos[ID_Produto],Tabela_Produtos[Descricao_Produto],"Produto não encontrado")</f>
        <v>Decapador de Cabos</v>
      </c>
      <c r="H258" cm="1">
        <f t="array" aca="1" ref="H258" ca="1">IF(
   $O$7="Desbloqueado",
   _xlfn.LET(
     _xlpm.saldo_atual, SUM(($C$2:$C257="Entrada")*($F$2:$F257=Tabela_Movimentacao_Geral[[#This Row],[ID Produto]])*($H$2:$H257) - ($C$2:$C257="Saida")*($F$2:$F257=Tabela_Movimentacao_Geral[[#This Row],[ID Produto]])*($H$2:$H257)),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96</v>
      </c>
      <c r="I258" s="5">
        <f ca="1">_xlfn.XLOOKUP(Tabela_Movimentacao_Geral[[#This Row],[ID Produto]], Tabela_Produtos[ID_Produto],Tabela_Produtos[Preco_Unitario_Venda])</f>
        <v>35</v>
      </c>
      <c r="J258" s="6">
        <f ca="1">Tabela_Movimentacao_Geral[[#This Row],[Quantidade]] * Tabela_Movimentacao_Geral[[#This Row],[Valor Unitário]]</f>
        <v>3360</v>
      </c>
      <c r="K258" t="str">
        <f ca="1">IF(
   $O$7="Desbloqueado",
   CHOOSE(RANDBETWEEN(1,3),"Pago","Pendente","Atrasado"),
   Tabela_Movimentacao_Geral[[#This Row],[Status Financeiro]]
)</f>
        <v>Pago</v>
      </c>
      <c r="L258" t="str">
        <f ca="1">IF(
   $O$7="Desbloqueado",
   CHOOSE(RANDBETWEEN(1,3),"Entregue","Em Rota","Aguardando"),
   Tabela_Movimentacao_Geral[[#This Row],[Status Logistico]]
)</f>
        <v>Entregue</v>
      </c>
      <c r="M25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45792</v>
      </c>
    </row>
    <row r="259" spans="1:13" x14ac:dyDescent="0.3">
      <c r="A259" t="str">
        <f t="shared" si="3"/>
        <v>T0258</v>
      </c>
      <c r="B259" s="1">
        <v>45787</v>
      </c>
      <c r="C259" t="str" cm="1">
        <f t="array" aca="1" ref="C259" ca="1">IF($O$7="Desbloqueado",
  _xlfn.LET(
    _xlpm.saldo_atual, SUM(($C$2:$C258="Entrada")*($F$2:$F258=Tabela_Movimentacao_Geral[[#This Row],[ID Produto]])*($H$2:$H258) - ($C$2:$C258="Saida")*($F$2:$F258=Tabela_Movimentacao_Geral[[#This Row],[ID Produto]])*($H$2:$H258)),
    IF(_xlpm.saldo_atual &gt; 0, IF(RANDBETWEEN(0,10)&gt;3,"Saida","Entrada"), "Entrada")
  ),
  Tabela_Movimentacao_Geral[[#This Row],[Tipo Fluxo]]
)</f>
        <v>Saida</v>
      </c>
      <c r="D2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2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59" t="str">
        <f ca="1">IF(
  $O$7="Desbloqueado",
  "PROD"&amp;TEXT(RANDBETWEEN(1,200),"000"),
  Tabela_Movimentacao_Geral[[#This Row],[ID Produto]]
)</f>
        <v>PROD134</v>
      </c>
      <c r="G259" t="str">
        <f ca="1">_xlfn.XLOOKUP(Tabela_Movimentacao_Geral[[#This Row],[ID Produto]], Tabela_Produtos[ID_Produto],Tabela_Produtos[Descricao_Produto],"Produto não encontrado")</f>
        <v>Suporte Projetor Teto</v>
      </c>
      <c r="H259" cm="1">
        <f t="array" aca="1" ref="H259" ca="1">IF(
   $O$7="Desbloqueado",
   _xlfn.LET(
     _xlpm.saldo_atual, SUM(($C$2:$C258="Entrada")*($F$2:$F258=Tabela_Movimentacao_Geral[[#This Row],[ID Produto]])*($H$2:$H258) - ($C$2:$C258="Saida")*($F$2:$F258=Tabela_Movimentacao_Geral[[#This Row],[ID Produto]])*($H$2:$H258)),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259" s="5">
        <f ca="1">_xlfn.XLOOKUP(Tabela_Movimentacao_Geral[[#This Row],[ID Produto]], Tabela_Produtos[ID_Produto],Tabela_Produtos[Preco_Unitario_Venda])</f>
        <v>155</v>
      </c>
      <c r="J259" s="6">
        <f ca="1">Tabela_Movimentacao_Geral[[#This Row],[Quantidade]] * Tabela_Movimentacao_Geral[[#This Row],[Valor Unitário]]</f>
        <v>2015</v>
      </c>
      <c r="K259" t="str">
        <f ca="1">IF(
   $O$7="Desbloqueado",
   CHOOSE(RANDBETWEEN(1,3),"Pago","Pendente","Atrasado"),
   Tabela_Movimentacao_Geral[[#This Row],[Status Financeiro]]
)</f>
        <v>Pago</v>
      </c>
      <c r="L259" t="str">
        <f ca="1">IF(
   $O$7="Desbloqueado",
   CHOOSE(RANDBETWEEN(1,3),"Entregue","Em Rota","Aguardando"),
   Tabela_Movimentacao_Geral[[#This Row],[Status Logistico]]
)</f>
        <v>Entregue</v>
      </c>
      <c r="M25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60" spans="1:13" x14ac:dyDescent="0.3">
      <c r="A260" t="str">
        <f t="shared" si="3"/>
        <v>T0259</v>
      </c>
      <c r="B260" s="1">
        <v>45787</v>
      </c>
      <c r="C260" t="str" cm="1">
        <f t="array" aca="1" ref="C260" ca="1">IF($O$7="Desbloqueado",
  _xlfn.LET(
    _xlpm.saldo_atual, SUM(($C$2:$C259="Entrada")*($F$2:$F259=Tabela_Movimentacao_Geral[[#This Row],[ID Produto]])*($H$2:$H259) - ($C$2:$C259="Saida")*($F$2:$F259=Tabela_Movimentacao_Geral[[#This Row],[ID Produto]])*($H$2:$H259)),
    IF(_xlpm.saldo_atual &gt; 0, IF(RANDBETWEEN(0,10)&gt;3,"Saida","Entrada"), "Entrada")
  ),
  Tabela_Movimentacao_Geral[[#This Row],[Tipo Fluxo]]
)</f>
        <v>Entrada</v>
      </c>
      <c r="D2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2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260" t="str">
        <f ca="1">IF(
  $O$7="Desbloqueado",
  "PROD"&amp;TEXT(RANDBETWEEN(1,200),"000"),
  Tabela_Movimentacao_Geral[[#This Row],[ID Produto]]
)</f>
        <v>PROD045</v>
      </c>
      <c r="G260" t="str">
        <f ca="1">_xlfn.XLOOKUP(Tabela_Movimentacao_Geral[[#This Row],[ID Produto]], Tabela_Produtos[ID_Produto],Tabela_Produtos[Descricao_Produto],"Produto não encontrado")</f>
        <v>Microfone de Mesa USB</v>
      </c>
      <c r="H260" cm="1">
        <f t="array" aca="1" ref="H260" ca="1">IF(
   $O$7="Desbloqueado",
   _xlfn.LET(
     _xlpm.saldo_atual, SUM(($C$2:$C259="Entrada")*($F$2:$F259=Tabela_Movimentacao_Geral[[#This Row],[ID Produto]])*($H$2:$H259) - ($C$2:$C259="Saida")*($F$2:$F259=Tabela_Movimentacao_Geral[[#This Row],[ID Produto]])*($H$2:$H259)),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260" s="5">
        <f ca="1">_xlfn.XLOOKUP(Tabela_Movimentacao_Geral[[#This Row],[ID Produto]], Tabela_Produtos[ID_Produto],Tabela_Produtos[Preco_Unitario_Venda])</f>
        <v>280</v>
      </c>
      <c r="J260" s="6">
        <f ca="1">Tabela_Movimentacao_Geral[[#This Row],[Quantidade]] * Tabela_Movimentacao_Geral[[#This Row],[Valor Unitário]]</f>
        <v>23520</v>
      </c>
      <c r="K260" t="str">
        <f ca="1">IF(
   $O$7="Desbloqueado",
   CHOOSE(RANDBETWEEN(1,3),"Pago","Pendente","Atrasado"),
   Tabela_Movimentacao_Geral[[#This Row],[Status Financeiro]]
)</f>
        <v>Pago</v>
      </c>
      <c r="L260" t="str">
        <f ca="1">IF(
   $O$7="Desbloqueado",
   CHOOSE(RANDBETWEEN(1,3),"Entregue","Em Rota","Aguardando"),
   Tabela_Movimentacao_Geral[[#This Row],[Status Logistico]]
)</f>
        <v>Entregue</v>
      </c>
      <c r="M26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45795</v>
      </c>
    </row>
    <row r="261" spans="1:13" x14ac:dyDescent="0.3">
      <c r="A261" t="str">
        <f t="shared" si="3"/>
        <v>T0260</v>
      </c>
      <c r="B261" s="1">
        <v>45788</v>
      </c>
      <c r="C261" t="str" cm="1">
        <f t="array" aca="1" ref="C261" ca="1">IF($O$7="Desbloqueado",
  _xlfn.LET(
    _xlpm.saldo_atual, SUM(($C$2:$C260="Entrada")*($F$2:$F260=Tabela_Movimentacao_Geral[[#This Row],[ID Produto]])*($H$2:$H260) - ($C$2:$C260="Saida")*($F$2:$F260=Tabela_Movimentacao_Geral[[#This Row],[ID Produto]])*($H$2:$H260)),
    IF(_xlpm.saldo_atual &gt; 0, IF(RANDBETWEEN(0,10)&gt;3,"Saida","Entrada"), "Entrada")
  ),
  Tabela_Movimentacao_Geral[[#This Row],[Tipo Fluxo]]
)</f>
        <v>Entrada</v>
      </c>
      <c r="D2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2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261" t="str">
        <f ca="1">IF(
  $O$7="Desbloqueado",
  "PROD"&amp;TEXT(RANDBETWEEN(1,200),"000"),
  Tabela_Movimentacao_Geral[[#This Row],[ID Produto]]
)</f>
        <v>PROD172</v>
      </c>
      <c r="G261" t="str">
        <f ca="1">_xlfn.XLOOKUP(Tabela_Movimentacao_Geral[[#This Row],[ID Produto]], Tabela_Produtos[ID_Produto],Tabela_Produtos[Descricao_Produto],"Produto não encontrado")</f>
        <v>Grampeador de Tapeceiro</v>
      </c>
      <c r="H261" cm="1">
        <f t="array" aca="1" ref="H261" ca="1">IF(
   $O$7="Desbloqueado",
   _xlfn.LET(
     _xlpm.saldo_atual, SUM(($C$2:$C260="Entrada")*($F$2:$F260=Tabela_Movimentacao_Geral[[#This Row],[ID Produto]])*($H$2:$H260) - ($C$2:$C260="Saida")*($F$2:$F260=Tabela_Movimentacao_Geral[[#This Row],[ID Produto]])*($H$2:$H260)),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51</v>
      </c>
      <c r="I261" s="5">
        <f ca="1">_xlfn.XLOOKUP(Tabela_Movimentacao_Geral[[#This Row],[ID Produto]], Tabela_Produtos[ID_Produto],Tabela_Produtos[Preco_Unitario_Venda])</f>
        <v>120</v>
      </c>
      <c r="J261" s="6">
        <f ca="1">Tabela_Movimentacao_Geral[[#This Row],[Quantidade]] * Tabela_Movimentacao_Geral[[#This Row],[Valor Unitário]]</f>
        <v>6120</v>
      </c>
      <c r="K261" t="str">
        <f ca="1">IF(
   $O$7="Desbloqueado",
   CHOOSE(RANDBETWEEN(1,3),"Pago","Pendente","Atrasado"),
   Tabela_Movimentacao_Geral[[#This Row],[Status Financeiro]]
)</f>
        <v>Pendente</v>
      </c>
      <c r="L261" t="str">
        <f ca="1">IF(
   $O$7="Desbloqueado",
   CHOOSE(RANDBETWEEN(1,3),"Entregue","Em Rota","Aguardando"),
   Tabela_Movimentacao_Geral[[#This Row],[Status Logistico]]
)</f>
        <v>Em Rota</v>
      </c>
      <c r="M26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45794</v>
      </c>
    </row>
    <row r="262" spans="1:13" x14ac:dyDescent="0.3">
      <c r="A262" t="str">
        <f t="shared" si="3"/>
        <v>T0261</v>
      </c>
      <c r="B262" s="1">
        <v>45788</v>
      </c>
      <c r="C262" t="str" cm="1">
        <f t="array" aca="1" ref="C262" ca="1">IF($O$7="Desbloqueado",
  _xlfn.LET(
    _xlpm.saldo_atual, SUM(($C$2:$C261="Entrada")*($F$2:$F261=Tabela_Movimentacao_Geral[[#This Row],[ID Produto]])*($H$2:$H261) - ($C$2:$C261="Saida")*($F$2:$F261=Tabela_Movimentacao_Geral[[#This Row],[ID Produto]])*($H$2:$H261)),
    IF(_xlpm.saldo_atual &gt; 0, IF(RANDBETWEEN(0,10)&gt;3,"Saida","Entrada"), "Entrada")
  ),
  Tabela_Movimentacao_Geral[[#This Row],[Tipo Fluxo]]
)</f>
        <v>Entrada</v>
      </c>
      <c r="D2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2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262" t="str">
        <f ca="1">IF(
  $O$7="Desbloqueado",
  "PROD"&amp;TEXT(RANDBETWEEN(1,200),"000"),
  Tabela_Movimentacao_Geral[[#This Row],[ID Produto]]
)</f>
        <v>PROD017</v>
      </c>
      <c r="G262" t="str">
        <f ca="1">_xlfn.XLOOKUP(Tabela_Movimentacao_Geral[[#This Row],[ID Produto]], Tabela_Produtos[ID_Produto],Tabela_Produtos[Descricao_Produto],"Produto não encontrado")</f>
        <v>Adaptador USB-C para HDMI</v>
      </c>
      <c r="H262" cm="1">
        <f t="array" aca="1" ref="H262" ca="1">IF(
   $O$7="Desbloqueado",
   _xlfn.LET(
     _xlpm.saldo_atual, SUM(($C$2:$C261="Entrada")*($F$2:$F261=Tabela_Movimentacao_Geral[[#This Row],[ID Produto]])*($H$2:$H261) - ($C$2:$C261="Saida")*($F$2:$F261=Tabela_Movimentacao_Geral[[#This Row],[ID Produto]])*($H$2:$H261)),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262" s="5">
        <f ca="1">_xlfn.XLOOKUP(Tabela_Movimentacao_Geral[[#This Row],[ID Produto]], Tabela_Produtos[ID_Produto],Tabela_Produtos[Preco_Unitario_Venda])</f>
        <v>130</v>
      </c>
      <c r="J262" s="6">
        <f ca="1">Tabela_Movimentacao_Geral[[#This Row],[Quantidade]] * Tabela_Movimentacao_Geral[[#This Row],[Valor Unitário]]</f>
        <v>8970</v>
      </c>
      <c r="K262" t="str">
        <f ca="1">IF(
   $O$7="Desbloqueado",
   CHOOSE(RANDBETWEEN(1,3),"Pago","Pendente","Atrasado"),
   Tabela_Movimentacao_Geral[[#This Row],[Status Financeiro]]
)</f>
        <v>Atrasado</v>
      </c>
      <c r="L262" t="str">
        <f ca="1">IF(
   $O$7="Desbloqueado",
   CHOOSE(RANDBETWEEN(1,3),"Entregue","Em Rota","Aguardando"),
   Tabela_Movimentacao_Geral[[#This Row],[Status Logistico]]
)</f>
        <v>Entregue</v>
      </c>
      <c r="M26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45789</v>
      </c>
    </row>
    <row r="263" spans="1:13" x14ac:dyDescent="0.3">
      <c r="A263" t="str">
        <f t="shared" si="3"/>
        <v>T0262</v>
      </c>
      <c r="B263" s="1">
        <v>45788</v>
      </c>
      <c r="C263" t="str" cm="1">
        <f t="array" aca="1" ref="C263" ca="1">IF($O$7="Desbloqueado",
  _xlfn.LET(
    _xlpm.saldo_atual, SUM(($C$2:$C262="Entrada")*($F$2:$F262=Tabela_Movimentacao_Geral[[#This Row],[ID Produto]])*($H$2:$H262) - ($C$2:$C262="Saida")*($F$2:$F262=Tabela_Movimentacao_Geral[[#This Row],[ID Produto]])*($H$2:$H262)),
    IF(_xlpm.saldo_atual &gt; 0, IF(RANDBETWEEN(0,10)&gt;3,"Saida","Entrada"), "Entrada")
  ),
  Tabela_Movimentacao_Geral[[#This Row],[Tipo Fluxo]]
)</f>
        <v>Saida</v>
      </c>
      <c r="D2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2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263" t="str">
        <f ca="1">IF(
  $O$7="Desbloqueado",
  "PROD"&amp;TEXT(RANDBETWEEN(1,200),"000"),
  Tabela_Movimentacao_Geral[[#This Row],[ID Produto]]
)</f>
        <v>PROD181</v>
      </c>
      <c r="G263" t="str">
        <f ca="1">_xlfn.XLOOKUP(Tabela_Movimentacao_Geral[[#This Row],[ID Produto]], Tabela_Produtos[ID_Produto],Tabela_Produtos[Descricao_Produto],"Produto não encontrado")</f>
        <v>Servidor Tower i3 16GB</v>
      </c>
      <c r="H263" cm="1">
        <f t="array" aca="1" ref="H263" ca="1">IF(
   $O$7="Desbloqueado",
   _xlfn.LET(
     _xlpm.saldo_atual, SUM(($C$2:$C262="Entrada")*($F$2:$F262=Tabela_Movimentacao_Geral[[#This Row],[ID Produto]])*($H$2:$H262) - ($C$2:$C262="Saida")*($F$2:$F262=Tabela_Movimentacao_Geral[[#This Row],[ID Produto]])*($H$2:$H262)),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263" s="5">
        <f ca="1">_xlfn.XLOOKUP(Tabela_Movimentacao_Geral[[#This Row],[ID Produto]], Tabela_Produtos[ID_Produto],Tabela_Produtos[Preco_Unitario_Venda])</f>
        <v>6500</v>
      </c>
      <c r="J263" s="6">
        <f ca="1">Tabela_Movimentacao_Geral[[#This Row],[Quantidade]] * Tabela_Movimentacao_Geral[[#This Row],[Valor Unitário]]</f>
        <v>6500</v>
      </c>
      <c r="K263" t="str">
        <f ca="1">IF(
   $O$7="Desbloqueado",
   CHOOSE(RANDBETWEEN(1,3),"Pago","Pendente","Atrasado"),
   Tabela_Movimentacao_Geral[[#This Row],[Status Financeiro]]
)</f>
        <v>Pendente</v>
      </c>
      <c r="L263" t="str">
        <f ca="1">IF(
   $O$7="Desbloqueado",
   CHOOSE(RANDBETWEEN(1,3),"Entregue","Em Rota","Aguardando"),
   Tabela_Movimentacao_Geral[[#This Row],[Status Logistico]]
)</f>
        <v>Em Rota</v>
      </c>
      <c r="M26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64" spans="1:13" x14ac:dyDescent="0.3">
      <c r="A264" t="str">
        <f t="shared" si="3"/>
        <v>T0263</v>
      </c>
      <c r="B264" s="1">
        <v>45789</v>
      </c>
      <c r="C264" t="str" cm="1">
        <f t="array" aca="1" ref="C264" ca="1">IF($O$7="Desbloqueado",
  _xlfn.LET(
    _xlpm.saldo_atual, SUM(($C$2:$C263="Entrada")*($F$2:$F263=Tabela_Movimentacao_Geral[[#This Row],[ID Produto]])*($H$2:$H263) - ($C$2:$C263="Saida")*($F$2:$F263=Tabela_Movimentacao_Geral[[#This Row],[ID Produto]])*($H$2:$H263)),
    IF(_xlpm.saldo_atual &gt; 0, IF(RANDBETWEEN(0,10)&gt;3,"Saida","Entrada"), "Entrada")
  ),
  Tabela_Movimentacao_Geral[[#This Row],[Tipo Fluxo]]
)</f>
        <v>Saida</v>
      </c>
      <c r="D2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2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264" t="str">
        <f ca="1">IF(
  $O$7="Desbloqueado",
  "PROD"&amp;TEXT(RANDBETWEEN(1,200),"000"),
  Tabela_Movimentacao_Geral[[#This Row],[ID Produto]]
)</f>
        <v>PROD131</v>
      </c>
      <c r="G264" t="str">
        <f ca="1">_xlfn.XLOOKUP(Tabela_Movimentacao_Geral[[#This Row],[ID Produto]], Tabela_Produtos[ID_Produto],Tabela_Produtos[Descricao_Produto],"Produto não encontrado")</f>
        <v>Bateria Nobreak 12V 7Ah</v>
      </c>
      <c r="H264" cm="1">
        <f t="array" aca="1" ref="H264" ca="1">IF(
   $O$7="Desbloqueado",
   _xlfn.LET(
     _xlpm.saldo_atual, SUM(($C$2:$C263="Entrada")*($F$2:$F263=Tabela_Movimentacao_Geral[[#This Row],[ID Produto]])*($H$2:$H263) - ($C$2:$C263="Saida")*($F$2:$F263=Tabela_Movimentacao_Geral[[#This Row],[ID Produto]])*($H$2:$H263)),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264" s="5">
        <f ca="1">_xlfn.XLOOKUP(Tabela_Movimentacao_Geral[[#This Row],[ID Produto]], Tabela_Produtos[ID_Produto],Tabela_Produtos[Preco_Unitario_Venda])</f>
        <v>145</v>
      </c>
      <c r="J264" s="6">
        <f ca="1">Tabela_Movimentacao_Geral[[#This Row],[Quantidade]] * Tabela_Movimentacao_Geral[[#This Row],[Valor Unitário]]</f>
        <v>145</v>
      </c>
      <c r="K264" t="str">
        <f ca="1">IF(
   $O$7="Desbloqueado",
   CHOOSE(RANDBETWEEN(1,3),"Pago","Pendente","Atrasado"),
   Tabela_Movimentacao_Geral[[#This Row],[Status Financeiro]]
)</f>
        <v>Pago</v>
      </c>
      <c r="L264" t="str">
        <f ca="1">IF(
   $O$7="Desbloqueado",
   CHOOSE(RANDBETWEEN(1,3),"Entregue","Em Rota","Aguardando"),
   Tabela_Movimentacao_Geral[[#This Row],[Status Logistico]]
)</f>
        <v>Aguardando</v>
      </c>
      <c r="M26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65" spans="1:13" x14ac:dyDescent="0.3">
      <c r="A265" t="str">
        <f t="shared" si="3"/>
        <v>T0264</v>
      </c>
      <c r="B265" s="1">
        <v>45789</v>
      </c>
      <c r="C265" t="str" cm="1">
        <f t="array" aca="1" ref="C265" ca="1">IF($O$7="Desbloqueado",
  _xlfn.LET(
    _xlpm.saldo_atual, SUM(($C$2:$C264="Entrada")*($F$2:$F264=Tabela_Movimentacao_Geral[[#This Row],[ID Produto]])*($H$2:$H264) - ($C$2:$C264="Saida")*($F$2:$F264=Tabela_Movimentacao_Geral[[#This Row],[ID Produto]])*($H$2:$H264)),
    IF(_xlpm.saldo_atual &gt; 0, IF(RANDBETWEEN(0,10)&gt;3,"Saida","Entrada"), "Entrada")
  ),
  Tabela_Movimentacao_Geral[[#This Row],[Tipo Fluxo]]
)</f>
        <v>Saida</v>
      </c>
      <c r="D2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2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265" t="str">
        <f ca="1">IF(
  $O$7="Desbloqueado",
  "PROD"&amp;TEXT(RANDBETWEEN(1,200),"000"),
  Tabela_Movimentacao_Geral[[#This Row],[ID Produto]]
)</f>
        <v>PROD197</v>
      </c>
      <c r="G265" t="str">
        <f ca="1">_xlfn.XLOOKUP(Tabela_Movimentacao_Geral[[#This Row],[ID Produto]], Tabela_Produtos[ID_Produto],Tabela_Produtos[Descricao_Produto],"Produto não encontrado")</f>
        <v>Soprador Térmico 1800W</v>
      </c>
      <c r="H265" cm="1">
        <f t="array" aca="1" ref="H265" ca="1">IF(
   $O$7="Desbloqueado",
   _xlfn.LET(
     _xlpm.saldo_atual, SUM(($C$2:$C264="Entrada")*($F$2:$F264=Tabela_Movimentacao_Geral[[#This Row],[ID Produto]])*($H$2:$H264) - ($C$2:$C264="Saida")*($F$2:$F264=Tabela_Movimentacao_Geral[[#This Row],[ID Produto]])*($H$2:$H264)),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265" s="5">
        <f ca="1">_xlfn.XLOOKUP(Tabela_Movimentacao_Geral[[#This Row],[ID Produto]], Tabela_Produtos[ID_Produto],Tabela_Produtos[Preco_Unitario_Venda])</f>
        <v>280</v>
      </c>
      <c r="J265" s="6">
        <f ca="1">Tabela_Movimentacao_Geral[[#This Row],[Quantidade]] * Tabela_Movimentacao_Geral[[#This Row],[Valor Unitário]]</f>
        <v>8400</v>
      </c>
      <c r="K265" t="str">
        <f ca="1">IF(
   $O$7="Desbloqueado",
   CHOOSE(RANDBETWEEN(1,3),"Pago","Pendente","Atrasado"),
   Tabela_Movimentacao_Geral[[#This Row],[Status Financeiro]]
)</f>
        <v>Pendente</v>
      </c>
      <c r="L265" t="str">
        <f ca="1">IF(
   $O$7="Desbloqueado",
   CHOOSE(RANDBETWEEN(1,3),"Entregue","Em Rota","Aguardando"),
   Tabela_Movimentacao_Geral[[#This Row],[Status Logistico]]
)</f>
        <v>Aguardando</v>
      </c>
      <c r="M26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66" spans="1:13" x14ac:dyDescent="0.3">
      <c r="A266" t="str">
        <f t="shared" si="3"/>
        <v>T0265</v>
      </c>
      <c r="B266" s="1">
        <v>45791</v>
      </c>
      <c r="C266" t="str" cm="1">
        <f t="array" aca="1" ref="C266" ca="1">IF($O$7="Desbloqueado",
  _xlfn.LET(
    _xlpm.saldo_atual, SUM(($C$2:$C265="Entrada")*($F$2:$F265=Tabela_Movimentacao_Geral[[#This Row],[ID Produto]])*($H$2:$H265) - ($C$2:$C265="Saida")*($F$2:$F265=Tabela_Movimentacao_Geral[[#This Row],[ID Produto]])*($H$2:$H265)),
    IF(_xlpm.saldo_atual &gt; 0, IF(RANDBETWEEN(0,10)&gt;3,"Saida","Entrada"), "Entrada")
  ),
  Tabela_Movimentacao_Geral[[#This Row],[Tipo Fluxo]]
)</f>
        <v>Saida</v>
      </c>
      <c r="D2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2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266" t="str">
        <f ca="1">IF(
  $O$7="Desbloqueado",
  "PROD"&amp;TEXT(RANDBETWEEN(1,200),"000"),
  Tabela_Movimentacao_Geral[[#This Row],[ID Produto]]
)</f>
        <v>PROD061</v>
      </c>
      <c r="G266" t="str">
        <f ca="1">_xlfn.XLOOKUP(Tabela_Movimentacao_Geral[[#This Row],[ID Produto]], Tabela_Produtos[ID_Produto],Tabela_Produtos[Descricao_Produto],"Produto não encontrado")</f>
        <v>Borracha Branca Escolar</v>
      </c>
      <c r="H266" cm="1">
        <f t="array" aca="1" ref="H266" ca="1">IF(
   $O$7="Desbloqueado",
   _xlfn.LET(
     _xlpm.saldo_atual, SUM(($C$2:$C265="Entrada")*($F$2:$F265=Tabela_Movimentacao_Geral[[#This Row],[ID Produto]])*($H$2:$H265) - ($C$2:$C265="Saida")*($F$2:$F265=Tabela_Movimentacao_Geral[[#This Row],[ID Produto]])*($H$2:$H265)),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146</v>
      </c>
      <c r="I266" s="5">
        <f ca="1">_xlfn.XLOOKUP(Tabela_Movimentacao_Geral[[#This Row],[ID Produto]], Tabela_Produtos[ID_Produto],Tabela_Produtos[Preco_Unitario_Venda])</f>
        <v>2.5</v>
      </c>
      <c r="J266" s="6">
        <f ca="1">Tabela_Movimentacao_Geral[[#This Row],[Quantidade]] * Tabela_Movimentacao_Geral[[#This Row],[Valor Unitário]]</f>
        <v>365</v>
      </c>
      <c r="K266" t="str">
        <f ca="1">IF(
   $O$7="Desbloqueado",
   CHOOSE(RANDBETWEEN(1,3),"Pago","Pendente","Atrasado"),
   Tabela_Movimentacao_Geral[[#This Row],[Status Financeiro]]
)</f>
        <v>Atrasado</v>
      </c>
      <c r="L266" t="str">
        <f ca="1">IF(
   $O$7="Desbloqueado",
   CHOOSE(RANDBETWEEN(1,3),"Entregue","Em Rota","Aguardando"),
   Tabela_Movimentacao_Geral[[#This Row],[Status Logistico]]
)</f>
        <v>Em Rota</v>
      </c>
      <c r="M26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67" spans="1:13" x14ac:dyDescent="0.3">
      <c r="A267" t="str">
        <f t="shared" si="3"/>
        <v>T0266</v>
      </c>
      <c r="B267" s="1">
        <v>45791</v>
      </c>
      <c r="C267" t="str" cm="1">
        <f t="array" aca="1" ref="C267" ca="1">IF($O$7="Desbloqueado",
  _xlfn.LET(
    _xlpm.saldo_atual, SUM(($C$2:$C266="Entrada")*($F$2:$F266=Tabela_Movimentacao_Geral[[#This Row],[ID Produto]])*($H$2:$H266) - ($C$2:$C266="Saida")*($F$2:$F266=Tabela_Movimentacao_Geral[[#This Row],[ID Produto]])*($H$2:$H266)),
    IF(_xlpm.saldo_atual &gt; 0, IF(RANDBETWEEN(0,10)&gt;3,"Saida","Entrada"), "Entrada")
  ),
  Tabela_Movimentacao_Geral[[#This Row],[Tipo Fluxo]]
)</f>
        <v>Saida</v>
      </c>
      <c r="D2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2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67" t="str">
        <f ca="1">IF(
  $O$7="Desbloqueado",
  "PROD"&amp;TEXT(RANDBETWEEN(1,200),"000"),
  Tabela_Movimentacao_Geral[[#This Row],[ID Produto]]
)</f>
        <v>PROD034</v>
      </c>
      <c r="G267" t="str">
        <f ca="1">_xlfn.XLOOKUP(Tabela_Movimentacao_Geral[[#This Row],[ID Produto]], Tabela_Produtos[ID_Produto],Tabela_Produtos[Descricao_Produto],"Produto não encontrado")</f>
        <v>Projetor Multimidia 4K</v>
      </c>
      <c r="H267" cm="1">
        <f t="array" aca="1" ref="H267" ca="1">IF(
   $O$7="Desbloqueado",
   _xlfn.LET(
     _xlpm.saldo_atual, SUM(($C$2:$C266="Entrada")*($F$2:$F266=Tabela_Movimentacao_Geral[[#This Row],[ID Produto]])*($H$2:$H266) - ($C$2:$C266="Saida")*($F$2:$F266=Tabela_Movimentacao_Geral[[#This Row],[ID Produto]])*($H$2:$H266)),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267" s="5">
        <f ca="1">_xlfn.XLOOKUP(Tabela_Movimentacao_Geral[[#This Row],[ID Produto]], Tabela_Produtos[ID_Produto],Tabela_Produtos[Preco_Unitario_Venda])</f>
        <v>4200</v>
      </c>
      <c r="J267" s="6">
        <f ca="1">Tabela_Movimentacao_Geral[[#This Row],[Quantidade]] * Tabela_Movimentacao_Geral[[#This Row],[Valor Unitário]]</f>
        <v>58800</v>
      </c>
      <c r="K267" t="str">
        <f ca="1">IF(
   $O$7="Desbloqueado",
   CHOOSE(RANDBETWEEN(1,3),"Pago","Pendente","Atrasado"),
   Tabela_Movimentacao_Geral[[#This Row],[Status Financeiro]]
)</f>
        <v>Pendente</v>
      </c>
      <c r="L267" t="str">
        <f ca="1">IF(
   $O$7="Desbloqueado",
   CHOOSE(RANDBETWEEN(1,3),"Entregue","Em Rota","Aguardando"),
   Tabela_Movimentacao_Geral[[#This Row],[Status Logistico]]
)</f>
        <v>Em Rota</v>
      </c>
      <c r="M26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68" spans="1:13" x14ac:dyDescent="0.3">
      <c r="A268" t="str">
        <f t="shared" si="3"/>
        <v>T0267</v>
      </c>
      <c r="B268" s="1">
        <v>45791</v>
      </c>
      <c r="C268" t="str" cm="1">
        <f t="array" aca="1" ref="C268" ca="1">IF($O$7="Desbloqueado",
  _xlfn.LET(
    _xlpm.saldo_atual, SUM(($C$2:$C267="Entrada")*($F$2:$F267=Tabela_Movimentacao_Geral[[#This Row],[ID Produto]])*($H$2:$H267) - ($C$2:$C267="Saida")*($F$2:$F267=Tabela_Movimentacao_Geral[[#This Row],[ID Produto]])*($H$2:$H267)),
    IF(_xlpm.saldo_atual &gt; 0, IF(RANDBETWEEN(0,10)&gt;3,"Saida","Entrada"), "Entrada")
  ),
  Tabela_Movimentacao_Geral[[#This Row],[Tipo Fluxo]]
)</f>
        <v>Saida</v>
      </c>
      <c r="D2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2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268" t="str">
        <f ca="1">IF(
  $O$7="Desbloqueado",
  "PROD"&amp;TEXT(RANDBETWEEN(1,200),"000"),
  Tabela_Movimentacao_Geral[[#This Row],[ID Produto]]
)</f>
        <v>PROD012</v>
      </c>
      <c r="G268" t="str">
        <f ca="1">_xlfn.XLOOKUP(Tabela_Movimentacao_Geral[[#This Row],[ID Produto]], Tabela_Produtos[ID_Produto],Tabela_Produtos[Descricao_Produto],"Produto não encontrado")</f>
        <v>Webcam 1080p Business</v>
      </c>
      <c r="H268" cm="1">
        <f t="array" aca="1" ref="H268" ca="1">IF(
   $O$7="Desbloqueado",
   _xlfn.LET(
     _xlpm.saldo_atual, SUM(($C$2:$C267="Entrada")*($F$2:$F267=Tabela_Movimentacao_Geral[[#This Row],[ID Produto]])*($H$2:$H267) - ($C$2:$C267="Saida")*($F$2:$F267=Tabela_Movimentacao_Geral[[#This Row],[ID Produto]])*($H$2:$H267)),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268" s="5">
        <f ca="1">_xlfn.XLOOKUP(Tabela_Movimentacao_Geral[[#This Row],[ID Produto]], Tabela_Produtos[ID_Produto],Tabela_Produtos[Preco_Unitario_Venda])</f>
        <v>450</v>
      </c>
      <c r="J268" s="6">
        <f ca="1">Tabela_Movimentacao_Geral[[#This Row],[Quantidade]] * Tabela_Movimentacao_Geral[[#This Row],[Valor Unitário]]</f>
        <v>4500</v>
      </c>
      <c r="K268" t="str">
        <f ca="1">IF(
   $O$7="Desbloqueado",
   CHOOSE(RANDBETWEEN(1,3),"Pago","Pendente","Atrasado"),
   Tabela_Movimentacao_Geral[[#This Row],[Status Financeiro]]
)</f>
        <v>Atrasado</v>
      </c>
      <c r="L268" t="str">
        <f ca="1">IF(
   $O$7="Desbloqueado",
   CHOOSE(RANDBETWEEN(1,3),"Entregue","Em Rota","Aguardando"),
   Tabela_Movimentacao_Geral[[#This Row],[Status Logistico]]
)</f>
        <v>Aguardando</v>
      </c>
      <c r="M26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69" spans="1:13" x14ac:dyDescent="0.3">
      <c r="A269" t="str">
        <f t="shared" si="3"/>
        <v>T0268</v>
      </c>
      <c r="B269" s="1">
        <v>45791</v>
      </c>
      <c r="C269" t="str" cm="1">
        <f t="array" aca="1" ref="C269" ca="1">IF($O$7="Desbloqueado",
  _xlfn.LET(
    _xlpm.saldo_atual, SUM(($C$2:$C268="Entrada")*($F$2:$F268=Tabela_Movimentacao_Geral[[#This Row],[ID Produto]])*($H$2:$H268) - ($C$2:$C268="Saida")*($F$2:$F268=Tabela_Movimentacao_Geral[[#This Row],[ID Produto]])*($H$2:$H268)),
    IF(_xlpm.saldo_atual &gt; 0, IF(RANDBETWEEN(0,10)&gt;3,"Saida","Entrada"), "Entrada")
  ),
  Tabela_Movimentacao_Geral[[#This Row],[Tipo Fluxo]]
)</f>
        <v>Entrada</v>
      </c>
      <c r="D2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2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269" t="str">
        <f ca="1">IF(
  $O$7="Desbloqueado",
  "PROD"&amp;TEXT(RANDBETWEEN(1,200),"000"),
  Tabela_Movimentacao_Geral[[#This Row],[ID Produto]]
)</f>
        <v>PROD068</v>
      </c>
      <c r="G269" t="str">
        <f ca="1">_xlfn.XLOOKUP(Tabela_Movimentacao_Geral[[#This Row],[ID Produto]], Tabela_Produtos[ID_Produto],Tabela_Produtos[Descricao_Produto],"Produto não encontrado")</f>
        <v>Quadro Branco 90x60</v>
      </c>
      <c r="H269" cm="1">
        <f t="array" aca="1" ref="H269" ca="1">IF(
   $O$7="Desbloqueado",
   _xlfn.LET(
     _xlpm.saldo_atual, SUM(($C$2:$C268="Entrada")*($F$2:$F268=Tabela_Movimentacao_Geral[[#This Row],[ID Produto]])*($H$2:$H268) - ($C$2:$C268="Saida")*($F$2:$F268=Tabela_Movimentacao_Geral[[#This Row],[ID Produto]])*($H$2:$H268)),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269" s="5">
        <f ca="1">_xlfn.XLOOKUP(Tabela_Movimentacao_Geral[[#This Row],[ID Produto]], Tabela_Produtos[ID_Produto],Tabela_Produtos[Preco_Unitario_Venda])</f>
        <v>180</v>
      </c>
      <c r="J269" s="6">
        <f ca="1">Tabela_Movimentacao_Geral[[#This Row],[Quantidade]] * Tabela_Movimentacao_Geral[[#This Row],[Valor Unitário]]</f>
        <v>3060</v>
      </c>
      <c r="K269" t="str">
        <f ca="1">IF(
   $O$7="Desbloqueado",
   CHOOSE(RANDBETWEEN(1,3),"Pago","Pendente","Atrasado"),
   Tabela_Movimentacao_Geral[[#This Row],[Status Financeiro]]
)</f>
        <v>Pendente</v>
      </c>
      <c r="L269" t="str">
        <f ca="1">IF(
   $O$7="Desbloqueado",
   CHOOSE(RANDBETWEEN(1,3),"Entregue","Em Rota","Aguardando"),
   Tabela_Movimentacao_Geral[[#This Row],[Status Logistico]]
)</f>
        <v>Em Rota</v>
      </c>
      <c r="M26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45792</v>
      </c>
    </row>
    <row r="270" spans="1:13" x14ac:dyDescent="0.3">
      <c r="A270" t="str">
        <f t="shared" si="3"/>
        <v>T0269</v>
      </c>
      <c r="B270" s="1">
        <v>45791</v>
      </c>
      <c r="C270" t="str" cm="1">
        <f t="array" aca="1" ref="C270" ca="1">IF($O$7="Desbloqueado",
  _xlfn.LET(
    _xlpm.saldo_atual, SUM(($C$2:$C269="Entrada")*($F$2:$F269=Tabela_Movimentacao_Geral[[#This Row],[ID Produto]])*($H$2:$H269) - ($C$2:$C269="Saida")*($F$2:$F269=Tabela_Movimentacao_Geral[[#This Row],[ID Produto]])*($H$2:$H269)),
    IF(_xlpm.saldo_atual &gt; 0, IF(RANDBETWEEN(0,10)&gt;3,"Saida","Entrada"), "Entrada")
  ),
  Tabela_Movimentacao_Geral[[#This Row],[Tipo Fluxo]]
)</f>
        <v>Entrada</v>
      </c>
      <c r="D2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2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270" t="str">
        <f ca="1">IF(
  $O$7="Desbloqueado",
  "PROD"&amp;TEXT(RANDBETWEEN(1,200),"000"),
  Tabela_Movimentacao_Geral[[#This Row],[ID Produto]]
)</f>
        <v>PROD107</v>
      </c>
      <c r="G270" t="str">
        <f ca="1">_xlfn.XLOOKUP(Tabela_Movimentacao_Geral[[#This Row],[ID Produto]], Tabela_Produtos[ID_Produto],Tabela_Produtos[Descricao_Produto],"Produto não encontrado")</f>
        <v>Impressora Termica Cupom</v>
      </c>
      <c r="H270" cm="1">
        <f t="array" aca="1" ref="H270" ca="1">IF(
   $O$7="Desbloqueado",
   _xlfn.LET(
     _xlpm.saldo_atual, SUM(($C$2:$C269="Entrada")*($F$2:$F269=Tabela_Movimentacao_Geral[[#This Row],[ID Produto]])*($H$2:$H269) - ($C$2:$C269="Saida")*($F$2:$F269=Tabela_Movimentacao_Geral[[#This Row],[ID Produto]])*($H$2:$H269)),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52</v>
      </c>
      <c r="I270" s="5">
        <f ca="1">_xlfn.XLOOKUP(Tabela_Movimentacao_Geral[[#This Row],[ID Produto]], Tabela_Produtos[ID_Produto],Tabela_Produtos[Preco_Unitario_Venda])</f>
        <v>680</v>
      </c>
      <c r="J270" s="6">
        <f ca="1">Tabela_Movimentacao_Geral[[#This Row],[Quantidade]] * Tabela_Movimentacao_Geral[[#This Row],[Valor Unitário]]</f>
        <v>35360</v>
      </c>
      <c r="K270" t="str">
        <f ca="1">IF(
   $O$7="Desbloqueado",
   CHOOSE(RANDBETWEEN(1,3),"Pago","Pendente","Atrasado"),
   Tabela_Movimentacao_Geral[[#This Row],[Status Financeiro]]
)</f>
        <v>Atrasado</v>
      </c>
      <c r="L270" t="str">
        <f ca="1">IF(
   $O$7="Desbloqueado",
   CHOOSE(RANDBETWEEN(1,3),"Entregue","Em Rota","Aguardando"),
   Tabela_Movimentacao_Geral[[#This Row],[Status Logistico]]
)</f>
        <v>Entregue</v>
      </c>
      <c r="M27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45793</v>
      </c>
    </row>
    <row r="271" spans="1:13" x14ac:dyDescent="0.3">
      <c r="A271" t="str">
        <f t="shared" si="3"/>
        <v>T0270</v>
      </c>
      <c r="B271" s="1">
        <v>45792</v>
      </c>
      <c r="C271" t="str" cm="1">
        <f t="array" aca="1" ref="C271" ca="1">IF($O$7="Desbloqueado",
  _xlfn.LET(
    _xlpm.saldo_atual, SUM(($C$2:$C270="Entrada")*($F$2:$F270=Tabela_Movimentacao_Geral[[#This Row],[ID Produto]])*($H$2:$H270) - ($C$2:$C270="Saida")*($F$2:$F270=Tabela_Movimentacao_Geral[[#This Row],[ID Produto]])*($H$2:$H270)),
    IF(_xlpm.saldo_atual &gt; 0, IF(RANDBETWEEN(0,10)&gt;3,"Saida","Entrada"), "Entrada")
  ),
  Tabela_Movimentacao_Geral[[#This Row],[Tipo Fluxo]]
)</f>
        <v>Entrada</v>
      </c>
      <c r="D2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2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271" t="str">
        <f ca="1">IF(
  $O$7="Desbloqueado",
  "PROD"&amp;TEXT(RANDBETWEEN(1,200),"000"),
  Tabela_Movimentacao_Geral[[#This Row],[ID Produto]]
)</f>
        <v>PROD075</v>
      </c>
      <c r="G271" t="str">
        <f ca="1">_xlfn.XLOOKUP(Tabela_Movimentacao_Geral[[#This Row],[ID Produto]], Tabela_Produtos[ID_Produto],Tabela_Produtos[Descricao_Produto],"Produto não encontrado")</f>
        <v>Suporte de Pasta Acrilico</v>
      </c>
      <c r="H271" cm="1">
        <f t="array" aca="1" ref="H271" ca="1">IF(
   $O$7="Desbloqueado",
   _xlfn.LET(
     _xlpm.saldo_atual, SUM(($C$2:$C270="Entrada")*($F$2:$F270=Tabela_Movimentacao_Geral[[#This Row],[ID Produto]])*($H$2:$H270) - ($C$2:$C270="Saida")*($F$2:$F270=Tabela_Movimentacao_Geral[[#This Row],[ID Produto]])*($H$2:$H270)),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105</v>
      </c>
      <c r="I271" s="5">
        <f ca="1">_xlfn.XLOOKUP(Tabela_Movimentacao_Geral[[#This Row],[ID Produto]], Tabela_Produtos[ID_Produto],Tabela_Produtos[Preco_Unitario_Venda])</f>
        <v>38</v>
      </c>
      <c r="J271" s="6">
        <f ca="1">Tabela_Movimentacao_Geral[[#This Row],[Quantidade]] * Tabela_Movimentacao_Geral[[#This Row],[Valor Unitário]]</f>
        <v>3990</v>
      </c>
      <c r="K271" t="str">
        <f ca="1">IF(
   $O$7="Desbloqueado",
   CHOOSE(RANDBETWEEN(1,3),"Pago","Pendente","Atrasado"),
   Tabela_Movimentacao_Geral[[#This Row],[Status Financeiro]]
)</f>
        <v>Atrasado</v>
      </c>
      <c r="L271" t="str">
        <f ca="1">IF(
   $O$7="Desbloqueado",
   CHOOSE(RANDBETWEEN(1,3),"Entregue","Em Rota","Aguardando"),
   Tabela_Movimentacao_Geral[[#This Row],[Status Logistico]]
)</f>
        <v>Aguardando</v>
      </c>
      <c r="M2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45796</v>
      </c>
    </row>
    <row r="272" spans="1:13" x14ac:dyDescent="0.3">
      <c r="A272" t="str">
        <f t="shared" si="3"/>
        <v>T0271</v>
      </c>
      <c r="B272" s="1">
        <v>45793</v>
      </c>
      <c r="C272" t="str" cm="1">
        <f t="array" aca="1" ref="C272" ca="1">IF($O$7="Desbloqueado",
  _xlfn.LET(
    _xlpm.saldo_atual, SUM(($C$2:$C271="Entrada")*($F$2:$F271=Tabela_Movimentacao_Geral[[#This Row],[ID Produto]])*($H$2:$H271) - ($C$2:$C271="Saida")*($F$2:$F271=Tabela_Movimentacao_Geral[[#This Row],[ID Produto]])*($H$2:$H271)),
    IF(_xlpm.saldo_atual &gt; 0, IF(RANDBETWEEN(0,10)&gt;3,"Saida","Entrada"), "Entrada")
  ),
  Tabela_Movimentacao_Geral[[#This Row],[Tipo Fluxo]]
)</f>
        <v>Entrada</v>
      </c>
      <c r="D2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2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272" t="str">
        <f ca="1">IF(
  $O$7="Desbloqueado",
  "PROD"&amp;TEXT(RANDBETWEEN(1,200),"000"),
  Tabela_Movimentacao_Geral[[#This Row],[ID Produto]]
)</f>
        <v>PROD094</v>
      </c>
      <c r="G272" t="str">
        <f ca="1">_xlfn.XLOOKUP(Tabela_Movimentacao_Geral[[#This Row],[ID Produto]], Tabela_Produtos[ID_Produto],Tabela_Produtos[Descricao_Produto],"Produto não encontrado")</f>
        <v>Exaustor para Rack</v>
      </c>
      <c r="H272" cm="1">
        <f t="array" aca="1" ref="H272" ca="1">IF(
   $O$7="Desbloqueado",
   _xlfn.LET(
     _xlpm.saldo_atual, SUM(($C$2:$C271="Entrada")*($F$2:$F271=Tabela_Movimentacao_Geral[[#This Row],[ID Produto]])*($H$2:$H271) - ($C$2:$C271="Saida")*($F$2:$F271=Tabela_Movimentacao_Geral[[#This Row],[ID Produto]])*($H$2:$H271)),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272" s="5">
        <f ca="1">_xlfn.XLOOKUP(Tabela_Movimentacao_Geral[[#This Row],[ID Produto]], Tabela_Produtos[ID_Produto],Tabela_Produtos[Preco_Unitario_Venda])</f>
        <v>220</v>
      </c>
      <c r="J272" s="6">
        <f ca="1">Tabela_Movimentacao_Geral[[#This Row],[Quantidade]] * Tabela_Movimentacao_Geral[[#This Row],[Valor Unitário]]</f>
        <v>14520</v>
      </c>
      <c r="K272" t="str">
        <f ca="1">IF(
   $O$7="Desbloqueado",
   CHOOSE(RANDBETWEEN(1,3),"Pago","Pendente","Atrasado"),
   Tabela_Movimentacao_Geral[[#This Row],[Status Financeiro]]
)</f>
        <v>Pendente</v>
      </c>
      <c r="L272" t="str">
        <f ca="1">IF(
   $O$7="Desbloqueado",
   CHOOSE(RANDBETWEEN(1,3),"Entregue","Em Rota","Aguardando"),
   Tabela_Movimentacao_Geral[[#This Row],[Status Logistico]]
)</f>
        <v>Aguardando</v>
      </c>
      <c r="M27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45797</v>
      </c>
    </row>
    <row r="273" spans="1:13" x14ac:dyDescent="0.3">
      <c r="A273" t="str">
        <f t="shared" si="3"/>
        <v>T0272</v>
      </c>
      <c r="B273" s="1">
        <v>45793</v>
      </c>
      <c r="C273" t="str" cm="1">
        <f t="array" aca="1" ref="C273" ca="1">IF($O$7="Desbloqueado",
  _xlfn.LET(
    _xlpm.saldo_atual, SUM(($C$2:$C272="Entrada")*($F$2:$F272=Tabela_Movimentacao_Geral[[#This Row],[ID Produto]])*($H$2:$H272) - ($C$2:$C272="Saida")*($F$2:$F272=Tabela_Movimentacao_Geral[[#This Row],[ID Produto]])*($H$2:$H272)),
    IF(_xlpm.saldo_atual &gt; 0, IF(RANDBETWEEN(0,10)&gt;3,"Saida","Entrada"), "Entrada")
  ),
  Tabela_Movimentacao_Geral[[#This Row],[Tipo Fluxo]]
)</f>
        <v>Entrada</v>
      </c>
      <c r="D2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2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273" t="str">
        <f ca="1">IF(
  $O$7="Desbloqueado",
  "PROD"&amp;TEXT(RANDBETWEEN(1,200),"000"),
  Tabela_Movimentacao_Geral[[#This Row],[ID Produto]]
)</f>
        <v>PROD141</v>
      </c>
      <c r="G273" t="str">
        <f ca="1">_xlfn.XLOOKUP(Tabela_Movimentacao_Geral[[#This Row],[ID Produto]], Tabela_Produtos[ID_Produto],Tabela_Produtos[Descricao_Produto],"Produto não encontrado")</f>
        <v>Filtro Privacidade 14pol</v>
      </c>
      <c r="H273" cm="1">
        <f t="array" aca="1" ref="H273" ca="1">IF(
   $O$7="Desbloqueado",
   _xlfn.LET(
     _xlpm.saldo_atual, SUM(($C$2:$C272="Entrada")*($F$2:$F272=Tabela_Movimentacao_Geral[[#This Row],[ID Produto]])*($H$2:$H272) - ($C$2:$C272="Saida")*($F$2:$F272=Tabela_Movimentacao_Geral[[#This Row],[ID Produto]])*($H$2:$H272)),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273" s="5">
        <f ca="1">_xlfn.XLOOKUP(Tabela_Movimentacao_Geral[[#This Row],[ID Produto]], Tabela_Produtos[ID_Produto],Tabela_Produtos[Preco_Unitario_Venda])</f>
        <v>190</v>
      </c>
      <c r="J273" s="6">
        <f ca="1">Tabela_Movimentacao_Geral[[#This Row],[Quantidade]] * Tabela_Movimentacao_Geral[[#This Row],[Valor Unitário]]</f>
        <v>2660</v>
      </c>
      <c r="K273" t="str">
        <f ca="1">IF(
   $O$7="Desbloqueado",
   CHOOSE(RANDBETWEEN(1,3),"Pago","Pendente","Atrasado"),
   Tabela_Movimentacao_Geral[[#This Row],[Status Financeiro]]
)</f>
        <v>Pago</v>
      </c>
      <c r="L273" t="str">
        <f ca="1">IF(
   $O$7="Desbloqueado",
   CHOOSE(RANDBETWEEN(1,3),"Entregue","Em Rota","Aguardando"),
   Tabela_Movimentacao_Geral[[#This Row],[Status Logistico]]
)</f>
        <v>Em Rota</v>
      </c>
      <c r="M27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45795</v>
      </c>
    </row>
    <row r="274" spans="1:13" x14ac:dyDescent="0.3">
      <c r="A274" t="str">
        <f t="shared" si="3"/>
        <v>T0273</v>
      </c>
      <c r="B274" s="1">
        <v>45794</v>
      </c>
      <c r="C274" t="str" cm="1">
        <f t="array" aca="1" ref="C274" ca="1">IF($O$7="Desbloqueado",
  _xlfn.LET(
    _xlpm.saldo_atual, SUM(($C$2:$C273="Entrada")*($F$2:$F273=Tabela_Movimentacao_Geral[[#This Row],[ID Produto]])*($H$2:$H273) - ($C$2:$C273="Saida")*($F$2:$F273=Tabela_Movimentacao_Geral[[#This Row],[ID Produto]])*($H$2:$H273)),
    IF(_xlpm.saldo_atual &gt; 0, IF(RANDBETWEEN(0,10)&gt;3,"Saida","Entrada"), "Entrada")
  ),
  Tabela_Movimentacao_Geral[[#This Row],[Tipo Fluxo]]
)</f>
        <v>Saida</v>
      </c>
      <c r="D2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2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274" t="str">
        <f ca="1">IF(
  $O$7="Desbloqueado",
  "PROD"&amp;TEXT(RANDBETWEEN(1,200),"000"),
  Tabela_Movimentacao_Geral[[#This Row],[ID Produto]]
)</f>
        <v>PROD068</v>
      </c>
      <c r="G274" t="str">
        <f ca="1">_xlfn.XLOOKUP(Tabela_Movimentacao_Geral[[#This Row],[ID Produto]], Tabela_Produtos[ID_Produto],Tabela_Produtos[Descricao_Produto],"Produto não encontrado")</f>
        <v>Quadro Branco 90x60</v>
      </c>
      <c r="H274" cm="1">
        <f t="array" aca="1" ref="H274" ca="1">IF(
   $O$7="Desbloqueado",
   _xlfn.LET(
     _xlpm.saldo_atual, SUM(($C$2:$C273="Entrada")*($F$2:$F273=Tabela_Movimentacao_Geral[[#This Row],[ID Produto]])*($H$2:$H273) - ($C$2:$C273="Saida")*($F$2:$F273=Tabela_Movimentacao_Geral[[#This Row],[ID Produto]])*($H$2:$H273)),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274" s="5">
        <f ca="1">_xlfn.XLOOKUP(Tabela_Movimentacao_Geral[[#This Row],[ID Produto]], Tabela_Produtos[ID_Produto],Tabela_Produtos[Preco_Unitario_Venda])</f>
        <v>180</v>
      </c>
      <c r="J274" s="6">
        <f ca="1">Tabela_Movimentacao_Geral[[#This Row],[Quantidade]] * Tabela_Movimentacao_Geral[[#This Row],[Valor Unitário]]</f>
        <v>1980</v>
      </c>
      <c r="K274" t="str">
        <f ca="1">IF(
   $O$7="Desbloqueado",
   CHOOSE(RANDBETWEEN(1,3),"Pago","Pendente","Atrasado"),
   Tabela_Movimentacao_Geral[[#This Row],[Status Financeiro]]
)</f>
        <v>Pendente</v>
      </c>
      <c r="L274" t="str">
        <f ca="1">IF(
   $O$7="Desbloqueado",
   CHOOSE(RANDBETWEEN(1,3),"Entregue","Em Rota","Aguardando"),
   Tabela_Movimentacao_Geral[[#This Row],[Status Logistico]]
)</f>
        <v>Aguardando</v>
      </c>
      <c r="M27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75" spans="1:13" x14ac:dyDescent="0.3">
      <c r="A275" t="str">
        <f t="shared" si="3"/>
        <v>T0274</v>
      </c>
      <c r="B275" s="1">
        <v>45794</v>
      </c>
      <c r="C275" t="str" cm="1">
        <f t="array" aca="1" ref="C275" ca="1">IF($O$7="Desbloqueado",
  _xlfn.LET(
    _xlpm.saldo_atual, SUM(($C$2:$C274="Entrada")*($F$2:$F274=Tabela_Movimentacao_Geral[[#This Row],[ID Produto]])*($H$2:$H274) - ($C$2:$C274="Saida")*($F$2:$F274=Tabela_Movimentacao_Geral[[#This Row],[ID Produto]])*($H$2:$H274)),
    IF(_xlpm.saldo_atual &gt; 0, IF(RANDBETWEEN(0,10)&gt;3,"Saida","Entrada"), "Entrada")
  ),
  Tabela_Movimentacao_Geral[[#This Row],[Tipo Fluxo]]
)</f>
        <v>Saida</v>
      </c>
      <c r="D2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2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275" t="str">
        <f ca="1">IF(
  $O$7="Desbloqueado",
  "PROD"&amp;TEXT(RANDBETWEEN(1,200),"000"),
  Tabela_Movimentacao_Geral[[#This Row],[ID Produto]]
)</f>
        <v>PROD004</v>
      </c>
      <c r="G275" t="str">
        <f ca="1">_xlfn.XLOOKUP(Tabela_Movimentacao_Geral[[#This Row],[ID Produto]], Tabela_Produtos[ID_Produto],Tabela_Produtos[Descricao_Produto],"Produto não encontrado")</f>
        <v>Cadeira Ergonomica Office</v>
      </c>
      <c r="H275" cm="1">
        <f t="array" aca="1" ref="H275" ca="1">IF(
   $O$7="Desbloqueado",
   _xlfn.LET(
     _xlpm.saldo_atual, SUM(($C$2:$C274="Entrada")*($F$2:$F274=Tabela_Movimentacao_Geral[[#This Row],[ID Produto]])*($H$2:$H274) - ($C$2:$C274="Saida")*($F$2:$F274=Tabela_Movimentacao_Geral[[#This Row],[ID Produto]])*($H$2:$H274)),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275" s="5">
        <f ca="1">_xlfn.XLOOKUP(Tabela_Movimentacao_Geral[[#This Row],[ID Produto]], Tabela_Produtos[ID_Produto],Tabela_Produtos[Preco_Unitario_Venda])</f>
        <v>1200</v>
      </c>
      <c r="J275" s="6">
        <f ca="1">Tabela_Movimentacao_Geral[[#This Row],[Quantidade]] * Tabela_Movimentacao_Geral[[#This Row],[Valor Unitário]]</f>
        <v>51600</v>
      </c>
      <c r="K275" t="str">
        <f ca="1">IF(
   $O$7="Desbloqueado",
   CHOOSE(RANDBETWEEN(1,3),"Pago","Pendente","Atrasado"),
   Tabela_Movimentacao_Geral[[#This Row],[Status Financeiro]]
)</f>
        <v>Atrasado</v>
      </c>
      <c r="L275" t="str">
        <f ca="1">IF(
   $O$7="Desbloqueado",
   CHOOSE(RANDBETWEEN(1,3),"Entregue","Em Rota","Aguardando"),
   Tabela_Movimentacao_Geral[[#This Row],[Status Logistico]]
)</f>
        <v>Em Rota</v>
      </c>
      <c r="M27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76" spans="1:13" x14ac:dyDescent="0.3">
      <c r="A276" t="str">
        <f t="shared" si="3"/>
        <v>T0275</v>
      </c>
      <c r="B276" s="1">
        <v>45794</v>
      </c>
      <c r="C276" t="str" cm="1">
        <f t="array" aca="1" ref="C276" ca="1">IF($O$7="Desbloqueado",
  _xlfn.LET(
    _xlpm.saldo_atual, SUM(($C$2:$C275="Entrada")*($F$2:$F275=Tabela_Movimentacao_Geral[[#This Row],[ID Produto]])*($H$2:$H275) - ($C$2:$C275="Saida")*($F$2:$F275=Tabela_Movimentacao_Geral[[#This Row],[ID Produto]])*($H$2:$H275)),
    IF(_xlpm.saldo_atual &gt; 0, IF(RANDBETWEEN(0,10)&gt;3,"Saida","Entrada"), "Entrada")
  ),
  Tabela_Movimentacao_Geral[[#This Row],[Tipo Fluxo]]
)</f>
        <v>Saida</v>
      </c>
      <c r="D2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2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276" t="str">
        <f ca="1">IF(
  $O$7="Desbloqueado",
  "PROD"&amp;TEXT(RANDBETWEEN(1,200),"000"),
  Tabela_Movimentacao_Geral[[#This Row],[ID Produto]]
)</f>
        <v>PROD026</v>
      </c>
      <c r="G276" t="str">
        <f ca="1">_xlfn.XLOOKUP(Tabela_Movimentacao_Geral[[#This Row],[ID Produto]], Tabela_Produtos[ID_Produto],Tabela_Produtos[Descricao_Produto],"Produto não encontrado")</f>
        <v>Mousepad Gamer Extra Large</v>
      </c>
      <c r="H276" cm="1">
        <f t="array" aca="1" ref="H276" ca="1">IF(
   $O$7="Desbloqueado",
   _xlfn.LET(
     _xlpm.saldo_atual, SUM(($C$2:$C275="Entrada")*($F$2:$F275=Tabela_Movimentacao_Geral[[#This Row],[ID Produto]])*($H$2:$H275) - ($C$2:$C275="Saida")*($F$2:$F275=Tabela_Movimentacao_Geral[[#This Row],[ID Produto]])*($H$2:$H275)),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276" s="5">
        <f ca="1">_xlfn.XLOOKUP(Tabela_Movimentacao_Geral[[#This Row],[ID Produto]], Tabela_Produtos[ID_Produto],Tabela_Produtos[Preco_Unitario_Venda])</f>
        <v>85</v>
      </c>
      <c r="J276" s="6">
        <f ca="1">Tabela_Movimentacao_Geral[[#This Row],[Quantidade]] * Tabela_Movimentacao_Geral[[#This Row],[Valor Unitário]]</f>
        <v>1445</v>
      </c>
      <c r="K276" t="str">
        <f ca="1">IF(
   $O$7="Desbloqueado",
   CHOOSE(RANDBETWEEN(1,3),"Pago","Pendente","Atrasado"),
   Tabela_Movimentacao_Geral[[#This Row],[Status Financeiro]]
)</f>
        <v>Pendente</v>
      </c>
      <c r="L276" t="str">
        <f ca="1">IF(
   $O$7="Desbloqueado",
   CHOOSE(RANDBETWEEN(1,3),"Entregue","Em Rota","Aguardando"),
   Tabela_Movimentacao_Geral[[#This Row],[Status Logistico]]
)</f>
        <v>Aguardando</v>
      </c>
      <c r="M27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77" spans="1:13" x14ac:dyDescent="0.3">
      <c r="A277" t="str">
        <f t="shared" si="3"/>
        <v>T0276</v>
      </c>
      <c r="B277" s="1">
        <v>45794</v>
      </c>
      <c r="C277" t="str" cm="1">
        <f t="array" aca="1" ref="C277" ca="1">IF($O$7="Desbloqueado",
  _xlfn.LET(
    _xlpm.saldo_atual, SUM(($C$2:$C276="Entrada")*($F$2:$F276=Tabela_Movimentacao_Geral[[#This Row],[ID Produto]])*($H$2:$H276) - ($C$2:$C276="Saida")*($F$2:$F276=Tabela_Movimentacao_Geral[[#This Row],[ID Produto]])*($H$2:$H276)),
    IF(_xlpm.saldo_atual &gt; 0, IF(RANDBETWEEN(0,10)&gt;3,"Saida","Entrada"), "Entrada")
  ),
  Tabela_Movimentacao_Geral[[#This Row],[Tipo Fluxo]]
)</f>
        <v>Saida</v>
      </c>
      <c r="D2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2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277" t="str">
        <f ca="1">IF(
  $O$7="Desbloqueado",
  "PROD"&amp;TEXT(RANDBETWEEN(1,200),"000"),
  Tabela_Movimentacao_Geral[[#This Row],[ID Produto]]
)</f>
        <v>PROD098</v>
      </c>
      <c r="G277" t="str">
        <f ca="1">_xlfn.XLOOKUP(Tabela_Movimentacao_Geral[[#This Row],[ID Produto]], Tabela_Produtos[ID_Produto],Tabela_Produtos[Descricao_Produto],"Produto não encontrado")</f>
        <v>Gravador NVR 8 Canais</v>
      </c>
      <c r="H277" cm="1">
        <f t="array" aca="1" ref="H277" ca="1">IF(
   $O$7="Desbloqueado",
   _xlfn.LET(
     _xlpm.saldo_atual, SUM(($C$2:$C276="Entrada")*($F$2:$F276=Tabela_Movimentacao_Geral[[#This Row],[ID Produto]])*($H$2:$H276) - ($C$2:$C276="Saida")*($F$2:$F276=Tabela_Movimentacao_Geral[[#This Row],[ID Produto]])*($H$2:$H276)),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277" s="5">
        <f ca="1">_xlfn.XLOOKUP(Tabela_Movimentacao_Geral[[#This Row],[ID Produto]], Tabela_Produtos[ID_Produto],Tabela_Produtos[Preco_Unitario_Venda])</f>
        <v>1550</v>
      </c>
      <c r="J277" s="6">
        <f ca="1">Tabela_Movimentacao_Geral[[#This Row],[Quantidade]] * Tabela_Movimentacao_Geral[[#This Row],[Valor Unitário]]</f>
        <v>131750</v>
      </c>
      <c r="K277" t="str">
        <f ca="1">IF(
   $O$7="Desbloqueado",
   CHOOSE(RANDBETWEEN(1,3),"Pago","Pendente","Atrasado"),
   Tabela_Movimentacao_Geral[[#This Row],[Status Financeiro]]
)</f>
        <v>Pago</v>
      </c>
      <c r="L277" t="str">
        <f ca="1">IF(
   $O$7="Desbloqueado",
   CHOOSE(RANDBETWEEN(1,3),"Entregue","Em Rota","Aguardando"),
   Tabela_Movimentacao_Geral[[#This Row],[Status Logistico]]
)</f>
        <v>Entregue</v>
      </c>
      <c r="M27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78" spans="1:13" x14ac:dyDescent="0.3">
      <c r="A278" t="str">
        <f t="shared" si="3"/>
        <v>T0277</v>
      </c>
      <c r="B278" s="1">
        <v>45795</v>
      </c>
      <c r="C278" t="str" cm="1">
        <f t="array" aca="1" ref="C278" ca="1">IF($O$7="Desbloqueado",
  _xlfn.LET(
    _xlpm.saldo_atual, SUM(($C$2:$C277="Entrada")*($F$2:$F277=Tabela_Movimentacao_Geral[[#This Row],[ID Produto]])*($H$2:$H277) - ($C$2:$C277="Saida")*($F$2:$F277=Tabela_Movimentacao_Geral[[#This Row],[ID Produto]])*($H$2:$H277)),
    IF(_xlpm.saldo_atual &gt; 0, IF(RANDBETWEEN(0,10)&gt;3,"Saida","Entrada"), "Entrada")
  ),
  Tabela_Movimentacao_Geral[[#This Row],[Tipo Fluxo]]
)</f>
        <v>Entrada</v>
      </c>
      <c r="D2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2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278" t="str">
        <f ca="1">IF(
  $O$7="Desbloqueado",
  "PROD"&amp;TEXT(RANDBETWEEN(1,200),"000"),
  Tabela_Movimentacao_Geral[[#This Row],[ID Produto]]
)</f>
        <v>PROD198</v>
      </c>
      <c r="G278" t="str">
        <f ca="1">_xlfn.XLOOKUP(Tabela_Movimentacao_Geral[[#This Row],[ID Produto]], Tabela_Produtos[ID_Produto],Tabela_Produtos[Descricao_Produto],"Produto não encontrado")</f>
        <v>Ferro de Solda 40W</v>
      </c>
      <c r="H278" cm="1">
        <f t="array" aca="1" ref="H278" ca="1">IF(
   $O$7="Desbloqueado",
   _xlfn.LET(
     _xlpm.saldo_atual, SUM(($C$2:$C277="Entrada")*($F$2:$F277=Tabela_Movimentacao_Geral[[#This Row],[ID Produto]])*($H$2:$H277) - ($C$2:$C277="Saida")*($F$2:$F277=Tabela_Movimentacao_Geral[[#This Row],[ID Produto]])*($H$2:$H277)),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278" s="5">
        <f ca="1">_xlfn.XLOOKUP(Tabela_Movimentacao_Geral[[#This Row],[ID Produto]], Tabela_Produtos[ID_Produto],Tabela_Produtos[Preco_Unitario_Venda])</f>
        <v>55</v>
      </c>
      <c r="J278" s="6">
        <f ca="1">Tabela_Movimentacao_Geral[[#This Row],[Quantidade]] * Tabela_Movimentacao_Geral[[#This Row],[Valor Unitário]]</f>
        <v>2310</v>
      </c>
      <c r="K278" t="str">
        <f ca="1">IF(
   $O$7="Desbloqueado",
   CHOOSE(RANDBETWEEN(1,3),"Pago","Pendente","Atrasado"),
   Tabela_Movimentacao_Geral[[#This Row],[Status Financeiro]]
)</f>
        <v>Pendente</v>
      </c>
      <c r="L278" t="str">
        <f ca="1">IF(
   $O$7="Desbloqueado",
   CHOOSE(RANDBETWEEN(1,3),"Entregue","Em Rota","Aguardando"),
   Tabela_Movimentacao_Geral[[#This Row],[Status Logistico]]
)</f>
        <v>Entregue</v>
      </c>
      <c r="M27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45796</v>
      </c>
    </row>
    <row r="279" spans="1:13" x14ac:dyDescent="0.3">
      <c r="A279" t="str">
        <f t="shared" ref="A279:A342" si="4">"T"&amp;TEXT(ROW(A279)-1,"0000")</f>
        <v>T0278</v>
      </c>
      <c r="B279" s="1">
        <v>45795</v>
      </c>
      <c r="C279" t="str" cm="1">
        <f t="array" aca="1" ref="C279" ca="1">IF($O$7="Desbloqueado",
  _xlfn.LET(
    _xlpm.saldo_atual, SUM(($C$2:$C278="Entrada")*($F$2:$F278=Tabela_Movimentacao_Geral[[#This Row],[ID Produto]])*($H$2:$H278) - ($C$2:$C278="Saida")*($F$2:$F278=Tabela_Movimentacao_Geral[[#This Row],[ID Produto]])*($H$2:$H278)),
    IF(_xlpm.saldo_atual &gt; 0, IF(RANDBETWEEN(0,10)&gt;3,"Saida","Entrada"), "Entrada")
  ),
  Tabela_Movimentacao_Geral[[#This Row],[Tipo Fluxo]]
)</f>
        <v>Entrada</v>
      </c>
      <c r="D2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2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279" t="str">
        <f ca="1">IF(
  $O$7="Desbloqueado",
  "PROD"&amp;TEXT(RANDBETWEEN(1,200),"000"),
  Tabela_Movimentacao_Geral[[#This Row],[ID Produto]]
)</f>
        <v>PROD122</v>
      </c>
      <c r="G279" t="str">
        <f ca="1">_xlfn.XLOOKUP(Tabela_Movimentacao_Geral[[#This Row],[ID Produto]], Tabela_Produtos[ID_Produto],Tabela_Produtos[Descricao_Produto],"Produto não encontrado")</f>
        <v>Windows Server 2022 CAL</v>
      </c>
      <c r="H279" cm="1">
        <f t="array" aca="1" ref="H279" ca="1">IF(
   $O$7="Desbloqueado",
   _xlfn.LET(
     _xlpm.saldo_atual, SUM(($C$2:$C278="Entrada")*($F$2:$F278=Tabela_Movimentacao_Geral[[#This Row],[ID Produto]])*($H$2:$H278) - ($C$2:$C278="Saida")*($F$2:$F278=Tabela_Movimentacao_Geral[[#This Row],[ID Produto]])*($H$2:$H278)),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279" s="5">
        <f ca="1">_xlfn.XLOOKUP(Tabela_Movimentacao_Geral[[#This Row],[ID Produto]], Tabela_Produtos[ID_Produto],Tabela_Produtos[Preco_Unitario_Venda])</f>
        <v>180</v>
      </c>
      <c r="J279" s="6">
        <f ca="1">Tabela_Movimentacao_Geral[[#This Row],[Quantidade]] * Tabela_Movimentacao_Geral[[#This Row],[Valor Unitário]]</f>
        <v>15300</v>
      </c>
      <c r="K279" t="str">
        <f ca="1">IF(
   $O$7="Desbloqueado",
   CHOOSE(RANDBETWEEN(1,3),"Pago","Pendente","Atrasado"),
   Tabela_Movimentacao_Geral[[#This Row],[Status Financeiro]]
)</f>
        <v>Pago</v>
      </c>
      <c r="L279" t="str">
        <f ca="1">IF(
   $O$7="Desbloqueado",
   CHOOSE(RANDBETWEEN(1,3),"Entregue","Em Rota","Aguardando"),
   Tabela_Movimentacao_Geral[[#This Row],[Status Logistico]]
)</f>
        <v>Entregue</v>
      </c>
      <c r="M27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45797</v>
      </c>
    </row>
    <row r="280" spans="1:13" x14ac:dyDescent="0.3">
      <c r="A280" t="str">
        <f t="shared" si="4"/>
        <v>T0279</v>
      </c>
      <c r="B280" s="1">
        <v>45796</v>
      </c>
      <c r="C280" t="str" cm="1">
        <f t="array" aca="1" ref="C280" ca="1">IF($O$7="Desbloqueado",
  _xlfn.LET(
    _xlpm.saldo_atual, SUM(($C$2:$C279="Entrada")*($F$2:$F279=Tabela_Movimentacao_Geral[[#This Row],[ID Produto]])*($H$2:$H279) - ($C$2:$C279="Saida")*($F$2:$F279=Tabela_Movimentacao_Geral[[#This Row],[ID Produto]])*($H$2:$H279)),
    IF(_xlpm.saldo_atual &gt; 0, IF(RANDBETWEEN(0,10)&gt;3,"Saida","Entrada"), "Entrada")
  ),
  Tabela_Movimentacao_Geral[[#This Row],[Tipo Fluxo]]
)</f>
        <v>Entrada</v>
      </c>
      <c r="D2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2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280" t="str">
        <f ca="1">IF(
  $O$7="Desbloqueado",
  "PROD"&amp;TEXT(RANDBETWEEN(1,200),"000"),
  Tabela_Movimentacao_Geral[[#This Row],[ID Produto]]
)</f>
        <v>PROD036</v>
      </c>
      <c r="G280" t="str">
        <f ca="1">_xlfn.XLOOKUP(Tabela_Movimentacao_Geral[[#This Row],[ID Produto]], Tabela_Produtos[ID_Produto],Tabela_Produtos[Descricao_Produto],"Produto não encontrado")</f>
        <v>Mini PC Industrial i3</v>
      </c>
      <c r="H280" cm="1">
        <f t="array" aca="1" ref="H280" ca="1">IF(
   $O$7="Desbloqueado",
   _xlfn.LET(
     _xlpm.saldo_atual, SUM(($C$2:$C279="Entrada")*($F$2:$F279=Tabela_Movimentacao_Geral[[#This Row],[ID Produto]])*($H$2:$H279) - ($C$2:$C279="Saida")*($F$2:$F279=Tabela_Movimentacao_Geral[[#This Row],[ID Produto]])*($H$2:$H279)),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280" s="5">
        <f ca="1">_xlfn.XLOOKUP(Tabela_Movimentacao_Geral[[#This Row],[ID Produto]], Tabela_Produtos[ID_Produto],Tabela_Produtos[Preco_Unitario_Venda])</f>
        <v>2100</v>
      </c>
      <c r="J280" s="6">
        <f ca="1">Tabela_Movimentacao_Geral[[#This Row],[Quantidade]] * Tabela_Movimentacao_Geral[[#This Row],[Valor Unitário]]</f>
        <v>151200</v>
      </c>
      <c r="K280" t="str">
        <f ca="1">IF(
   $O$7="Desbloqueado",
   CHOOSE(RANDBETWEEN(1,3),"Pago","Pendente","Atrasado"),
   Tabela_Movimentacao_Geral[[#This Row],[Status Financeiro]]
)</f>
        <v>Atrasado</v>
      </c>
      <c r="L280" t="str">
        <f ca="1">IF(
   $O$7="Desbloqueado",
   CHOOSE(RANDBETWEEN(1,3),"Entregue","Em Rota","Aguardando"),
   Tabela_Movimentacao_Geral[[#This Row],[Status Logistico]]
)</f>
        <v>Em Rota</v>
      </c>
      <c r="M2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45799</v>
      </c>
    </row>
    <row r="281" spans="1:13" x14ac:dyDescent="0.3">
      <c r="A281" t="str">
        <f t="shared" si="4"/>
        <v>T0280</v>
      </c>
      <c r="B281" s="1">
        <v>45796</v>
      </c>
      <c r="C281" t="str" cm="1">
        <f t="array" aca="1" ref="C281" ca="1">IF($O$7="Desbloqueado",
  _xlfn.LET(
    _xlpm.saldo_atual, SUM(($C$2:$C280="Entrada")*($F$2:$F280=Tabela_Movimentacao_Geral[[#This Row],[ID Produto]])*($H$2:$H280) - ($C$2:$C280="Saida")*($F$2:$F280=Tabela_Movimentacao_Geral[[#This Row],[ID Produto]])*($H$2:$H280)),
    IF(_xlpm.saldo_atual &gt; 0, IF(RANDBETWEEN(0,10)&gt;3,"Saida","Entrada"), "Entrada")
  ),
  Tabela_Movimentacao_Geral[[#This Row],[Tipo Fluxo]]
)</f>
        <v>Entrada</v>
      </c>
      <c r="D2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2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281" t="str">
        <f ca="1">IF(
  $O$7="Desbloqueado",
  "PROD"&amp;TEXT(RANDBETWEEN(1,200),"000"),
  Tabela_Movimentacao_Geral[[#This Row],[ID Produto]]
)</f>
        <v>PROD034</v>
      </c>
      <c r="G281" t="str">
        <f ca="1">_xlfn.XLOOKUP(Tabela_Movimentacao_Geral[[#This Row],[ID Produto]], Tabela_Produtos[ID_Produto],Tabela_Produtos[Descricao_Produto],"Produto não encontrado")</f>
        <v>Projetor Multimidia 4K</v>
      </c>
      <c r="H281" cm="1">
        <f t="array" aca="1" ref="H281" ca="1">IF(
   $O$7="Desbloqueado",
   _xlfn.LET(
     _xlpm.saldo_atual, SUM(($C$2:$C280="Entrada")*($F$2:$F280=Tabela_Movimentacao_Geral[[#This Row],[ID Produto]])*($H$2:$H280) - ($C$2:$C280="Saida")*($F$2:$F280=Tabela_Movimentacao_Geral[[#This Row],[ID Produto]])*($H$2:$H280)),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281" s="5">
        <f ca="1">_xlfn.XLOOKUP(Tabela_Movimentacao_Geral[[#This Row],[ID Produto]], Tabela_Produtos[ID_Produto],Tabela_Produtos[Preco_Unitario_Venda])</f>
        <v>4200</v>
      </c>
      <c r="J281" s="6">
        <f ca="1">Tabela_Movimentacao_Geral[[#This Row],[Quantidade]] * Tabela_Movimentacao_Geral[[#This Row],[Valor Unitário]]</f>
        <v>109200</v>
      </c>
      <c r="K281" t="str">
        <f ca="1">IF(
   $O$7="Desbloqueado",
   CHOOSE(RANDBETWEEN(1,3),"Pago","Pendente","Atrasado"),
   Tabela_Movimentacao_Geral[[#This Row],[Status Financeiro]]
)</f>
        <v>Pago</v>
      </c>
      <c r="L281" t="str">
        <f ca="1">IF(
   $O$7="Desbloqueado",
   CHOOSE(RANDBETWEEN(1,3),"Entregue","Em Rota","Aguardando"),
   Tabela_Movimentacao_Geral[[#This Row],[Status Logistico]]
)</f>
        <v>Em Rota</v>
      </c>
      <c r="M28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45797</v>
      </c>
    </row>
    <row r="282" spans="1:13" x14ac:dyDescent="0.3">
      <c r="A282" t="str">
        <f t="shared" si="4"/>
        <v>T0281</v>
      </c>
      <c r="B282" s="1">
        <v>45796</v>
      </c>
      <c r="C282" t="str" cm="1">
        <f t="array" aca="1" ref="C282" ca="1">IF($O$7="Desbloqueado",
  _xlfn.LET(
    _xlpm.saldo_atual, SUM(($C$2:$C281="Entrada")*($F$2:$F281=Tabela_Movimentacao_Geral[[#This Row],[ID Produto]])*($H$2:$H281) - ($C$2:$C281="Saida")*($F$2:$F281=Tabela_Movimentacao_Geral[[#This Row],[ID Produto]])*($H$2:$H281)),
    IF(_xlpm.saldo_atual &gt; 0, IF(RANDBETWEEN(0,10)&gt;3,"Saida","Entrada"), "Entrada")
  ),
  Tabela_Movimentacao_Geral[[#This Row],[Tipo Fluxo]]
)</f>
        <v>Entrada</v>
      </c>
      <c r="D2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2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282" t="str">
        <f ca="1">IF(
  $O$7="Desbloqueado",
  "PROD"&amp;TEXT(RANDBETWEEN(1,200),"000"),
  Tabela_Movimentacao_Geral[[#This Row],[ID Produto]]
)</f>
        <v>PROD004</v>
      </c>
      <c r="G282" t="str">
        <f ca="1">_xlfn.XLOOKUP(Tabela_Movimentacao_Geral[[#This Row],[ID Produto]], Tabela_Produtos[ID_Produto],Tabela_Produtos[Descricao_Produto],"Produto não encontrado")</f>
        <v>Cadeira Ergonomica Office</v>
      </c>
      <c r="H282" cm="1">
        <f t="array" aca="1" ref="H282" ca="1">IF(
   $O$7="Desbloqueado",
   _xlfn.LET(
     _xlpm.saldo_atual, SUM(($C$2:$C281="Entrada")*($F$2:$F281=Tabela_Movimentacao_Geral[[#This Row],[ID Produto]])*($H$2:$H281) - ($C$2:$C281="Saida")*($F$2:$F281=Tabela_Movimentacao_Geral[[#This Row],[ID Produto]])*($H$2:$H281)),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282" s="5">
        <f ca="1">_xlfn.XLOOKUP(Tabela_Movimentacao_Geral[[#This Row],[ID Produto]], Tabela_Produtos[ID_Produto],Tabela_Produtos[Preco_Unitario_Venda])</f>
        <v>1200</v>
      </c>
      <c r="J282" s="6">
        <f ca="1">Tabela_Movimentacao_Geral[[#This Row],[Quantidade]] * Tabela_Movimentacao_Geral[[#This Row],[Valor Unitário]]</f>
        <v>52800</v>
      </c>
      <c r="K282" t="str">
        <f ca="1">IF(
   $O$7="Desbloqueado",
   CHOOSE(RANDBETWEEN(1,3),"Pago","Pendente","Atrasado"),
   Tabela_Movimentacao_Geral[[#This Row],[Status Financeiro]]
)</f>
        <v>Pago</v>
      </c>
      <c r="L282" t="str">
        <f ca="1">IF(
   $O$7="Desbloqueado",
   CHOOSE(RANDBETWEEN(1,3),"Entregue","Em Rota","Aguardando"),
   Tabela_Movimentacao_Geral[[#This Row],[Status Logistico]]
)</f>
        <v>Aguardando</v>
      </c>
      <c r="M28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45811</v>
      </c>
    </row>
    <row r="283" spans="1:13" x14ac:dyDescent="0.3">
      <c r="A283" t="str">
        <f t="shared" si="4"/>
        <v>T0282</v>
      </c>
      <c r="B283" s="1">
        <v>45796</v>
      </c>
      <c r="C283" t="str" cm="1">
        <f t="array" aca="1" ref="C283" ca="1">IF($O$7="Desbloqueado",
  _xlfn.LET(
    _xlpm.saldo_atual, SUM(($C$2:$C282="Entrada")*($F$2:$F282=Tabela_Movimentacao_Geral[[#This Row],[ID Produto]])*($H$2:$H282) - ($C$2:$C282="Saida")*($F$2:$F282=Tabela_Movimentacao_Geral[[#This Row],[ID Produto]])*($H$2:$H282)),
    IF(_xlpm.saldo_atual &gt; 0, IF(RANDBETWEEN(0,10)&gt;3,"Saida","Entrada"), "Entrada")
  ),
  Tabela_Movimentacao_Geral[[#This Row],[Tipo Fluxo]]
)</f>
        <v>Saida</v>
      </c>
      <c r="D2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2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283" t="str">
        <f ca="1">IF(
  $O$7="Desbloqueado",
  "PROD"&amp;TEXT(RANDBETWEEN(1,200),"000"),
  Tabela_Movimentacao_Geral[[#This Row],[ID Produto]]
)</f>
        <v>PROD003</v>
      </c>
      <c r="G283" t="str">
        <f ca="1">_xlfn.XLOOKUP(Tabela_Movimentacao_Geral[[#This Row],[ID Produto]], Tabela_Produtos[ID_Produto],Tabela_Produtos[Descricao_Produto],"Produto não encontrado")</f>
        <v>Mouse Sem Fio Optico</v>
      </c>
      <c r="H283" cm="1">
        <f t="array" aca="1" ref="H283" ca="1">IF(
   $O$7="Desbloqueado",
   _xlfn.LET(
     _xlpm.saldo_atual, SUM(($C$2:$C282="Entrada")*($F$2:$F282=Tabela_Movimentacao_Geral[[#This Row],[ID Produto]])*($H$2:$H282) - ($C$2:$C282="Saida")*($F$2:$F282=Tabela_Movimentacao_Geral[[#This Row],[ID Produto]])*($H$2:$H282)),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71</v>
      </c>
      <c r="I283" s="5">
        <f ca="1">_xlfn.XLOOKUP(Tabela_Movimentacao_Geral[[#This Row],[ID Produto]], Tabela_Produtos[ID_Produto],Tabela_Produtos[Preco_Unitario_Venda])</f>
        <v>120</v>
      </c>
      <c r="J283" s="6">
        <f ca="1">Tabela_Movimentacao_Geral[[#This Row],[Quantidade]] * Tabela_Movimentacao_Geral[[#This Row],[Valor Unitário]]</f>
        <v>8520</v>
      </c>
      <c r="K283" t="str">
        <f ca="1">IF(
   $O$7="Desbloqueado",
   CHOOSE(RANDBETWEEN(1,3),"Pago","Pendente","Atrasado"),
   Tabela_Movimentacao_Geral[[#This Row],[Status Financeiro]]
)</f>
        <v>Atrasado</v>
      </c>
      <c r="L283" t="str">
        <f ca="1">IF(
   $O$7="Desbloqueado",
   CHOOSE(RANDBETWEEN(1,3),"Entregue","Em Rota","Aguardando"),
   Tabela_Movimentacao_Geral[[#This Row],[Status Logistico]]
)</f>
        <v>Aguardando</v>
      </c>
      <c r="M28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84" spans="1:13" x14ac:dyDescent="0.3">
      <c r="A284" t="str">
        <f t="shared" si="4"/>
        <v>T0283</v>
      </c>
      <c r="B284" s="1">
        <v>45796</v>
      </c>
      <c r="C284" t="str" cm="1">
        <f t="array" aca="1" ref="C284" ca="1">IF($O$7="Desbloqueado",
  _xlfn.LET(
    _xlpm.saldo_atual, SUM(($C$2:$C283="Entrada")*($F$2:$F283=Tabela_Movimentacao_Geral[[#This Row],[ID Produto]])*($H$2:$H283) - ($C$2:$C283="Saida")*($F$2:$F283=Tabela_Movimentacao_Geral[[#This Row],[ID Produto]])*($H$2:$H283)),
    IF(_xlpm.saldo_atual &gt; 0, IF(RANDBETWEEN(0,10)&gt;3,"Saida","Entrada"), "Entrada")
  ),
  Tabela_Movimentacao_Geral[[#This Row],[Tipo Fluxo]]
)</f>
        <v>Entrada</v>
      </c>
      <c r="D2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2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284" t="str">
        <f ca="1">IF(
  $O$7="Desbloqueado",
  "PROD"&amp;TEXT(RANDBETWEEN(1,200),"000"),
  Tabela_Movimentacao_Geral[[#This Row],[ID Produto]]
)</f>
        <v>PROD064</v>
      </c>
      <c r="G284" t="str">
        <f ca="1">_xlfn.XLOOKUP(Tabela_Movimentacao_Geral[[#This Row],[ID Produto]], Tabela_Produtos[ID_Produto],Tabela_Produtos[Descricao_Produto],"Produto não encontrado")</f>
        <v>Cola em Bastao 40g</v>
      </c>
      <c r="H284" cm="1">
        <f t="array" aca="1" ref="H284" ca="1">IF(
   $O$7="Desbloqueado",
   _xlfn.LET(
     _xlpm.saldo_atual, SUM(($C$2:$C283="Entrada")*($F$2:$F283=Tabela_Movimentacao_Geral[[#This Row],[ID Produto]])*($H$2:$H283) - ($C$2:$C283="Saida")*($F$2:$F283=Tabela_Movimentacao_Geral[[#This Row],[ID Produto]])*($H$2:$H283)),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39</v>
      </c>
      <c r="I284" s="5">
        <f ca="1">_xlfn.XLOOKUP(Tabela_Movimentacao_Geral[[#This Row],[ID Produto]], Tabela_Produtos[ID_Produto],Tabela_Produtos[Preco_Unitario_Venda])</f>
        <v>14</v>
      </c>
      <c r="J284" s="6">
        <f ca="1">Tabela_Movimentacao_Geral[[#This Row],[Quantidade]] * Tabela_Movimentacao_Geral[[#This Row],[Valor Unitário]]</f>
        <v>546</v>
      </c>
      <c r="K284" t="str">
        <f ca="1">IF(
   $O$7="Desbloqueado",
   CHOOSE(RANDBETWEEN(1,3),"Pago","Pendente","Atrasado"),
   Tabela_Movimentacao_Geral[[#This Row],[Status Financeiro]]
)</f>
        <v>Atrasado</v>
      </c>
      <c r="L284" t="str">
        <f ca="1">IF(
   $O$7="Desbloqueado",
   CHOOSE(RANDBETWEEN(1,3),"Entregue","Em Rota","Aguardando"),
   Tabela_Movimentacao_Geral[[#This Row],[Status Logistico]]
)</f>
        <v>Aguardando</v>
      </c>
      <c r="M28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45798</v>
      </c>
    </row>
    <row r="285" spans="1:13" x14ac:dyDescent="0.3">
      <c r="A285" t="str">
        <f t="shared" si="4"/>
        <v>T0284</v>
      </c>
      <c r="B285" s="1">
        <v>45797</v>
      </c>
      <c r="C285" t="str" cm="1">
        <f t="array" aca="1" ref="C285" ca="1">IF($O$7="Desbloqueado",
  _xlfn.LET(
    _xlpm.saldo_atual, SUM(($C$2:$C284="Entrada")*($F$2:$F284=Tabela_Movimentacao_Geral[[#This Row],[ID Produto]])*($H$2:$H284) - ($C$2:$C284="Saida")*($F$2:$F284=Tabela_Movimentacao_Geral[[#This Row],[ID Produto]])*($H$2:$H284)),
    IF(_xlpm.saldo_atual &gt; 0, IF(RANDBETWEEN(0,10)&gt;3,"Saida","Entrada"), "Entrada")
  ),
  Tabela_Movimentacao_Geral[[#This Row],[Tipo Fluxo]]
)</f>
        <v>Entrada</v>
      </c>
      <c r="D2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2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285" t="str">
        <f ca="1">IF(
  $O$7="Desbloqueado",
  "PROD"&amp;TEXT(RANDBETWEEN(1,200),"000"),
  Tabela_Movimentacao_Geral[[#This Row],[ID Produto]]
)</f>
        <v>PROD165</v>
      </c>
      <c r="G285" t="str">
        <f ca="1">_xlfn.XLOOKUP(Tabela_Movimentacao_Geral[[#This Row],[ID Produto]], Tabela_Produtos[ID_Produto],Tabela_Produtos[Descricao_Produto],"Produto não encontrado")</f>
        <v>Almofada para Carimbo</v>
      </c>
      <c r="H285" cm="1">
        <f t="array" aca="1" ref="H285" ca="1">IF(
   $O$7="Desbloqueado",
   _xlfn.LET(
     _xlpm.saldo_atual, SUM(($C$2:$C284="Entrada")*($F$2:$F284=Tabela_Movimentacao_Geral[[#This Row],[ID Produto]])*($H$2:$H284) - ($C$2:$C284="Saida")*($F$2:$F284=Tabela_Movimentacao_Geral[[#This Row],[ID Produto]])*($H$2:$H284)),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106</v>
      </c>
      <c r="I285" s="5">
        <f ca="1">_xlfn.XLOOKUP(Tabela_Movimentacao_Geral[[#This Row],[ID Produto]], Tabela_Produtos[ID_Produto],Tabela_Produtos[Preco_Unitario_Venda])</f>
        <v>18</v>
      </c>
      <c r="J285" s="6">
        <f ca="1">Tabela_Movimentacao_Geral[[#This Row],[Quantidade]] * Tabela_Movimentacao_Geral[[#This Row],[Valor Unitário]]</f>
        <v>1908</v>
      </c>
      <c r="K285" t="str">
        <f ca="1">IF(
   $O$7="Desbloqueado",
   CHOOSE(RANDBETWEEN(1,3),"Pago","Pendente","Atrasado"),
   Tabela_Movimentacao_Geral[[#This Row],[Status Financeiro]]
)</f>
        <v>Pago</v>
      </c>
      <c r="L285" t="str">
        <f ca="1">IF(
   $O$7="Desbloqueado",
   CHOOSE(RANDBETWEEN(1,3),"Entregue","Em Rota","Aguardando"),
   Tabela_Movimentacao_Geral[[#This Row],[Status Logistico]]
)</f>
        <v>Em Rota</v>
      </c>
      <c r="M28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45798</v>
      </c>
    </row>
    <row r="286" spans="1:13" x14ac:dyDescent="0.3">
      <c r="A286" t="str">
        <f t="shared" si="4"/>
        <v>T0285</v>
      </c>
      <c r="B286" s="1">
        <v>45798</v>
      </c>
      <c r="C286" t="str" cm="1">
        <f t="array" aca="1" ref="C286" ca="1">IF($O$7="Desbloqueado",
  _xlfn.LET(
    _xlpm.saldo_atual, SUM(($C$2:$C285="Entrada")*($F$2:$F285=Tabela_Movimentacao_Geral[[#This Row],[ID Produto]])*($H$2:$H285) - ($C$2:$C285="Saida")*($F$2:$F285=Tabela_Movimentacao_Geral[[#This Row],[ID Produto]])*($H$2:$H285)),
    IF(_xlpm.saldo_atual &gt; 0, IF(RANDBETWEEN(0,10)&gt;3,"Saida","Entrada"), "Entrada")
  ),
  Tabela_Movimentacao_Geral[[#This Row],[Tipo Fluxo]]
)</f>
        <v>Saida</v>
      </c>
      <c r="D2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2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286" t="str">
        <f ca="1">IF(
  $O$7="Desbloqueado",
  "PROD"&amp;TEXT(RANDBETWEEN(1,200),"000"),
  Tabela_Movimentacao_Geral[[#This Row],[ID Produto]]
)</f>
        <v>PROD115</v>
      </c>
      <c r="G286" t="str">
        <f ca="1">_xlfn.XLOOKUP(Tabela_Movimentacao_Geral[[#This Row],[ID Produto]], Tabela_Produtos[ID_Produto],Tabela_Produtos[Descricao_Produto],"Produto não encontrado")</f>
        <v>Switch Poe 8 Portas</v>
      </c>
      <c r="H286" cm="1">
        <f t="array" aca="1" ref="H286" ca="1">IF(
   $O$7="Desbloqueado",
   _xlfn.LET(
     _xlpm.saldo_atual, SUM(($C$2:$C285="Entrada")*($F$2:$F285=Tabela_Movimentacao_Geral[[#This Row],[ID Produto]])*($H$2:$H285) - ($C$2:$C285="Saida")*($F$2:$F285=Tabela_Movimentacao_Geral[[#This Row],[ID Produto]])*($H$2:$H285)),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286" s="5">
        <f ca="1">_xlfn.XLOOKUP(Tabela_Movimentacao_Geral[[#This Row],[ID Produto]], Tabela_Produtos[ID_Produto],Tabela_Produtos[Preco_Unitario_Venda])</f>
        <v>980</v>
      </c>
      <c r="J286" s="6">
        <f ca="1">Tabela_Movimentacao_Geral[[#This Row],[Quantidade]] * Tabela_Movimentacao_Geral[[#This Row],[Valor Unitário]]</f>
        <v>57820</v>
      </c>
      <c r="K286" t="str">
        <f ca="1">IF(
   $O$7="Desbloqueado",
   CHOOSE(RANDBETWEEN(1,3),"Pago","Pendente","Atrasado"),
   Tabela_Movimentacao_Geral[[#This Row],[Status Financeiro]]
)</f>
        <v>Pendente</v>
      </c>
      <c r="L286" t="str">
        <f ca="1">IF(
   $O$7="Desbloqueado",
   CHOOSE(RANDBETWEEN(1,3),"Entregue","Em Rota","Aguardando"),
   Tabela_Movimentacao_Geral[[#This Row],[Status Logistico]]
)</f>
        <v>Aguardando</v>
      </c>
      <c r="M28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87" spans="1:13" x14ac:dyDescent="0.3">
      <c r="A287" t="str">
        <f t="shared" si="4"/>
        <v>T0286</v>
      </c>
      <c r="B287" s="1">
        <v>45798</v>
      </c>
      <c r="C287" t="str" cm="1">
        <f t="array" aca="1" ref="C287" ca="1">IF($O$7="Desbloqueado",
  _xlfn.LET(
    _xlpm.saldo_atual, SUM(($C$2:$C286="Entrada")*($F$2:$F286=Tabela_Movimentacao_Geral[[#This Row],[ID Produto]])*($H$2:$H286) - ($C$2:$C286="Saida")*($F$2:$F286=Tabela_Movimentacao_Geral[[#This Row],[ID Produto]])*($H$2:$H286)),
    IF(_xlpm.saldo_atual &gt; 0, IF(RANDBETWEEN(0,10)&gt;3,"Saida","Entrada"), "Entrada")
  ),
  Tabela_Movimentacao_Geral[[#This Row],[Tipo Fluxo]]
)</f>
        <v>Entrada</v>
      </c>
      <c r="D2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2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287" t="str">
        <f ca="1">IF(
  $O$7="Desbloqueado",
  "PROD"&amp;TEXT(RANDBETWEEN(1,200),"000"),
  Tabela_Movimentacao_Geral[[#This Row],[ID Produto]]
)</f>
        <v>PROD093</v>
      </c>
      <c r="G287" t="str">
        <f ca="1">_xlfn.XLOOKUP(Tabela_Movimentacao_Geral[[#This Row],[ID Produto]], Tabela_Produtos[ID_Produto],Tabela_Produtos[Descricao_Produto],"Produto não encontrado")</f>
        <v>KVM Switch 4 Portas</v>
      </c>
      <c r="H287" cm="1">
        <f t="array" aca="1" ref="H287" ca="1">IF(
   $O$7="Desbloqueado",
   _xlfn.LET(
     _xlpm.saldo_atual, SUM(($C$2:$C286="Entrada")*($F$2:$F286=Tabela_Movimentacao_Geral[[#This Row],[ID Produto]])*($H$2:$H286) - ($C$2:$C286="Saida")*($F$2:$F286=Tabela_Movimentacao_Geral[[#This Row],[ID Produto]])*($H$2:$H286)),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287" s="5">
        <f ca="1">_xlfn.XLOOKUP(Tabela_Movimentacao_Geral[[#This Row],[ID Produto]], Tabela_Produtos[ID_Produto],Tabela_Produtos[Preco_Unitario_Venda])</f>
        <v>1200</v>
      </c>
      <c r="J287" s="6">
        <f ca="1">Tabela_Movimentacao_Geral[[#This Row],[Quantidade]] * Tabela_Movimentacao_Geral[[#This Row],[Valor Unitário]]</f>
        <v>37200</v>
      </c>
      <c r="K287" t="str">
        <f ca="1">IF(
   $O$7="Desbloqueado",
   CHOOSE(RANDBETWEEN(1,3),"Pago","Pendente","Atrasado"),
   Tabela_Movimentacao_Geral[[#This Row],[Status Financeiro]]
)</f>
        <v>Pendente</v>
      </c>
      <c r="L287" t="str">
        <f ca="1">IF(
   $O$7="Desbloqueado",
   CHOOSE(RANDBETWEEN(1,3),"Entregue","Em Rota","Aguardando"),
   Tabela_Movimentacao_Geral[[#This Row],[Status Logistico]]
)</f>
        <v>Em Rota</v>
      </c>
      <c r="M28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45800</v>
      </c>
    </row>
    <row r="288" spans="1:13" x14ac:dyDescent="0.3">
      <c r="A288" t="str">
        <f t="shared" si="4"/>
        <v>T0287</v>
      </c>
      <c r="B288" s="1">
        <v>45799</v>
      </c>
      <c r="C288" t="str" cm="1">
        <f t="array" aca="1" ref="C288" ca="1">IF($O$7="Desbloqueado",
  _xlfn.LET(
    _xlpm.saldo_atual, SUM(($C$2:$C287="Entrada")*($F$2:$F287=Tabela_Movimentacao_Geral[[#This Row],[ID Produto]])*($H$2:$H287) - ($C$2:$C287="Saida")*($F$2:$F287=Tabela_Movimentacao_Geral[[#This Row],[ID Produto]])*($H$2:$H287)),
    IF(_xlpm.saldo_atual &gt; 0, IF(RANDBETWEEN(0,10)&gt;3,"Saida","Entrada"), "Entrada")
  ),
  Tabela_Movimentacao_Geral[[#This Row],[Tipo Fluxo]]
)</f>
        <v>Saida</v>
      </c>
      <c r="D2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2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288" t="str">
        <f ca="1">IF(
  $O$7="Desbloqueado",
  "PROD"&amp;TEXT(RANDBETWEEN(1,200),"000"),
  Tabela_Movimentacao_Geral[[#This Row],[ID Produto]]
)</f>
        <v>PROD184</v>
      </c>
      <c r="G288" t="str">
        <f ca="1">_xlfn.XLOOKUP(Tabela_Movimentacao_Geral[[#This Row],[ID Produto]], Tabela_Produtos[ID_Produto],Tabela_Produtos[Descricao_Produto],"Produto não encontrado")</f>
        <v>Cabo Serial Console</v>
      </c>
      <c r="H288" cm="1">
        <f t="array" aca="1" ref="H288" ca="1">IF(
   $O$7="Desbloqueado",
   _xlfn.LET(
     _xlpm.saldo_atual, SUM(($C$2:$C287="Entrada")*($F$2:$F287=Tabela_Movimentacao_Geral[[#This Row],[ID Produto]])*($H$2:$H287) - ($C$2:$C287="Saida")*($F$2:$F287=Tabela_Movimentacao_Geral[[#This Row],[ID Produto]])*($H$2:$H287)),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288" s="5">
        <f ca="1">_xlfn.XLOOKUP(Tabela_Movimentacao_Geral[[#This Row],[ID Produto]], Tabela_Produtos[ID_Produto],Tabela_Produtos[Preco_Unitario_Venda])</f>
        <v>45</v>
      </c>
      <c r="J288" s="6">
        <f ca="1">Tabela_Movimentacao_Geral[[#This Row],[Quantidade]] * Tabela_Movimentacao_Geral[[#This Row],[Valor Unitário]]</f>
        <v>630</v>
      </c>
      <c r="K288" t="str">
        <f ca="1">IF(
   $O$7="Desbloqueado",
   CHOOSE(RANDBETWEEN(1,3),"Pago","Pendente","Atrasado"),
   Tabela_Movimentacao_Geral[[#This Row],[Status Financeiro]]
)</f>
        <v>Atrasado</v>
      </c>
      <c r="L288" t="str">
        <f ca="1">IF(
   $O$7="Desbloqueado",
   CHOOSE(RANDBETWEEN(1,3),"Entregue","Em Rota","Aguardando"),
   Tabela_Movimentacao_Geral[[#This Row],[Status Logistico]]
)</f>
        <v>Entregue</v>
      </c>
      <c r="M28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89" spans="1:13" x14ac:dyDescent="0.3">
      <c r="A289" t="str">
        <f t="shared" si="4"/>
        <v>T0288</v>
      </c>
      <c r="B289" s="1">
        <v>45799</v>
      </c>
      <c r="C289" t="str" cm="1">
        <f t="array" aca="1" ref="C289" ca="1">IF($O$7="Desbloqueado",
  _xlfn.LET(
    _xlpm.saldo_atual, SUM(($C$2:$C288="Entrada")*($F$2:$F288=Tabela_Movimentacao_Geral[[#This Row],[ID Produto]])*($H$2:$H288) - ($C$2:$C288="Saida")*($F$2:$F288=Tabela_Movimentacao_Geral[[#This Row],[ID Produto]])*($H$2:$H288)),
    IF(_xlpm.saldo_atual &gt; 0, IF(RANDBETWEEN(0,10)&gt;3,"Saida","Entrada"), "Entrada")
  ),
  Tabela_Movimentacao_Geral[[#This Row],[Tipo Fluxo]]
)</f>
        <v>Saida</v>
      </c>
      <c r="D2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2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289" t="str">
        <f ca="1">IF(
  $O$7="Desbloqueado",
  "PROD"&amp;TEXT(RANDBETWEEN(1,200),"000"),
  Tabela_Movimentacao_Geral[[#This Row],[ID Produto]]
)</f>
        <v>PROD181</v>
      </c>
      <c r="G289" t="str">
        <f ca="1">_xlfn.XLOOKUP(Tabela_Movimentacao_Geral[[#This Row],[ID Produto]], Tabela_Produtos[ID_Produto],Tabela_Produtos[Descricao_Produto],"Produto não encontrado")</f>
        <v>Servidor Tower i3 16GB</v>
      </c>
      <c r="H289" cm="1">
        <f t="array" aca="1" ref="H289" ca="1">IF(
   $O$7="Desbloqueado",
   _xlfn.LET(
     _xlpm.saldo_atual, SUM(($C$2:$C288="Entrada")*($F$2:$F288=Tabela_Movimentacao_Geral[[#This Row],[ID Produto]])*($H$2:$H288) - ($C$2:$C288="Saida")*($F$2:$F288=Tabela_Movimentacao_Geral[[#This Row],[ID Produto]])*($H$2:$H288)),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289" s="5">
        <f ca="1">_xlfn.XLOOKUP(Tabela_Movimentacao_Geral[[#This Row],[ID Produto]], Tabela_Produtos[ID_Produto],Tabela_Produtos[Preco_Unitario_Venda])</f>
        <v>6500</v>
      </c>
      <c r="J289" s="6">
        <f ca="1">Tabela_Movimentacao_Geral[[#This Row],[Quantidade]] * Tabela_Movimentacao_Geral[[#This Row],[Valor Unitário]]</f>
        <v>104000</v>
      </c>
      <c r="K289" t="str">
        <f ca="1">IF(
   $O$7="Desbloqueado",
   CHOOSE(RANDBETWEEN(1,3),"Pago","Pendente","Atrasado"),
   Tabela_Movimentacao_Geral[[#This Row],[Status Financeiro]]
)</f>
        <v>Atrasado</v>
      </c>
      <c r="L289" t="str">
        <f ca="1">IF(
   $O$7="Desbloqueado",
   CHOOSE(RANDBETWEEN(1,3),"Entregue","Em Rota","Aguardando"),
   Tabela_Movimentacao_Geral[[#This Row],[Status Logistico]]
)</f>
        <v>Em Rota</v>
      </c>
      <c r="M28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90" spans="1:13" x14ac:dyDescent="0.3">
      <c r="A290" t="str">
        <f t="shared" si="4"/>
        <v>T0289</v>
      </c>
      <c r="B290" s="1">
        <v>45799</v>
      </c>
      <c r="C290" t="str" cm="1">
        <f t="array" aca="1" ref="C290" ca="1">IF($O$7="Desbloqueado",
  _xlfn.LET(
    _xlpm.saldo_atual, SUM(($C$2:$C289="Entrada")*($F$2:$F289=Tabela_Movimentacao_Geral[[#This Row],[ID Produto]])*($H$2:$H289) - ($C$2:$C289="Saida")*($F$2:$F289=Tabela_Movimentacao_Geral[[#This Row],[ID Produto]])*($H$2:$H289)),
    IF(_xlpm.saldo_atual &gt; 0, IF(RANDBETWEEN(0,10)&gt;3,"Saida","Entrada"), "Entrada")
  ),
  Tabela_Movimentacao_Geral[[#This Row],[Tipo Fluxo]]
)</f>
        <v>Entrada</v>
      </c>
      <c r="D2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2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290" t="str">
        <f ca="1">IF(
  $O$7="Desbloqueado",
  "PROD"&amp;TEXT(RANDBETWEEN(1,200),"000"),
  Tabela_Movimentacao_Geral[[#This Row],[ID Produto]]
)</f>
        <v>PROD101</v>
      </c>
      <c r="G290" t="str">
        <f ca="1">_xlfn.XLOOKUP(Tabela_Movimentacao_Geral[[#This Row],[ID Produto]], Tabela_Produtos[ID_Produto],Tabela_Produtos[Descricao_Produto],"Produto não encontrado")</f>
        <v>Monitor 27 pol 4K</v>
      </c>
      <c r="H290" cm="1">
        <f t="array" aca="1" ref="H290" ca="1">IF(
   $O$7="Desbloqueado",
   _xlfn.LET(
     _xlpm.saldo_atual, SUM(($C$2:$C289="Entrada")*($F$2:$F289=Tabela_Movimentacao_Geral[[#This Row],[ID Produto]])*($H$2:$H289) - ($C$2:$C289="Saida")*($F$2:$F289=Tabela_Movimentacao_Geral[[#This Row],[ID Produto]])*($H$2:$H289)),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290" s="5">
        <f ca="1">_xlfn.XLOOKUP(Tabela_Movimentacao_Geral[[#This Row],[ID Produto]], Tabela_Produtos[ID_Produto],Tabela_Produtos[Preco_Unitario_Venda])</f>
        <v>2200</v>
      </c>
      <c r="J290" s="6">
        <f ca="1">Tabela_Movimentacao_Geral[[#This Row],[Quantidade]] * Tabela_Movimentacao_Geral[[#This Row],[Valor Unitário]]</f>
        <v>92400</v>
      </c>
      <c r="K290" t="str">
        <f ca="1">IF(
   $O$7="Desbloqueado",
   CHOOSE(RANDBETWEEN(1,3),"Pago","Pendente","Atrasado"),
   Tabela_Movimentacao_Geral[[#This Row],[Status Financeiro]]
)</f>
        <v>Pendente</v>
      </c>
      <c r="L290" t="str">
        <f ca="1">IF(
   $O$7="Desbloqueado",
   CHOOSE(RANDBETWEEN(1,3),"Entregue","Em Rota","Aguardando"),
   Tabela_Movimentacao_Geral[[#This Row],[Status Logistico]]
)</f>
        <v>Entregue</v>
      </c>
      <c r="M29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45811</v>
      </c>
    </row>
    <row r="291" spans="1:13" x14ac:dyDescent="0.3">
      <c r="A291" t="str">
        <f t="shared" si="4"/>
        <v>T0290</v>
      </c>
      <c r="B291" s="1">
        <v>45799</v>
      </c>
      <c r="C291" t="str" cm="1">
        <f t="array" aca="1" ref="C291" ca="1">IF($O$7="Desbloqueado",
  _xlfn.LET(
    _xlpm.saldo_atual, SUM(($C$2:$C290="Entrada")*($F$2:$F290=Tabela_Movimentacao_Geral[[#This Row],[ID Produto]])*($H$2:$H290) - ($C$2:$C290="Saida")*($F$2:$F290=Tabela_Movimentacao_Geral[[#This Row],[ID Produto]])*($H$2:$H290)),
    IF(_xlpm.saldo_atual &gt; 0, IF(RANDBETWEEN(0,10)&gt;3,"Saida","Entrada"), "Entrada")
  ),
  Tabela_Movimentacao_Geral[[#This Row],[Tipo Fluxo]]
)</f>
        <v>Entrada</v>
      </c>
      <c r="D2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2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291" t="str">
        <f ca="1">IF(
  $O$7="Desbloqueado",
  "PROD"&amp;TEXT(RANDBETWEEN(1,200),"000"),
  Tabela_Movimentacao_Geral[[#This Row],[ID Produto]]
)</f>
        <v>PROD042</v>
      </c>
      <c r="G291" t="str">
        <f ca="1">_xlfn.XLOOKUP(Tabela_Movimentacao_Geral[[#This Row],[ID Produto]], Tabela_Produtos[ID_Produto],Tabela_Produtos[Descricao_Produto],"Produto não encontrado")</f>
        <v>Docking Station Universal</v>
      </c>
      <c r="H291" cm="1">
        <f t="array" aca="1" ref="H291" ca="1">IF(
   $O$7="Desbloqueado",
   _xlfn.LET(
     _xlpm.saldo_atual, SUM(($C$2:$C290="Entrada")*($F$2:$F290=Tabela_Movimentacao_Geral[[#This Row],[ID Produto]])*($H$2:$H290) - ($C$2:$C290="Saida")*($F$2:$F290=Tabela_Movimentacao_Geral[[#This Row],[ID Produto]])*($H$2:$H290)),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86</v>
      </c>
      <c r="I291" s="5">
        <f ca="1">_xlfn.XLOOKUP(Tabela_Movimentacao_Geral[[#This Row],[ID Produto]], Tabela_Produtos[ID_Produto],Tabela_Produtos[Preco_Unitario_Venda])</f>
        <v>890</v>
      </c>
      <c r="J291" s="6">
        <f ca="1">Tabela_Movimentacao_Geral[[#This Row],[Quantidade]] * Tabela_Movimentacao_Geral[[#This Row],[Valor Unitário]]</f>
        <v>76540</v>
      </c>
      <c r="K291" t="str">
        <f ca="1">IF(
   $O$7="Desbloqueado",
   CHOOSE(RANDBETWEEN(1,3),"Pago","Pendente","Atrasado"),
   Tabela_Movimentacao_Geral[[#This Row],[Status Financeiro]]
)</f>
        <v>Pendente</v>
      </c>
      <c r="L291" t="str">
        <f ca="1">IF(
   $O$7="Desbloqueado",
   CHOOSE(RANDBETWEEN(1,3),"Entregue","Em Rota","Aguardando"),
   Tabela_Movimentacao_Geral[[#This Row],[Status Logistico]]
)</f>
        <v>Aguardando</v>
      </c>
      <c r="M29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45807</v>
      </c>
    </row>
    <row r="292" spans="1:13" x14ac:dyDescent="0.3">
      <c r="A292" t="str">
        <f t="shared" si="4"/>
        <v>T0291</v>
      </c>
      <c r="B292" s="1">
        <v>45800</v>
      </c>
      <c r="C292" t="str" cm="1">
        <f t="array" aca="1" ref="C292" ca="1">IF($O$7="Desbloqueado",
  _xlfn.LET(
    _xlpm.saldo_atual, SUM(($C$2:$C291="Entrada")*($F$2:$F291=Tabela_Movimentacao_Geral[[#This Row],[ID Produto]])*($H$2:$H291) - ($C$2:$C291="Saida")*($F$2:$F291=Tabela_Movimentacao_Geral[[#This Row],[ID Produto]])*($H$2:$H291)),
    IF(_xlpm.saldo_atual &gt; 0, IF(RANDBETWEEN(0,10)&gt;3,"Saida","Entrada"), "Entrada")
  ),
  Tabela_Movimentacao_Geral[[#This Row],[Tipo Fluxo]]
)</f>
        <v>Saida</v>
      </c>
      <c r="D2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2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292" t="str">
        <f ca="1">IF(
  $O$7="Desbloqueado",
  "PROD"&amp;TEXT(RANDBETWEEN(1,200),"000"),
  Tabela_Movimentacao_Geral[[#This Row],[ID Produto]]
)</f>
        <v>PROD064</v>
      </c>
      <c r="G292" t="str">
        <f ca="1">_xlfn.XLOOKUP(Tabela_Movimentacao_Geral[[#This Row],[ID Produto]], Tabela_Produtos[ID_Produto],Tabela_Produtos[Descricao_Produto],"Produto não encontrado")</f>
        <v>Cola em Bastao 40g</v>
      </c>
      <c r="H292" cm="1">
        <f t="array" aca="1" ref="H292" ca="1">IF(
   $O$7="Desbloqueado",
   _xlfn.LET(
     _xlpm.saldo_atual, SUM(($C$2:$C291="Entrada")*($F$2:$F291=Tabela_Movimentacao_Geral[[#This Row],[ID Produto]])*($H$2:$H291) - ($C$2:$C291="Saida")*($F$2:$F291=Tabela_Movimentacao_Geral[[#This Row],[ID Produto]])*($H$2:$H291)),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136</v>
      </c>
      <c r="I292" s="5">
        <f ca="1">_xlfn.XLOOKUP(Tabela_Movimentacao_Geral[[#This Row],[ID Produto]], Tabela_Produtos[ID_Produto],Tabela_Produtos[Preco_Unitario_Venda])</f>
        <v>14</v>
      </c>
      <c r="J292" s="6">
        <f ca="1">Tabela_Movimentacao_Geral[[#This Row],[Quantidade]] * Tabela_Movimentacao_Geral[[#This Row],[Valor Unitário]]</f>
        <v>1904</v>
      </c>
      <c r="K292" t="str">
        <f ca="1">IF(
   $O$7="Desbloqueado",
   CHOOSE(RANDBETWEEN(1,3),"Pago","Pendente","Atrasado"),
   Tabela_Movimentacao_Geral[[#This Row],[Status Financeiro]]
)</f>
        <v>Pago</v>
      </c>
      <c r="L292" t="str">
        <f ca="1">IF(
   $O$7="Desbloqueado",
   CHOOSE(RANDBETWEEN(1,3),"Entregue","Em Rota","Aguardando"),
   Tabela_Movimentacao_Geral[[#This Row],[Status Logistico]]
)</f>
        <v>Entregue</v>
      </c>
      <c r="M29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93" spans="1:13" x14ac:dyDescent="0.3">
      <c r="A293" t="str">
        <f t="shared" si="4"/>
        <v>T0292</v>
      </c>
      <c r="B293" s="1">
        <v>45800</v>
      </c>
      <c r="C293" t="str" cm="1">
        <f t="array" aca="1" ref="C293" ca="1">IF($O$7="Desbloqueado",
  _xlfn.LET(
    _xlpm.saldo_atual, SUM(($C$2:$C292="Entrada")*($F$2:$F292=Tabela_Movimentacao_Geral[[#This Row],[ID Produto]])*($H$2:$H292) - ($C$2:$C292="Saida")*($F$2:$F292=Tabela_Movimentacao_Geral[[#This Row],[ID Produto]])*($H$2:$H292)),
    IF(_xlpm.saldo_atual &gt; 0, IF(RANDBETWEEN(0,10)&gt;3,"Saida","Entrada"), "Entrada")
  ),
  Tabela_Movimentacao_Geral[[#This Row],[Tipo Fluxo]]
)</f>
        <v>Saida</v>
      </c>
      <c r="D2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2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293" t="str">
        <f ca="1">IF(
  $O$7="Desbloqueado",
  "PROD"&amp;TEXT(RANDBETWEEN(1,200),"000"),
  Tabela_Movimentacao_Geral[[#This Row],[ID Produto]]
)</f>
        <v>PROD075</v>
      </c>
      <c r="G293" t="str">
        <f ca="1">_xlfn.XLOOKUP(Tabela_Movimentacao_Geral[[#This Row],[ID Produto]], Tabela_Produtos[ID_Produto],Tabela_Produtos[Descricao_Produto],"Produto não encontrado")</f>
        <v>Suporte de Pasta Acrilico</v>
      </c>
      <c r="H293" cm="1">
        <f t="array" aca="1" ref="H293" ca="1">IF(
   $O$7="Desbloqueado",
   _xlfn.LET(
     _xlpm.saldo_atual, SUM(($C$2:$C292="Entrada")*($F$2:$F292=Tabela_Movimentacao_Geral[[#This Row],[ID Produto]])*($H$2:$H292) - ($C$2:$C292="Saida")*($F$2:$F292=Tabela_Movimentacao_Geral[[#This Row],[ID Produto]])*($H$2:$H292)),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94</v>
      </c>
      <c r="I293" s="5">
        <f ca="1">_xlfn.XLOOKUP(Tabela_Movimentacao_Geral[[#This Row],[ID Produto]], Tabela_Produtos[ID_Produto],Tabela_Produtos[Preco_Unitario_Venda])</f>
        <v>38</v>
      </c>
      <c r="J293" s="6">
        <f ca="1">Tabela_Movimentacao_Geral[[#This Row],[Quantidade]] * Tabela_Movimentacao_Geral[[#This Row],[Valor Unitário]]</f>
        <v>3572</v>
      </c>
      <c r="K293" t="str">
        <f ca="1">IF(
   $O$7="Desbloqueado",
   CHOOSE(RANDBETWEEN(1,3),"Pago","Pendente","Atrasado"),
   Tabela_Movimentacao_Geral[[#This Row],[Status Financeiro]]
)</f>
        <v>Pago</v>
      </c>
      <c r="L293" t="str">
        <f ca="1">IF(
   $O$7="Desbloqueado",
   CHOOSE(RANDBETWEEN(1,3),"Entregue","Em Rota","Aguardando"),
   Tabela_Movimentacao_Geral[[#This Row],[Status Logistico]]
)</f>
        <v>Aguardando</v>
      </c>
      <c r="M29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94" spans="1:13" x14ac:dyDescent="0.3">
      <c r="A294" t="str">
        <f t="shared" si="4"/>
        <v>T0293</v>
      </c>
      <c r="B294" s="1">
        <v>45800</v>
      </c>
      <c r="C294" t="str" cm="1">
        <f t="array" aca="1" ref="C294" ca="1">IF($O$7="Desbloqueado",
  _xlfn.LET(
    _xlpm.saldo_atual, SUM(($C$2:$C293="Entrada")*($F$2:$F293=Tabela_Movimentacao_Geral[[#This Row],[ID Produto]])*($H$2:$H293) - ($C$2:$C293="Saida")*($F$2:$F293=Tabela_Movimentacao_Geral[[#This Row],[ID Produto]])*($H$2:$H293)),
    IF(_xlpm.saldo_atual &gt; 0, IF(RANDBETWEEN(0,10)&gt;3,"Saida","Entrada"), "Entrada")
  ),
  Tabela_Movimentacao_Geral[[#This Row],[Tipo Fluxo]]
)</f>
        <v>Saida</v>
      </c>
      <c r="D2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2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294" t="str">
        <f ca="1">IF(
  $O$7="Desbloqueado",
  "PROD"&amp;TEXT(RANDBETWEEN(1,200),"000"),
  Tabela_Movimentacao_Geral[[#This Row],[ID Produto]]
)</f>
        <v>PROD047</v>
      </c>
      <c r="G294" t="str">
        <f ca="1">_xlfn.XLOOKUP(Tabela_Movimentacao_Geral[[#This Row],[ID Produto]], Tabela_Produtos[ID_Produto],Tabela_Produtos[Descricao_Produto],"Produto não encontrado")</f>
        <v>Etiquetadora Termica</v>
      </c>
      <c r="H294" cm="1">
        <f t="array" aca="1" ref="H294" ca="1">IF(
   $O$7="Desbloqueado",
   _xlfn.LET(
     _xlpm.saldo_atual, SUM(($C$2:$C293="Entrada")*($F$2:$F293=Tabela_Movimentacao_Geral[[#This Row],[ID Produto]])*($H$2:$H293) - ($C$2:$C293="Saida")*($F$2:$F293=Tabela_Movimentacao_Geral[[#This Row],[ID Produto]])*($H$2:$H293)),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294" s="5">
        <f ca="1">_xlfn.XLOOKUP(Tabela_Movimentacao_Geral[[#This Row],[ID Produto]], Tabela_Produtos[ID_Produto],Tabela_Produtos[Preco_Unitario_Venda])</f>
        <v>420</v>
      </c>
      <c r="J294" s="6">
        <f ca="1">Tabela_Movimentacao_Geral[[#This Row],[Quantidade]] * Tabela_Movimentacao_Geral[[#This Row],[Valor Unitário]]</f>
        <v>5040</v>
      </c>
      <c r="K294" t="str">
        <f ca="1">IF(
   $O$7="Desbloqueado",
   CHOOSE(RANDBETWEEN(1,3),"Pago","Pendente","Atrasado"),
   Tabela_Movimentacao_Geral[[#This Row],[Status Financeiro]]
)</f>
        <v>Atrasado</v>
      </c>
      <c r="L294" t="str">
        <f ca="1">IF(
   $O$7="Desbloqueado",
   CHOOSE(RANDBETWEEN(1,3),"Entregue","Em Rota","Aguardando"),
   Tabela_Movimentacao_Geral[[#This Row],[Status Logistico]]
)</f>
        <v>Aguardando</v>
      </c>
      <c r="M29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95" spans="1:13" x14ac:dyDescent="0.3">
      <c r="A295" t="str">
        <f t="shared" si="4"/>
        <v>T0294</v>
      </c>
      <c r="B295" s="1">
        <v>45801</v>
      </c>
      <c r="C295" t="str" cm="1">
        <f t="array" aca="1" ref="C295" ca="1">IF($O$7="Desbloqueado",
  _xlfn.LET(
    _xlpm.saldo_atual, SUM(($C$2:$C294="Entrada")*($F$2:$F294=Tabela_Movimentacao_Geral[[#This Row],[ID Produto]])*($H$2:$H294) - ($C$2:$C294="Saida")*($F$2:$F294=Tabela_Movimentacao_Geral[[#This Row],[ID Produto]])*($H$2:$H294)),
    IF(_xlpm.saldo_atual &gt; 0, IF(RANDBETWEEN(0,10)&gt;3,"Saida","Entrada"), "Entrada")
  ),
  Tabela_Movimentacao_Geral[[#This Row],[Tipo Fluxo]]
)</f>
        <v>Saida</v>
      </c>
      <c r="D2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2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295" t="str">
        <f ca="1">IF(
  $O$7="Desbloqueado",
  "PROD"&amp;TEXT(RANDBETWEEN(1,200),"000"),
  Tabela_Movimentacao_Geral[[#This Row],[ID Produto]]
)</f>
        <v>PROD175</v>
      </c>
      <c r="G295" t="str">
        <f ca="1">_xlfn.XLOOKUP(Tabela_Movimentacao_Geral[[#This Row],[ID Produto]], Tabela_Produtos[ID_Produto],Tabela_Produtos[Descricao_Produto],"Produto não encontrado")</f>
        <v>Plastico Bolha 1.2x50m</v>
      </c>
      <c r="H295" cm="1">
        <f t="array" aca="1" ref="H295" ca="1">IF(
   $O$7="Desbloqueado",
   _xlfn.LET(
     _xlpm.saldo_atual, SUM(($C$2:$C294="Entrada")*($F$2:$F294=Tabela_Movimentacao_Geral[[#This Row],[ID Produto]])*($H$2:$H294) - ($C$2:$C294="Saida")*($F$2:$F294=Tabela_Movimentacao_Geral[[#This Row],[ID Produto]])*($H$2:$H294)),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295" s="5">
        <f ca="1">_xlfn.XLOOKUP(Tabela_Movimentacao_Geral[[#This Row],[ID Produto]], Tabela_Produtos[ID_Produto],Tabela_Produtos[Preco_Unitario_Venda])</f>
        <v>110</v>
      </c>
      <c r="J295" s="6">
        <f ca="1">Tabela_Movimentacao_Geral[[#This Row],[Quantidade]] * Tabela_Movimentacao_Geral[[#This Row],[Valor Unitário]]</f>
        <v>1100</v>
      </c>
      <c r="K295" t="str">
        <f ca="1">IF(
   $O$7="Desbloqueado",
   CHOOSE(RANDBETWEEN(1,3),"Pago","Pendente","Atrasado"),
   Tabela_Movimentacao_Geral[[#This Row],[Status Financeiro]]
)</f>
        <v>Pendente</v>
      </c>
      <c r="L295" t="str">
        <f ca="1">IF(
   $O$7="Desbloqueado",
   CHOOSE(RANDBETWEEN(1,3),"Entregue","Em Rota","Aguardando"),
   Tabela_Movimentacao_Geral[[#This Row],[Status Logistico]]
)</f>
        <v>Em Rota</v>
      </c>
      <c r="M29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96" spans="1:13" x14ac:dyDescent="0.3">
      <c r="A296" t="str">
        <f t="shared" si="4"/>
        <v>T0295</v>
      </c>
      <c r="B296" s="1">
        <v>45802</v>
      </c>
      <c r="C296" t="str" cm="1">
        <f t="array" aca="1" ref="C296" ca="1">IF($O$7="Desbloqueado",
  _xlfn.LET(
    _xlpm.saldo_atual, SUM(($C$2:$C295="Entrada")*($F$2:$F295=Tabela_Movimentacao_Geral[[#This Row],[ID Produto]])*($H$2:$H295) - ($C$2:$C295="Saida")*($F$2:$F295=Tabela_Movimentacao_Geral[[#This Row],[ID Produto]])*($H$2:$H295)),
    IF(_xlpm.saldo_atual &gt; 0, IF(RANDBETWEEN(0,10)&gt;3,"Saida","Entrada"), "Entrada")
  ),
  Tabela_Movimentacao_Geral[[#This Row],[Tipo Fluxo]]
)</f>
        <v>Entrada</v>
      </c>
      <c r="D2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2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296" t="str">
        <f ca="1">IF(
  $O$7="Desbloqueado",
  "PROD"&amp;TEXT(RANDBETWEEN(1,200),"000"),
  Tabela_Movimentacao_Geral[[#This Row],[ID Produto]]
)</f>
        <v>PROD026</v>
      </c>
      <c r="G296" t="str">
        <f ca="1">_xlfn.XLOOKUP(Tabela_Movimentacao_Geral[[#This Row],[ID Produto]], Tabela_Produtos[ID_Produto],Tabela_Produtos[Descricao_Produto],"Produto não encontrado")</f>
        <v>Mousepad Gamer Extra Large</v>
      </c>
      <c r="H296" cm="1">
        <f t="array" aca="1" ref="H296" ca="1">IF(
   $O$7="Desbloqueado",
   _xlfn.LET(
     _xlpm.saldo_atual, SUM(($C$2:$C295="Entrada")*($F$2:$F295=Tabela_Movimentacao_Geral[[#This Row],[ID Produto]])*($H$2:$H295) - ($C$2:$C295="Saida")*($F$2:$F295=Tabela_Movimentacao_Geral[[#This Row],[ID Produto]])*($H$2:$H295)),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78</v>
      </c>
      <c r="I296" s="5">
        <f ca="1">_xlfn.XLOOKUP(Tabela_Movimentacao_Geral[[#This Row],[ID Produto]], Tabela_Produtos[ID_Produto],Tabela_Produtos[Preco_Unitario_Venda])</f>
        <v>85</v>
      </c>
      <c r="J296" s="6">
        <f ca="1">Tabela_Movimentacao_Geral[[#This Row],[Quantidade]] * Tabela_Movimentacao_Geral[[#This Row],[Valor Unitário]]</f>
        <v>6630</v>
      </c>
      <c r="K296" t="str">
        <f ca="1">IF(
   $O$7="Desbloqueado",
   CHOOSE(RANDBETWEEN(1,3),"Pago","Pendente","Atrasado"),
   Tabela_Movimentacao_Geral[[#This Row],[Status Financeiro]]
)</f>
        <v>Pago</v>
      </c>
      <c r="L296" t="str">
        <f ca="1">IF(
   $O$7="Desbloqueado",
   CHOOSE(RANDBETWEEN(1,3),"Entregue","Em Rota","Aguardando"),
   Tabela_Movimentacao_Geral[[#This Row],[Status Logistico]]
)</f>
        <v>Em Rota</v>
      </c>
      <c r="M29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45804</v>
      </c>
    </row>
    <row r="297" spans="1:13" x14ac:dyDescent="0.3">
      <c r="A297" t="str">
        <f t="shared" si="4"/>
        <v>T0296</v>
      </c>
      <c r="B297" s="1">
        <v>45802</v>
      </c>
      <c r="C297" t="str" cm="1">
        <f t="array" aca="1" ref="C297" ca="1">IF($O$7="Desbloqueado",
  _xlfn.LET(
    _xlpm.saldo_atual, SUM(($C$2:$C296="Entrada")*($F$2:$F296=Tabela_Movimentacao_Geral[[#This Row],[ID Produto]])*($H$2:$H296) - ($C$2:$C296="Saida")*($F$2:$F296=Tabela_Movimentacao_Geral[[#This Row],[ID Produto]])*($H$2:$H296)),
    IF(_xlpm.saldo_atual &gt; 0, IF(RANDBETWEEN(0,10)&gt;3,"Saida","Entrada"), "Entrada")
  ),
  Tabela_Movimentacao_Geral[[#This Row],[Tipo Fluxo]]
)</f>
        <v>Entrada</v>
      </c>
      <c r="D2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2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297" t="str">
        <f ca="1">IF(
  $O$7="Desbloqueado",
  "PROD"&amp;TEXT(RANDBETWEEN(1,200),"000"),
  Tabela_Movimentacao_Geral[[#This Row],[ID Produto]]
)</f>
        <v>PROD166</v>
      </c>
      <c r="G297" t="str">
        <f ca="1">_xlfn.XLOOKUP(Tabela_Movimentacao_Geral[[#This Row],[ID Produto]], Tabela_Produtos[ID_Produto],Tabela_Produtos[Descricao_Produto],"Produto não encontrado")</f>
        <v>Tinta para Carimbo 30ml</v>
      </c>
      <c r="H297" cm="1">
        <f t="array" aca="1" ref="H297" ca="1">IF(
   $O$7="Desbloqueado",
   _xlfn.LET(
     _xlpm.saldo_atual, SUM(($C$2:$C296="Entrada")*($F$2:$F296=Tabela_Movimentacao_Geral[[#This Row],[ID Produto]])*($H$2:$H296) - ($C$2:$C296="Saida")*($F$2:$F296=Tabela_Movimentacao_Geral[[#This Row],[ID Produto]])*($H$2:$H296)),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297" s="5">
        <f ca="1">_xlfn.XLOOKUP(Tabela_Movimentacao_Geral[[#This Row],[ID Produto]], Tabela_Produtos[ID_Produto],Tabela_Produtos[Preco_Unitario_Venda])</f>
        <v>12</v>
      </c>
      <c r="J297" s="6">
        <f ca="1">Tabela_Movimentacao_Geral[[#This Row],[Quantidade]] * Tabela_Movimentacao_Geral[[#This Row],[Valor Unitário]]</f>
        <v>372</v>
      </c>
      <c r="K297" t="str">
        <f ca="1">IF(
   $O$7="Desbloqueado",
   CHOOSE(RANDBETWEEN(1,3),"Pago","Pendente","Atrasado"),
   Tabela_Movimentacao_Geral[[#This Row],[Status Financeiro]]
)</f>
        <v>Pago</v>
      </c>
      <c r="L297" t="str">
        <f ca="1">IF(
   $O$7="Desbloqueado",
   CHOOSE(RANDBETWEEN(1,3),"Entregue","Em Rota","Aguardando"),
   Tabela_Movimentacao_Geral[[#This Row],[Status Logistico]]
)</f>
        <v>Entregue</v>
      </c>
      <c r="M29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45803</v>
      </c>
    </row>
    <row r="298" spans="1:13" x14ac:dyDescent="0.3">
      <c r="A298" t="str">
        <f t="shared" si="4"/>
        <v>T0297</v>
      </c>
      <c r="B298" s="1">
        <v>45804</v>
      </c>
      <c r="C298" t="str" cm="1">
        <f t="array" aca="1" ref="C298" ca="1">IF($O$7="Desbloqueado",
  _xlfn.LET(
    _xlpm.saldo_atual, SUM(($C$2:$C297="Entrada")*($F$2:$F297=Tabela_Movimentacao_Geral[[#This Row],[ID Produto]])*($H$2:$H297) - ($C$2:$C297="Saida")*($F$2:$F297=Tabela_Movimentacao_Geral[[#This Row],[ID Produto]])*($H$2:$H297)),
    IF(_xlpm.saldo_atual &gt; 0, IF(RANDBETWEEN(0,10)&gt;3,"Saida","Entrada"), "Entrada")
  ),
  Tabela_Movimentacao_Geral[[#This Row],[Tipo Fluxo]]
)</f>
        <v>Saida</v>
      </c>
      <c r="D2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2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298" t="str">
        <f ca="1">IF(
  $O$7="Desbloqueado",
  "PROD"&amp;TEXT(RANDBETWEEN(1,200),"000"),
  Tabela_Movimentacao_Geral[[#This Row],[ID Produto]]
)</f>
        <v>PROD177</v>
      </c>
      <c r="G298" t="str">
        <f ca="1">_xlfn.XLOOKUP(Tabela_Movimentacao_Geral[[#This Row],[ID Produto]], Tabela_Produtos[ID_Produto],Tabela_Produtos[Descricao_Produto],"Produto não encontrado")</f>
        <v>Estante de Aco 6 Prateiras</v>
      </c>
      <c r="H298" cm="1">
        <f t="array" aca="1" ref="H298" ca="1">IF(
   $O$7="Desbloqueado",
   _xlfn.LET(
     _xlpm.saldo_atual, SUM(($C$2:$C297="Entrada")*($F$2:$F297=Tabela_Movimentacao_Geral[[#This Row],[ID Produto]])*($H$2:$H297) - ($C$2:$C297="Saida")*($F$2:$F297=Tabela_Movimentacao_Geral[[#This Row],[ID Produto]])*($H$2:$H297)),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298" s="5">
        <f ca="1">_xlfn.XLOOKUP(Tabela_Movimentacao_Geral[[#This Row],[ID Produto]], Tabela_Produtos[ID_Produto],Tabela_Produtos[Preco_Unitario_Venda])</f>
        <v>280</v>
      </c>
      <c r="J298" s="6">
        <f ca="1">Tabela_Movimentacao_Geral[[#This Row],[Quantidade]] * Tabela_Movimentacao_Geral[[#This Row],[Valor Unitário]]</f>
        <v>2520</v>
      </c>
      <c r="K298" t="str">
        <f ca="1">IF(
   $O$7="Desbloqueado",
   CHOOSE(RANDBETWEEN(1,3),"Pago","Pendente","Atrasado"),
   Tabela_Movimentacao_Geral[[#This Row],[Status Financeiro]]
)</f>
        <v>Pago</v>
      </c>
      <c r="L298" t="str">
        <f ca="1">IF(
   $O$7="Desbloqueado",
   CHOOSE(RANDBETWEEN(1,3),"Entregue","Em Rota","Aguardando"),
   Tabela_Movimentacao_Geral[[#This Row],[Status Logistico]]
)</f>
        <v>Em Rota</v>
      </c>
      <c r="M29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299" spans="1:13" x14ac:dyDescent="0.3">
      <c r="A299" t="str">
        <f t="shared" si="4"/>
        <v>T0298</v>
      </c>
      <c r="B299" s="1">
        <v>45804</v>
      </c>
      <c r="C299" t="str" cm="1">
        <f t="array" aca="1" ref="C299" ca="1">IF($O$7="Desbloqueado",
  _xlfn.LET(
    _xlpm.saldo_atual, SUM(($C$2:$C298="Entrada")*($F$2:$F298=Tabela_Movimentacao_Geral[[#This Row],[ID Produto]])*($H$2:$H298) - ($C$2:$C298="Saida")*($F$2:$F298=Tabela_Movimentacao_Geral[[#This Row],[ID Produto]])*($H$2:$H298)),
    IF(_xlpm.saldo_atual &gt; 0, IF(RANDBETWEEN(0,10)&gt;3,"Saida","Entrada"), "Entrada")
  ),
  Tabela_Movimentacao_Geral[[#This Row],[Tipo Fluxo]]
)</f>
        <v>Saida</v>
      </c>
      <c r="D2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2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299" t="str">
        <f ca="1">IF(
  $O$7="Desbloqueado",
  "PROD"&amp;TEXT(RANDBETWEEN(1,200),"000"),
  Tabela_Movimentacao_Geral[[#This Row],[ID Produto]]
)</f>
        <v>PROD070</v>
      </c>
      <c r="G299" t="str">
        <f ca="1">_xlfn.XLOOKUP(Tabela_Movimentacao_Geral[[#This Row],[ID Produto]], Tabela_Produtos[ID_Produto],Tabela_Produtos[Descricao_Produto],"Produto não encontrado")</f>
        <v>Marcador para Quadro Azul</v>
      </c>
      <c r="H299" cm="1">
        <f t="array" aca="1" ref="H299" ca="1">IF(
   $O$7="Desbloqueado",
   _xlfn.LET(
     _xlpm.saldo_atual, SUM(($C$2:$C298="Entrada")*($F$2:$F298=Tabela_Movimentacao_Geral[[#This Row],[ID Produto]])*($H$2:$H298) - ($C$2:$C298="Saida")*($F$2:$F298=Tabela_Movimentacao_Geral[[#This Row],[ID Produto]])*($H$2:$H298)),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299" s="5">
        <f ca="1">_xlfn.XLOOKUP(Tabela_Movimentacao_Geral[[#This Row],[ID Produto]], Tabela_Produtos[ID_Produto],Tabela_Produtos[Preco_Unitario_Venda])</f>
        <v>7.5</v>
      </c>
      <c r="J299" s="6">
        <f ca="1">Tabela_Movimentacao_Geral[[#This Row],[Quantidade]] * Tabela_Movimentacao_Geral[[#This Row],[Valor Unitário]]</f>
        <v>135</v>
      </c>
      <c r="K299" t="str">
        <f ca="1">IF(
   $O$7="Desbloqueado",
   CHOOSE(RANDBETWEEN(1,3),"Pago","Pendente","Atrasado"),
   Tabela_Movimentacao_Geral[[#This Row],[Status Financeiro]]
)</f>
        <v>Atrasado</v>
      </c>
      <c r="L299" t="str">
        <f ca="1">IF(
   $O$7="Desbloqueado",
   CHOOSE(RANDBETWEEN(1,3),"Entregue","Em Rota","Aguardando"),
   Tabela_Movimentacao_Geral[[#This Row],[Status Logistico]]
)</f>
        <v>Aguardando</v>
      </c>
      <c r="M29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00" spans="1:13" x14ac:dyDescent="0.3">
      <c r="A300" t="str">
        <f t="shared" si="4"/>
        <v>T0299</v>
      </c>
      <c r="B300" s="1">
        <v>45805</v>
      </c>
      <c r="C300" t="str" cm="1">
        <f t="array" aca="1" ref="C300" ca="1">IF($O$7="Desbloqueado",
  _xlfn.LET(
    _xlpm.saldo_atual, SUM(($C$2:$C299="Entrada")*($F$2:$F299=Tabela_Movimentacao_Geral[[#This Row],[ID Produto]])*($H$2:$H299) - ($C$2:$C299="Saida")*($F$2:$F299=Tabela_Movimentacao_Geral[[#This Row],[ID Produto]])*($H$2:$H299)),
    IF(_xlpm.saldo_atual &gt; 0, IF(RANDBETWEEN(0,10)&gt;3,"Saida","Entrada"), "Entrada")
  ),
  Tabela_Movimentacao_Geral[[#This Row],[Tipo Fluxo]]
)</f>
        <v>Saida</v>
      </c>
      <c r="D3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3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300" t="str">
        <f ca="1">IF(
  $O$7="Desbloqueado",
  "PROD"&amp;TEXT(RANDBETWEEN(1,200),"000"),
  Tabela_Movimentacao_Geral[[#This Row],[ID Produto]]
)</f>
        <v>PROD134</v>
      </c>
      <c r="G300" t="str">
        <f ca="1">_xlfn.XLOOKUP(Tabela_Movimentacao_Geral[[#This Row],[ID Produto]], Tabela_Produtos[ID_Produto],Tabela_Produtos[Descricao_Produto],"Produto não encontrado")</f>
        <v>Suporte Projetor Teto</v>
      </c>
      <c r="H300" cm="1">
        <f t="array" aca="1" ref="H300" ca="1">IF(
   $O$7="Desbloqueado",
   _xlfn.LET(
     _xlpm.saldo_atual, SUM(($C$2:$C299="Entrada")*($F$2:$F299=Tabela_Movimentacao_Geral[[#This Row],[ID Produto]])*($H$2:$H299) - ($C$2:$C299="Saida")*($F$2:$F299=Tabela_Movimentacao_Geral[[#This Row],[ID Produto]])*($H$2:$H299)),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300" s="5">
        <f ca="1">_xlfn.XLOOKUP(Tabela_Movimentacao_Geral[[#This Row],[ID Produto]], Tabela_Produtos[ID_Produto],Tabela_Produtos[Preco_Unitario_Venda])</f>
        <v>155</v>
      </c>
      <c r="J300" s="6">
        <f ca="1">Tabela_Movimentacao_Geral[[#This Row],[Quantidade]] * Tabela_Movimentacao_Geral[[#This Row],[Valor Unitário]]</f>
        <v>2480</v>
      </c>
      <c r="K300" t="str">
        <f ca="1">IF(
   $O$7="Desbloqueado",
   CHOOSE(RANDBETWEEN(1,3),"Pago","Pendente","Atrasado"),
   Tabela_Movimentacao_Geral[[#This Row],[Status Financeiro]]
)</f>
        <v>Pendente</v>
      </c>
      <c r="L300" t="str">
        <f ca="1">IF(
   $O$7="Desbloqueado",
   CHOOSE(RANDBETWEEN(1,3),"Entregue","Em Rota","Aguardando"),
   Tabela_Movimentacao_Geral[[#This Row],[Status Logistico]]
)</f>
        <v>Em Rota</v>
      </c>
      <c r="M30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01" spans="1:13" x14ac:dyDescent="0.3">
      <c r="A301" t="str">
        <f t="shared" si="4"/>
        <v>T0300</v>
      </c>
      <c r="B301" s="1">
        <v>45805</v>
      </c>
      <c r="C301" t="str" cm="1">
        <f t="array" aca="1" ref="C301" ca="1">IF($O$7="Desbloqueado",
  _xlfn.LET(
    _xlpm.saldo_atual, SUM(($C$2:$C300="Entrada")*($F$2:$F300=Tabela_Movimentacao_Geral[[#This Row],[ID Produto]])*($H$2:$H300) - ($C$2:$C300="Saida")*($F$2:$F300=Tabela_Movimentacao_Geral[[#This Row],[ID Produto]])*($H$2:$H300)),
    IF(_xlpm.saldo_atual &gt; 0, IF(RANDBETWEEN(0,10)&gt;3,"Saida","Entrada"), "Entrada")
  ),
  Tabela_Movimentacao_Geral[[#This Row],[Tipo Fluxo]]
)</f>
        <v>Entrada</v>
      </c>
      <c r="D3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3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301" t="str">
        <f ca="1">IF(
  $O$7="Desbloqueado",
  "PROD"&amp;TEXT(RANDBETWEEN(1,200),"000"),
  Tabela_Movimentacao_Geral[[#This Row],[ID Produto]]
)</f>
        <v>PROD183</v>
      </c>
      <c r="G301" t="str">
        <f ca="1">_xlfn.XLOOKUP(Tabela_Movimentacao_Geral[[#This Row],[ID Produto]], Tabela_Produtos[ID_Produto],Tabela_Produtos[Descricao_Produto],"Produto não encontrado")</f>
        <v>Placa de Rede Quad Port</v>
      </c>
      <c r="H301" cm="1">
        <f t="array" aca="1" ref="H301" ca="1">IF(
   $O$7="Desbloqueado",
   _xlfn.LET(
     _xlpm.saldo_atual, SUM(($C$2:$C300="Entrada")*($F$2:$F300=Tabela_Movimentacao_Geral[[#This Row],[ID Produto]])*($H$2:$H300) - ($C$2:$C300="Saida")*($F$2:$F300=Tabela_Movimentacao_Geral[[#This Row],[ID Produto]])*($H$2:$H300)),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301" s="5">
        <f ca="1">_xlfn.XLOOKUP(Tabela_Movimentacao_Geral[[#This Row],[ID Produto]], Tabela_Produtos[ID_Produto],Tabela_Produtos[Preco_Unitario_Venda])</f>
        <v>1200</v>
      </c>
      <c r="J301" s="6">
        <f ca="1">Tabela_Movimentacao_Geral[[#This Row],[Quantidade]] * Tabela_Movimentacao_Geral[[#This Row],[Valor Unitário]]</f>
        <v>34800</v>
      </c>
      <c r="K301" t="str">
        <f ca="1">IF(
   $O$7="Desbloqueado",
   CHOOSE(RANDBETWEEN(1,3),"Pago","Pendente","Atrasado"),
   Tabela_Movimentacao_Geral[[#This Row],[Status Financeiro]]
)</f>
        <v>Atrasado</v>
      </c>
      <c r="L301" t="str">
        <f ca="1">IF(
   $O$7="Desbloqueado",
   CHOOSE(RANDBETWEEN(1,3),"Entregue","Em Rota","Aguardando"),
   Tabela_Movimentacao_Geral[[#This Row],[Status Logistico]]
)</f>
        <v>Aguardando</v>
      </c>
      <c r="M3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45807</v>
      </c>
    </row>
    <row r="302" spans="1:13" x14ac:dyDescent="0.3">
      <c r="A302" t="str">
        <f t="shared" si="4"/>
        <v>T0301</v>
      </c>
      <c r="B302" s="1">
        <v>45805</v>
      </c>
      <c r="C302" t="str" cm="1">
        <f t="array" aca="1" ref="C302" ca="1">IF($O$7="Desbloqueado",
  _xlfn.LET(
    _xlpm.saldo_atual, SUM(($C$2:$C301="Entrada")*($F$2:$F301=Tabela_Movimentacao_Geral[[#This Row],[ID Produto]])*($H$2:$H301) - ($C$2:$C301="Saida")*($F$2:$F301=Tabela_Movimentacao_Geral[[#This Row],[ID Produto]])*($H$2:$H301)),
    IF(_xlpm.saldo_atual &gt; 0, IF(RANDBETWEEN(0,10)&gt;3,"Saida","Entrada"), "Entrada")
  ),
  Tabela_Movimentacao_Geral[[#This Row],[Tipo Fluxo]]
)</f>
        <v>Saida</v>
      </c>
      <c r="D3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3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302" t="str">
        <f ca="1">IF(
  $O$7="Desbloqueado",
  "PROD"&amp;TEXT(RANDBETWEEN(1,200),"000"),
  Tabela_Movimentacao_Geral[[#This Row],[ID Produto]]
)</f>
        <v>PROD010</v>
      </c>
      <c r="G302" t="str">
        <f ca="1">_xlfn.XLOOKUP(Tabela_Movimentacao_Geral[[#This Row],[ID Produto]], Tabela_Produtos[ID_Produto],Tabela_Produtos[Descricao_Produto],"Produto não encontrado")</f>
        <v>SSD 480GB SATA3</v>
      </c>
      <c r="H302" cm="1">
        <f t="array" aca="1" ref="H302" ca="1">IF(
   $O$7="Desbloqueado",
   _xlfn.LET(
     _xlpm.saldo_atual, SUM(($C$2:$C301="Entrada")*($F$2:$F301=Tabela_Movimentacao_Geral[[#This Row],[ID Produto]])*($H$2:$H301) - ($C$2:$C301="Saida")*($F$2:$F301=Tabela_Movimentacao_Geral[[#This Row],[ID Produto]])*($H$2:$H301)),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302" s="5">
        <f ca="1">_xlfn.XLOOKUP(Tabela_Movimentacao_Geral[[#This Row],[ID Produto]], Tabela_Produtos[ID_Produto],Tabela_Produtos[Preco_Unitario_Venda])</f>
        <v>320</v>
      </c>
      <c r="J302" s="6">
        <f ca="1">Tabela_Movimentacao_Geral[[#This Row],[Quantidade]] * Tabela_Movimentacao_Geral[[#This Row],[Valor Unitário]]</f>
        <v>5440</v>
      </c>
      <c r="K302" t="str">
        <f ca="1">IF(
   $O$7="Desbloqueado",
   CHOOSE(RANDBETWEEN(1,3),"Pago","Pendente","Atrasado"),
   Tabela_Movimentacao_Geral[[#This Row],[Status Financeiro]]
)</f>
        <v>Pendente</v>
      </c>
      <c r="L302" t="str">
        <f ca="1">IF(
   $O$7="Desbloqueado",
   CHOOSE(RANDBETWEEN(1,3),"Entregue","Em Rota","Aguardando"),
   Tabela_Movimentacao_Geral[[#This Row],[Status Logistico]]
)</f>
        <v>Entregue</v>
      </c>
      <c r="M30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03" spans="1:13" x14ac:dyDescent="0.3">
      <c r="A303" t="str">
        <f t="shared" si="4"/>
        <v>T0302</v>
      </c>
      <c r="B303" s="1">
        <v>45805</v>
      </c>
      <c r="C303" t="str" cm="1">
        <f t="array" aca="1" ref="C303" ca="1">IF($O$7="Desbloqueado",
  _xlfn.LET(
    _xlpm.saldo_atual, SUM(($C$2:$C302="Entrada")*($F$2:$F302=Tabela_Movimentacao_Geral[[#This Row],[ID Produto]])*($H$2:$H302) - ($C$2:$C302="Saida")*($F$2:$F302=Tabela_Movimentacao_Geral[[#This Row],[ID Produto]])*($H$2:$H302)),
    IF(_xlpm.saldo_atual &gt; 0, IF(RANDBETWEEN(0,10)&gt;3,"Saida","Entrada"), "Entrada")
  ),
  Tabela_Movimentacao_Geral[[#This Row],[Tipo Fluxo]]
)</f>
        <v>Entrada</v>
      </c>
      <c r="D3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3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303" t="str">
        <f ca="1">IF(
  $O$7="Desbloqueado",
  "PROD"&amp;TEXT(RANDBETWEEN(1,200),"000"),
  Tabela_Movimentacao_Geral[[#This Row],[ID Produto]]
)</f>
        <v>PROD084</v>
      </c>
      <c r="G303" t="str">
        <f ca="1">_xlfn.XLOOKUP(Tabela_Movimentacao_Geral[[#This Row],[ID Produto]], Tabela_Produtos[ID_Produto],Tabela_Produtos[Descricao_Produto],"Produto não encontrado")</f>
        <v>Placa de Rede Fibra 10G</v>
      </c>
      <c r="H303" cm="1">
        <f t="array" aca="1" ref="H303" ca="1">IF(
   $O$7="Desbloqueado",
   _xlfn.LET(
     _xlpm.saldo_atual, SUM(($C$2:$C302="Entrada")*($F$2:$F302=Tabela_Movimentacao_Geral[[#This Row],[ID Produto]])*($H$2:$H302) - ($C$2:$C302="Saida")*($F$2:$F302=Tabela_Movimentacao_Geral[[#This Row],[ID Produto]])*($H$2:$H302)),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303" s="5">
        <f ca="1">_xlfn.XLOOKUP(Tabela_Movimentacao_Geral[[#This Row],[ID Produto]], Tabela_Produtos[ID_Produto],Tabela_Produtos[Preco_Unitario_Venda])</f>
        <v>950</v>
      </c>
      <c r="J303" s="6">
        <f ca="1">Tabela_Movimentacao_Geral[[#This Row],[Quantidade]] * Tabela_Movimentacao_Geral[[#This Row],[Valor Unitário]]</f>
        <v>65550</v>
      </c>
      <c r="K303" t="str">
        <f ca="1">IF(
   $O$7="Desbloqueado",
   CHOOSE(RANDBETWEEN(1,3),"Pago","Pendente","Atrasado"),
   Tabela_Movimentacao_Geral[[#This Row],[Status Financeiro]]
)</f>
        <v>Pendente</v>
      </c>
      <c r="L303" t="str">
        <f ca="1">IF(
   $O$7="Desbloqueado",
   CHOOSE(RANDBETWEEN(1,3),"Entregue","Em Rota","Aguardando"),
   Tabela_Movimentacao_Geral[[#This Row],[Status Logistico]]
)</f>
        <v>Entregue</v>
      </c>
      <c r="M30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45809</v>
      </c>
    </row>
    <row r="304" spans="1:13" x14ac:dyDescent="0.3">
      <c r="A304" t="str">
        <f t="shared" si="4"/>
        <v>T0303</v>
      </c>
      <c r="B304" s="1">
        <v>45806</v>
      </c>
      <c r="C304" t="str" cm="1">
        <f t="array" aca="1" ref="C304" ca="1">IF($O$7="Desbloqueado",
  _xlfn.LET(
    _xlpm.saldo_atual, SUM(($C$2:$C303="Entrada")*($F$2:$F303=Tabela_Movimentacao_Geral[[#This Row],[ID Produto]])*($H$2:$H303) - ($C$2:$C303="Saida")*($F$2:$F303=Tabela_Movimentacao_Geral[[#This Row],[ID Produto]])*($H$2:$H303)),
    IF(_xlpm.saldo_atual &gt; 0, IF(RANDBETWEEN(0,10)&gt;3,"Saida","Entrada"), "Entrada")
  ),
  Tabela_Movimentacao_Geral[[#This Row],[Tipo Fluxo]]
)</f>
        <v>Saida</v>
      </c>
      <c r="D3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3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304" t="str">
        <f ca="1">IF(
  $O$7="Desbloqueado",
  "PROD"&amp;TEXT(RANDBETWEEN(1,200),"000"),
  Tabela_Movimentacao_Geral[[#This Row],[ID Produto]]
)</f>
        <v>PROD149</v>
      </c>
      <c r="G304" t="str">
        <f ca="1">_xlfn.XLOOKUP(Tabela_Movimentacao_Geral[[#This Row],[ID Produto]], Tabela_Produtos[ID_Produto],Tabela_Produtos[Descricao_Produto],"Produto não encontrado")</f>
        <v>Multimetro Digital</v>
      </c>
      <c r="H304" cm="1">
        <f t="array" aca="1" ref="H304" ca="1">IF(
   $O$7="Desbloqueado",
   _xlfn.LET(
     _xlpm.saldo_atual, SUM(($C$2:$C303="Entrada")*($F$2:$F303=Tabela_Movimentacao_Geral[[#This Row],[ID Produto]])*($H$2:$H303) - ($C$2:$C303="Saida")*($F$2:$F303=Tabela_Movimentacao_Geral[[#This Row],[ID Produto]])*($H$2:$H303)),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304" s="5">
        <f ca="1">_xlfn.XLOOKUP(Tabela_Movimentacao_Geral[[#This Row],[ID Produto]], Tabela_Produtos[ID_Produto],Tabela_Produtos[Preco_Unitario_Venda])</f>
        <v>145</v>
      </c>
      <c r="J304" s="6">
        <f ca="1">Tabela_Movimentacao_Geral[[#This Row],[Quantidade]] * Tabela_Movimentacao_Geral[[#This Row],[Valor Unitário]]</f>
        <v>7685</v>
      </c>
      <c r="K304" t="str">
        <f ca="1">IF(
   $O$7="Desbloqueado",
   CHOOSE(RANDBETWEEN(1,3),"Pago","Pendente","Atrasado"),
   Tabela_Movimentacao_Geral[[#This Row],[Status Financeiro]]
)</f>
        <v>Pago</v>
      </c>
      <c r="L304" t="str">
        <f ca="1">IF(
   $O$7="Desbloqueado",
   CHOOSE(RANDBETWEEN(1,3),"Entregue","Em Rota","Aguardando"),
   Tabela_Movimentacao_Geral[[#This Row],[Status Logistico]]
)</f>
        <v>Em Rota</v>
      </c>
      <c r="M30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05" spans="1:13" x14ac:dyDescent="0.3">
      <c r="A305" t="str">
        <f t="shared" si="4"/>
        <v>T0304</v>
      </c>
      <c r="B305" s="1">
        <v>45806</v>
      </c>
      <c r="C305" t="str" cm="1">
        <f t="array" aca="1" ref="C305" ca="1">IF($O$7="Desbloqueado",
  _xlfn.LET(
    _xlpm.saldo_atual, SUM(($C$2:$C304="Entrada")*($F$2:$F304=Tabela_Movimentacao_Geral[[#This Row],[ID Produto]])*($H$2:$H304) - ($C$2:$C304="Saida")*($F$2:$F304=Tabela_Movimentacao_Geral[[#This Row],[ID Produto]])*($H$2:$H304)),
    IF(_xlpm.saldo_atual &gt; 0, IF(RANDBETWEEN(0,10)&gt;3,"Saida","Entrada"), "Entrada")
  ),
  Tabela_Movimentacao_Geral[[#This Row],[Tipo Fluxo]]
)</f>
        <v>Entrada</v>
      </c>
      <c r="D3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3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305" t="str">
        <f ca="1">IF(
  $O$7="Desbloqueado",
  "PROD"&amp;TEXT(RANDBETWEEN(1,200),"000"),
  Tabela_Movimentacao_Geral[[#This Row],[ID Produto]]
)</f>
        <v>PROD070</v>
      </c>
      <c r="G305" t="str">
        <f ca="1">_xlfn.XLOOKUP(Tabela_Movimentacao_Geral[[#This Row],[ID Produto]], Tabela_Produtos[ID_Produto],Tabela_Produtos[Descricao_Produto],"Produto não encontrado")</f>
        <v>Marcador para Quadro Azul</v>
      </c>
      <c r="H305" cm="1">
        <f t="array" aca="1" ref="H305" ca="1">IF(
   $O$7="Desbloqueado",
   _xlfn.LET(
     _xlpm.saldo_atual, SUM(($C$2:$C304="Entrada")*($F$2:$F304=Tabela_Movimentacao_Geral[[#This Row],[ID Produto]])*($H$2:$H304) - ($C$2:$C304="Saida")*($F$2:$F304=Tabela_Movimentacao_Geral[[#This Row],[ID Produto]])*($H$2:$H304)),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171</v>
      </c>
      <c r="I305" s="5">
        <f ca="1">_xlfn.XLOOKUP(Tabela_Movimentacao_Geral[[#This Row],[ID Produto]], Tabela_Produtos[ID_Produto],Tabela_Produtos[Preco_Unitario_Venda])</f>
        <v>7.5</v>
      </c>
      <c r="J305" s="6">
        <f ca="1">Tabela_Movimentacao_Geral[[#This Row],[Quantidade]] * Tabela_Movimentacao_Geral[[#This Row],[Valor Unitário]]</f>
        <v>1282.5</v>
      </c>
      <c r="K305" t="str">
        <f ca="1">IF(
   $O$7="Desbloqueado",
   CHOOSE(RANDBETWEEN(1,3),"Pago","Pendente","Atrasado"),
   Tabela_Movimentacao_Geral[[#This Row],[Status Financeiro]]
)</f>
        <v>Pago</v>
      </c>
      <c r="L305" t="str">
        <f ca="1">IF(
   $O$7="Desbloqueado",
   CHOOSE(RANDBETWEEN(1,3),"Entregue","Em Rota","Aguardando"),
   Tabela_Movimentacao_Geral[[#This Row],[Status Logistico]]
)</f>
        <v>Entregue</v>
      </c>
      <c r="M30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45810</v>
      </c>
    </row>
    <row r="306" spans="1:13" x14ac:dyDescent="0.3">
      <c r="A306" t="str">
        <f t="shared" si="4"/>
        <v>T0305</v>
      </c>
      <c r="B306" s="1">
        <v>45806</v>
      </c>
      <c r="C306" t="str" cm="1">
        <f t="array" aca="1" ref="C306" ca="1">IF($O$7="Desbloqueado",
  _xlfn.LET(
    _xlpm.saldo_atual, SUM(($C$2:$C305="Entrada")*($F$2:$F305=Tabela_Movimentacao_Geral[[#This Row],[ID Produto]])*($H$2:$H305) - ($C$2:$C305="Saida")*($F$2:$F305=Tabela_Movimentacao_Geral[[#This Row],[ID Produto]])*($H$2:$H305)),
    IF(_xlpm.saldo_atual &gt; 0, IF(RANDBETWEEN(0,10)&gt;3,"Saida","Entrada"), "Entrada")
  ),
  Tabela_Movimentacao_Geral[[#This Row],[Tipo Fluxo]]
)</f>
        <v>Entrada</v>
      </c>
      <c r="D3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06" t="str">
        <f ca="1">IF(
  $O$7="Desbloqueado",
  "PROD"&amp;TEXT(RANDBETWEEN(1,200),"000"),
  Tabela_Movimentacao_Geral[[#This Row],[ID Produto]]
)</f>
        <v>PROD137</v>
      </c>
      <c r="G306" t="str">
        <f ca="1">_xlfn.XLOOKUP(Tabela_Movimentacao_Geral[[#This Row],[ID Produto]], Tabela_Produtos[ID_Produto],Tabela_Produtos[Descricao_Produto],"Produto não encontrado")</f>
        <v>Fonte ATX 600W 80 Plus</v>
      </c>
      <c r="H306" cm="1">
        <f t="array" aca="1" ref="H306" ca="1">IF(
   $O$7="Desbloqueado",
   _xlfn.LET(
     _xlpm.saldo_atual, SUM(($C$2:$C305="Entrada")*($F$2:$F305=Tabela_Movimentacao_Geral[[#This Row],[ID Produto]])*($H$2:$H305) - ($C$2:$C305="Saida")*($F$2:$F305=Tabela_Movimentacao_Geral[[#This Row],[ID Produto]])*($H$2:$H305)),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91</v>
      </c>
      <c r="I306" s="5">
        <f ca="1">_xlfn.XLOOKUP(Tabela_Movimentacao_Geral[[#This Row],[ID Produto]], Tabela_Produtos[ID_Produto],Tabela_Produtos[Preco_Unitario_Venda])</f>
        <v>450</v>
      </c>
      <c r="J306" s="6">
        <f ca="1">Tabela_Movimentacao_Geral[[#This Row],[Quantidade]] * Tabela_Movimentacao_Geral[[#This Row],[Valor Unitário]]</f>
        <v>40950</v>
      </c>
      <c r="K306" t="str">
        <f ca="1">IF(
   $O$7="Desbloqueado",
   CHOOSE(RANDBETWEEN(1,3),"Pago","Pendente","Atrasado"),
   Tabela_Movimentacao_Geral[[#This Row],[Status Financeiro]]
)</f>
        <v>Atrasado</v>
      </c>
      <c r="L306" t="str">
        <f ca="1">IF(
   $O$7="Desbloqueado",
   CHOOSE(RANDBETWEEN(1,3),"Entregue","Em Rota","Aguardando"),
   Tabela_Movimentacao_Geral[[#This Row],[Status Logistico]]
)</f>
        <v>Entregue</v>
      </c>
      <c r="M30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45809</v>
      </c>
    </row>
    <row r="307" spans="1:13" x14ac:dyDescent="0.3">
      <c r="A307" t="str">
        <f t="shared" si="4"/>
        <v>T0306</v>
      </c>
      <c r="B307" s="1">
        <v>45807</v>
      </c>
      <c r="C307" t="str" cm="1">
        <f t="array" aca="1" ref="C307" ca="1">IF($O$7="Desbloqueado",
  _xlfn.LET(
    _xlpm.saldo_atual, SUM(($C$2:$C306="Entrada")*($F$2:$F306=Tabela_Movimentacao_Geral[[#This Row],[ID Produto]])*($H$2:$H306) - ($C$2:$C306="Saida")*($F$2:$F306=Tabela_Movimentacao_Geral[[#This Row],[ID Produto]])*($H$2:$H306)),
    IF(_xlpm.saldo_atual &gt; 0, IF(RANDBETWEEN(0,10)&gt;3,"Saida","Entrada"), "Entrada")
  ),
  Tabela_Movimentacao_Geral[[#This Row],[Tipo Fluxo]]
)</f>
        <v>Entrada</v>
      </c>
      <c r="D3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3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307" t="str">
        <f ca="1">IF(
  $O$7="Desbloqueado",
  "PROD"&amp;TEXT(RANDBETWEEN(1,200),"000"),
  Tabela_Movimentacao_Geral[[#This Row],[ID Produto]]
)</f>
        <v>PROD126</v>
      </c>
      <c r="G307" t="str">
        <f ca="1">_xlfn.XLOOKUP(Tabela_Movimentacao_Geral[[#This Row],[ID Produto]], Tabela_Produtos[ID_Produto],Tabela_Produtos[Descricao_Produto],"Produto não encontrado")</f>
        <v>Mouse Ergonomico Vertical</v>
      </c>
      <c r="H307" cm="1">
        <f t="array" aca="1" ref="H307" ca="1">IF(
   $O$7="Desbloqueado",
   _xlfn.LET(
     _xlpm.saldo_atual, SUM(($C$2:$C306="Entrada")*($F$2:$F306=Tabela_Movimentacao_Geral[[#This Row],[ID Produto]])*($H$2:$H306) - ($C$2:$C306="Saida")*($F$2:$F306=Tabela_Movimentacao_Geral[[#This Row],[ID Produto]])*($H$2:$H306)),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307" s="5">
        <f ca="1">_xlfn.XLOOKUP(Tabela_Movimentacao_Geral[[#This Row],[ID Produto]], Tabela_Produtos[ID_Produto],Tabela_Produtos[Preco_Unitario_Venda])</f>
        <v>280</v>
      </c>
      <c r="J307" s="6">
        <f ca="1">Tabela_Movimentacao_Geral[[#This Row],[Quantidade]] * Tabela_Movimentacao_Geral[[#This Row],[Valor Unitário]]</f>
        <v>6160</v>
      </c>
      <c r="K307" t="str">
        <f ca="1">IF(
   $O$7="Desbloqueado",
   CHOOSE(RANDBETWEEN(1,3),"Pago","Pendente","Atrasado"),
   Tabela_Movimentacao_Geral[[#This Row],[Status Financeiro]]
)</f>
        <v>Pago</v>
      </c>
      <c r="L307" t="str">
        <f ca="1">IF(
   $O$7="Desbloqueado",
   CHOOSE(RANDBETWEEN(1,3),"Entregue","Em Rota","Aguardando"),
   Tabela_Movimentacao_Geral[[#This Row],[Status Logistico]]
)</f>
        <v>Entregue</v>
      </c>
      <c r="M30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45813</v>
      </c>
    </row>
    <row r="308" spans="1:13" x14ac:dyDescent="0.3">
      <c r="A308" t="str">
        <f t="shared" si="4"/>
        <v>T0307</v>
      </c>
      <c r="B308" s="1">
        <v>45807</v>
      </c>
      <c r="C308" t="str" cm="1">
        <f t="array" aca="1" ref="C308" ca="1">IF($O$7="Desbloqueado",
  _xlfn.LET(
    _xlpm.saldo_atual, SUM(($C$2:$C307="Entrada")*($F$2:$F307=Tabela_Movimentacao_Geral[[#This Row],[ID Produto]])*($H$2:$H307) - ($C$2:$C307="Saida")*($F$2:$F307=Tabela_Movimentacao_Geral[[#This Row],[ID Produto]])*($H$2:$H307)),
    IF(_xlpm.saldo_atual &gt; 0, IF(RANDBETWEEN(0,10)&gt;3,"Saida","Entrada"), "Entrada")
  ),
  Tabela_Movimentacao_Geral[[#This Row],[Tipo Fluxo]]
)</f>
        <v>Entrada</v>
      </c>
      <c r="D3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3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308" t="str">
        <f ca="1">IF(
  $O$7="Desbloqueado",
  "PROD"&amp;TEXT(RANDBETWEEN(1,200),"000"),
  Tabela_Movimentacao_Geral[[#This Row],[ID Produto]]
)</f>
        <v>PROD077</v>
      </c>
      <c r="G308" t="str">
        <f ca="1">_xlfn.XLOOKUP(Tabela_Movimentacao_Geral[[#This Row],[ID Produto]], Tabela_Produtos[ID_Produto],Tabela_Produtos[Descricao_Produto],"Produto não encontrado")</f>
        <v>Lixeira de Escritorio 10L</v>
      </c>
      <c r="H308" cm="1">
        <f t="array" aca="1" ref="H308" ca="1">IF(
   $O$7="Desbloqueado",
   _xlfn.LET(
     _xlpm.saldo_atual, SUM(($C$2:$C307="Entrada")*($F$2:$F307=Tabela_Movimentacao_Geral[[#This Row],[ID Produto]])*($H$2:$H307) - ($C$2:$C307="Saida")*($F$2:$F307=Tabela_Movimentacao_Geral[[#This Row],[ID Produto]])*($H$2:$H307)),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308" s="5">
        <f ca="1">_xlfn.XLOOKUP(Tabela_Movimentacao_Geral[[#This Row],[ID Produto]], Tabela_Produtos[ID_Produto],Tabela_Produtos[Preco_Unitario_Venda])</f>
        <v>28</v>
      </c>
      <c r="J308" s="6">
        <f ca="1">Tabela_Movimentacao_Geral[[#This Row],[Quantidade]] * Tabela_Movimentacao_Geral[[#This Row],[Valor Unitário]]</f>
        <v>616</v>
      </c>
      <c r="K308" t="str">
        <f ca="1">IF(
   $O$7="Desbloqueado",
   CHOOSE(RANDBETWEEN(1,3),"Pago","Pendente","Atrasado"),
   Tabela_Movimentacao_Geral[[#This Row],[Status Financeiro]]
)</f>
        <v>Pendente</v>
      </c>
      <c r="L308" t="str">
        <f ca="1">IF(
   $O$7="Desbloqueado",
   CHOOSE(RANDBETWEEN(1,3),"Entregue","Em Rota","Aguardando"),
   Tabela_Movimentacao_Geral[[#This Row],[Status Logistico]]
)</f>
        <v>Entregue</v>
      </c>
      <c r="M30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45809</v>
      </c>
    </row>
    <row r="309" spans="1:13" x14ac:dyDescent="0.3">
      <c r="A309" t="str">
        <f t="shared" si="4"/>
        <v>T0308</v>
      </c>
      <c r="B309" s="1">
        <v>45807</v>
      </c>
      <c r="C309" t="str" cm="1">
        <f t="array" aca="1" ref="C309" ca="1">IF($O$7="Desbloqueado",
  _xlfn.LET(
    _xlpm.saldo_atual, SUM(($C$2:$C308="Entrada")*($F$2:$F308=Tabela_Movimentacao_Geral[[#This Row],[ID Produto]])*($H$2:$H308) - ($C$2:$C308="Saida")*($F$2:$F308=Tabela_Movimentacao_Geral[[#This Row],[ID Produto]])*($H$2:$H308)),
    IF(_xlpm.saldo_atual &gt; 0, IF(RANDBETWEEN(0,10)&gt;3,"Saida","Entrada"), "Entrada")
  ),
  Tabela_Movimentacao_Geral[[#This Row],[Tipo Fluxo]]
)</f>
        <v>Entrada</v>
      </c>
      <c r="D3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09" t="str">
        <f ca="1">IF(
  $O$7="Desbloqueado",
  "PROD"&amp;TEXT(RANDBETWEEN(1,200),"000"),
  Tabela_Movimentacao_Geral[[#This Row],[ID Produto]]
)</f>
        <v>PROD029</v>
      </c>
      <c r="G309" t="str">
        <f ca="1">_xlfn.XLOOKUP(Tabela_Movimentacao_Geral[[#This Row],[ID Produto]], Tabela_Produtos[ID_Produto],Tabela_Produtos[Descricao_Produto],"Produto não encontrado")</f>
        <v>Caneta Digital para Tablet</v>
      </c>
      <c r="H309" cm="1">
        <f t="array" aca="1" ref="H309" ca="1">IF(
   $O$7="Desbloqueado",
   _xlfn.LET(
     _xlpm.saldo_atual, SUM(($C$2:$C308="Entrada")*($F$2:$F308=Tabela_Movimentacao_Geral[[#This Row],[ID Produto]])*($H$2:$H308) - ($C$2:$C308="Saida")*($F$2:$F308=Tabela_Movimentacao_Geral[[#This Row],[ID Produto]])*($H$2:$H308)),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65</v>
      </c>
      <c r="I309" s="5">
        <f ca="1">_xlfn.XLOOKUP(Tabela_Movimentacao_Geral[[#This Row],[ID Produto]], Tabela_Produtos[ID_Produto],Tabela_Produtos[Preco_Unitario_Venda])</f>
        <v>320</v>
      </c>
      <c r="J309" s="6">
        <f ca="1">Tabela_Movimentacao_Geral[[#This Row],[Quantidade]] * Tabela_Movimentacao_Geral[[#This Row],[Valor Unitário]]</f>
        <v>20800</v>
      </c>
      <c r="K309" t="str">
        <f ca="1">IF(
   $O$7="Desbloqueado",
   CHOOSE(RANDBETWEEN(1,3),"Pago","Pendente","Atrasado"),
   Tabela_Movimentacao_Geral[[#This Row],[Status Financeiro]]
)</f>
        <v>Pendente</v>
      </c>
      <c r="L309" t="str">
        <f ca="1">IF(
   $O$7="Desbloqueado",
   CHOOSE(RANDBETWEEN(1,3),"Entregue","Em Rota","Aguardando"),
   Tabela_Movimentacao_Geral[[#This Row],[Status Logistico]]
)</f>
        <v>Aguardando</v>
      </c>
      <c r="M30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45810</v>
      </c>
    </row>
    <row r="310" spans="1:13" x14ac:dyDescent="0.3">
      <c r="A310" t="str">
        <f t="shared" si="4"/>
        <v>T0309</v>
      </c>
      <c r="B310" s="1">
        <v>45807</v>
      </c>
      <c r="C310" t="str" cm="1">
        <f t="array" aca="1" ref="C310" ca="1">IF($O$7="Desbloqueado",
  _xlfn.LET(
    _xlpm.saldo_atual, SUM(($C$2:$C309="Entrada")*($F$2:$F309=Tabela_Movimentacao_Geral[[#This Row],[ID Produto]])*($H$2:$H309) - ($C$2:$C309="Saida")*($F$2:$F309=Tabela_Movimentacao_Geral[[#This Row],[ID Produto]])*($H$2:$H309)),
    IF(_xlpm.saldo_atual &gt; 0, IF(RANDBETWEEN(0,10)&gt;3,"Saida","Entrada"), "Entrada")
  ),
  Tabela_Movimentacao_Geral[[#This Row],[Tipo Fluxo]]
)</f>
        <v>Entrada</v>
      </c>
      <c r="D3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3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310" t="str">
        <f ca="1">IF(
  $O$7="Desbloqueado",
  "PROD"&amp;TEXT(RANDBETWEEN(1,200),"000"),
  Tabela_Movimentacao_Geral[[#This Row],[ID Produto]]
)</f>
        <v>PROD123</v>
      </c>
      <c r="G310" t="str">
        <f ca="1">_xlfn.XLOOKUP(Tabela_Movimentacao_Geral[[#This Row],[ID Produto]], Tabela_Produtos[ID_Produto],Tabela_Produtos[Descricao_Produto],"Produto não encontrado")</f>
        <v>Assinatura Zoom Business</v>
      </c>
      <c r="H310" cm="1">
        <f t="array" aca="1" ref="H310" ca="1">IF(
   $O$7="Desbloqueado",
   _xlfn.LET(
     _xlpm.saldo_atual, SUM(($C$2:$C309="Entrada")*($F$2:$F309=Tabela_Movimentacao_Geral[[#This Row],[ID Produto]])*($H$2:$H309) - ($C$2:$C309="Saida")*($F$2:$F309=Tabela_Movimentacao_Geral[[#This Row],[ID Produto]])*($H$2:$H309)),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93</v>
      </c>
      <c r="I310" s="5">
        <f ca="1">_xlfn.XLOOKUP(Tabela_Movimentacao_Geral[[#This Row],[ID Produto]], Tabela_Produtos[ID_Produto],Tabela_Produtos[Preco_Unitario_Venda])</f>
        <v>950</v>
      </c>
      <c r="J310" s="6">
        <f ca="1">Tabela_Movimentacao_Geral[[#This Row],[Quantidade]] * Tabela_Movimentacao_Geral[[#This Row],[Valor Unitário]]</f>
        <v>88350</v>
      </c>
      <c r="K310" t="str">
        <f ca="1">IF(
   $O$7="Desbloqueado",
   CHOOSE(RANDBETWEEN(1,3),"Pago","Pendente","Atrasado"),
   Tabela_Movimentacao_Geral[[#This Row],[Status Financeiro]]
)</f>
        <v>Pendente</v>
      </c>
      <c r="L310" t="str">
        <f ca="1">IF(
   $O$7="Desbloqueado",
   CHOOSE(RANDBETWEEN(1,3),"Entregue","Em Rota","Aguardando"),
   Tabela_Movimentacao_Geral[[#This Row],[Status Logistico]]
)</f>
        <v>Em Rota</v>
      </c>
      <c r="M31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45809</v>
      </c>
    </row>
    <row r="311" spans="1:13" x14ac:dyDescent="0.3">
      <c r="A311" t="str">
        <f t="shared" si="4"/>
        <v>T0310</v>
      </c>
      <c r="B311" s="1">
        <v>45808</v>
      </c>
      <c r="C311" t="str" cm="1">
        <f t="array" aca="1" ref="C311" ca="1">IF($O$7="Desbloqueado",
  _xlfn.LET(
    _xlpm.saldo_atual, SUM(($C$2:$C310="Entrada")*($F$2:$F310=Tabela_Movimentacao_Geral[[#This Row],[ID Produto]])*($H$2:$H310) - ($C$2:$C310="Saida")*($F$2:$F310=Tabela_Movimentacao_Geral[[#This Row],[ID Produto]])*($H$2:$H310)),
    IF(_xlpm.saldo_atual &gt; 0, IF(RANDBETWEEN(0,10)&gt;3,"Saida","Entrada"), "Entrada")
  ),
  Tabela_Movimentacao_Geral[[#This Row],[Tipo Fluxo]]
)</f>
        <v>Saida</v>
      </c>
      <c r="D3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3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311" t="str">
        <f ca="1">IF(
  $O$7="Desbloqueado",
  "PROD"&amp;TEXT(RANDBETWEEN(1,200),"000"),
  Tabela_Movimentacao_Geral[[#This Row],[ID Produto]]
)</f>
        <v>PROD186</v>
      </c>
      <c r="G311" t="str">
        <f ca="1">_xlfn.XLOOKUP(Tabela_Movimentacao_Geral[[#This Row],[ID Produto]], Tabela_Produtos[ID_Produto],Tabela_Produtos[Descricao_Produto],"Produto não encontrado")</f>
        <v>KVM Console Gaveta 17</v>
      </c>
      <c r="H311" cm="1">
        <f t="array" aca="1" ref="H311" ca="1">IF(
   $O$7="Desbloqueado",
   _xlfn.LET(
     _xlpm.saldo_atual, SUM(($C$2:$C310="Entrada")*($F$2:$F310=Tabela_Movimentacao_Geral[[#This Row],[ID Produto]])*($H$2:$H310) - ($C$2:$C310="Saida")*($F$2:$F310=Tabela_Movimentacao_Geral[[#This Row],[ID Produto]])*($H$2:$H310)),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311" s="5">
        <f ca="1">_xlfn.XLOOKUP(Tabela_Movimentacao_Geral[[#This Row],[ID Produto]], Tabela_Produtos[ID_Produto],Tabela_Produtos[Preco_Unitario_Venda])</f>
        <v>6800</v>
      </c>
      <c r="J311" s="6">
        <f ca="1">Tabela_Movimentacao_Geral[[#This Row],[Quantidade]] * Tabela_Movimentacao_Geral[[#This Row],[Valor Unitário]]</f>
        <v>319600</v>
      </c>
      <c r="K311" t="str">
        <f ca="1">IF(
   $O$7="Desbloqueado",
   CHOOSE(RANDBETWEEN(1,3),"Pago","Pendente","Atrasado"),
   Tabela_Movimentacao_Geral[[#This Row],[Status Financeiro]]
)</f>
        <v>Pago</v>
      </c>
      <c r="L311" t="str">
        <f ca="1">IF(
   $O$7="Desbloqueado",
   CHOOSE(RANDBETWEEN(1,3),"Entregue","Em Rota","Aguardando"),
   Tabela_Movimentacao_Geral[[#This Row],[Status Logistico]]
)</f>
        <v>Em Rota</v>
      </c>
      <c r="M31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12" spans="1:13" x14ac:dyDescent="0.3">
      <c r="A312" t="str">
        <f t="shared" si="4"/>
        <v>T0311</v>
      </c>
      <c r="B312" s="1">
        <v>45808</v>
      </c>
      <c r="C312" t="str" cm="1">
        <f t="array" aca="1" ref="C312" ca="1">IF($O$7="Desbloqueado",
  _xlfn.LET(
    _xlpm.saldo_atual, SUM(($C$2:$C311="Entrada")*($F$2:$F311=Tabela_Movimentacao_Geral[[#This Row],[ID Produto]])*($H$2:$H311) - ($C$2:$C311="Saida")*($F$2:$F311=Tabela_Movimentacao_Geral[[#This Row],[ID Produto]])*($H$2:$H311)),
    IF(_xlpm.saldo_atual &gt; 0, IF(RANDBETWEEN(0,10)&gt;3,"Saida","Entrada"), "Entrada")
  ),
  Tabela_Movimentacao_Geral[[#This Row],[Tipo Fluxo]]
)</f>
        <v>Saida</v>
      </c>
      <c r="D3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3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312" t="str">
        <f ca="1">IF(
  $O$7="Desbloqueado",
  "PROD"&amp;TEXT(RANDBETWEEN(1,200),"000"),
  Tabela_Movimentacao_Geral[[#This Row],[ID Produto]]
)</f>
        <v>PROD130</v>
      </c>
      <c r="G312" t="str">
        <f ca="1">_xlfn.XLOOKUP(Tabela_Movimentacao_Geral[[#This Row],[ID Produto]], Tabela_Produtos[ID_Produto],Tabela_Produtos[Descricao_Produto],"Produto não encontrado")</f>
        <v>Maleta Rigida Notebook</v>
      </c>
      <c r="H312" cm="1">
        <f t="array" aca="1" ref="H312" ca="1">IF(
   $O$7="Desbloqueado",
   _xlfn.LET(
     _xlpm.saldo_atual, SUM(($C$2:$C311="Entrada")*($F$2:$F311=Tabela_Movimentacao_Geral[[#This Row],[ID Produto]])*($H$2:$H311) - ($C$2:$C311="Saida")*($F$2:$F311=Tabela_Movimentacao_Geral[[#This Row],[ID Produto]])*($H$2:$H311)),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312" s="5">
        <f ca="1">_xlfn.XLOOKUP(Tabela_Movimentacao_Geral[[#This Row],[ID Produto]], Tabela_Produtos[ID_Produto],Tabela_Produtos[Preco_Unitario_Venda])</f>
        <v>380</v>
      </c>
      <c r="J312" s="6">
        <f ca="1">Tabela_Movimentacao_Geral[[#This Row],[Quantidade]] * Tabela_Movimentacao_Geral[[#This Row],[Valor Unitário]]</f>
        <v>7980</v>
      </c>
      <c r="K312" t="str">
        <f ca="1">IF(
   $O$7="Desbloqueado",
   CHOOSE(RANDBETWEEN(1,3),"Pago","Pendente","Atrasado"),
   Tabela_Movimentacao_Geral[[#This Row],[Status Financeiro]]
)</f>
        <v>Atrasado</v>
      </c>
      <c r="L312" t="str">
        <f ca="1">IF(
   $O$7="Desbloqueado",
   CHOOSE(RANDBETWEEN(1,3),"Entregue","Em Rota","Aguardando"),
   Tabela_Movimentacao_Geral[[#This Row],[Status Logistico]]
)</f>
        <v>Aguardando</v>
      </c>
      <c r="M31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13" spans="1:13" x14ac:dyDescent="0.3">
      <c r="A313" t="str">
        <f t="shared" si="4"/>
        <v>T0312</v>
      </c>
      <c r="B313" s="1">
        <v>45809</v>
      </c>
      <c r="C313" t="str" cm="1">
        <f t="array" aca="1" ref="C313" ca="1">IF($O$7="Desbloqueado",
  _xlfn.LET(
    _xlpm.saldo_atual, SUM(($C$2:$C312="Entrada")*($F$2:$F312=Tabela_Movimentacao_Geral[[#This Row],[ID Produto]])*($H$2:$H312) - ($C$2:$C312="Saida")*($F$2:$F312=Tabela_Movimentacao_Geral[[#This Row],[ID Produto]])*($H$2:$H312)),
    IF(_xlpm.saldo_atual &gt; 0, IF(RANDBETWEEN(0,10)&gt;3,"Saida","Entrada"), "Entrada")
  ),
  Tabela_Movimentacao_Geral[[#This Row],[Tipo Fluxo]]
)</f>
        <v>Saida</v>
      </c>
      <c r="D3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3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313" t="str">
        <f ca="1">IF(
  $O$7="Desbloqueado",
  "PROD"&amp;TEXT(RANDBETWEEN(1,200),"000"),
  Tabela_Movimentacao_Geral[[#This Row],[ID Produto]]
)</f>
        <v>PROD045</v>
      </c>
      <c r="G313" t="str">
        <f ca="1">_xlfn.XLOOKUP(Tabela_Movimentacao_Geral[[#This Row],[ID Produto]], Tabela_Produtos[ID_Produto],Tabela_Produtos[Descricao_Produto],"Produto não encontrado")</f>
        <v>Microfone de Mesa USB</v>
      </c>
      <c r="H313" cm="1">
        <f t="array" aca="1" ref="H313" ca="1">IF(
   $O$7="Desbloqueado",
   _xlfn.LET(
     _xlpm.saldo_atual, SUM(($C$2:$C312="Entrada")*($F$2:$F312=Tabela_Movimentacao_Geral[[#This Row],[ID Produto]])*($H$2:$H312) - ($C$2:$C312="Saida")*($F$2:$F312=Tabela_Movimentacao_Geral[[#This Row],[ID Produto]])*($H$2:$H312)),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313" s="5">
        <f ca="1">_xlfn.XLOOKUP(Tabela_Movimentacao_Geral[[#This Row],[ID Produto]], Tabela_Produtos[ID_Produto],Tabela_Produtos[Preco_Unitario_Venda])</f>
        <v>280</v>
      </c>
      <c r="J313" s="6">
        <f ca="1">Tabela_Movimentacao_Geral[[#This Row],[Quantidade]] * Tabela_Movimentacao_Geral[[#This Row],[Valor Unitário]]</f>
        <v>7000</v>
      </c>
      <c r="K313" t="str">
        <f ca="1">IF(
   $O$7="Desbloqueado",
   CHOOSE(RANDBETWEEN(1,3),"Pago","Pendente","Atrasado"),
   Tabela_Movimentacao_Geral[[#This Row],[Status Financeiro]]
)</f>
        <v>Atrasado</v>
      </c>
      <c r="L313" t="str">
        <f ca="1">IF(
   $O$7="Desbloqueado",
   CHOOSE(RANDBETWEEN(1,3),"Entregue","Em Rota","Aguardando"),
   Tabela_Movimentacao_Geral[[#This Row],[Status Logistico]]
)</f>
        <v>Entregue</v>
      </c>
      <c r="M31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14" spans="1:13" x14ac:dyDescent="0.3">
      <c r="A314" t="str">
        <f t="shared" si="4"/>
        <v>T0313</v>
      </c>
      <c r="B314" s="1">
        <v>45809</v>
      </c>
      <c r="C314" t="str" cm="1">
        <f t="array" aca="1" ref="C314" ca="1">IF($O$7="Desbloqueado",
  _xlfn.LET(
    _xlpm.saldo_atual, SUM(($C$2:$C313="Entrada")*($F$2:$F313=Tabela_Movimentacao_Geral[[#This Row],[ID Produto]])*($H$2:$H313) - ($C$2:$C313="Saida")*($F$2:$F313=Tabela_Movimentacao_Geral[[#This Row],[ID Produto]])*($H$2:$H313)),
    IF(_xlpm.saldo_atual &gt; 0, IF(RANDBETWEEN(0,10)&gt;3,"Saida","Entrada"), "Entrada")
  ),
  Tabela_Movimentacao_Geral[[#This Row],[Tipo Fluxo]]
)</f>
        <v>Saida</v>
      </c>
      <c r="D3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3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314" t="str">
        <f ca="1">IF(
  $O$7="Desbloqueado",
  "PROD"&amp;TEXT(RANDBETWEEN(1,200),"000"),
  Tabela_Movimentacao_Geral[[#This Row],[ID Produto]]
)</f>
        <v>PROD045</v>
      </c>
      <c r="G314" t="str">
        <f ca="1">_xlfn.XLOOKUP(Tabela_Movimentacao_Geral[[#This Row],[ID Produto]], Tabela_Produtos[ID_Produto],Tabela_Produtos[Descricao_Produto],"Produto não encontrado")</f>
        <v>Microfone de Mesa USB</v>
      </c>
      <c r="H314" cm="1">
        <f t="array" aca="1" ref="H314" ca="1">IF(
   $O$7="Desbloqueado",
   _xlfn.LET(
     _xlpm.saldo_atual, SUM(($C$2:$C313="Entrada")*($F$2:$F313=Tabela_Movimentacao_Geral[[#This Row],[ID Produto]])*($H$2:$H313) - ($C$2:$C313="Saida")*($F$2:$F313=Tabela_Movimentacao_Geral[[#This Row],[ID Produto]])*($H$2:$H313)),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314" s="5">
        <f ca="1">_xlfn.XLOOKUP(Tabela_Movimentacao_Geral[[#This Row],[ID Produto]], Tabela_Produtos[ID_Produto],Tabela_Produtos[Preco_Unitario_Venda])</f>
        <v>280</v>
      </c>
      <c r="J314" s="6">
        <f ca="1">Tabela_Movimentacao_Geral[[#This Row],[Quantidade]] * Tabela_Movimentacao_Geral[[#This Row],[Valor Unitário]]</f>
        <v>3920</v>
      </c>
      <c r="K314" t="str">
        <f ca="1">IF(
   $O$7="Desbloqueado",
   CHOOSE(RANDBETWEEN(1,3),"Pago","Pendente","Atrasado"),
   Tabela_Movimentacao_Geral[[#This Row],[Status Financeiro]]
)</f>
        <v>Pendente</v>
      </c>
      <c r="L314" t="str">
        <f ca="1">IF(
   $O$7="Desbloqueado",
   CHOOSE(RANDBETWEEN(1,3),"Entregue","Em Rota","Aguardando"),
   Tabela_Movimentacao_Geral[[#This Row],[Status Logistico]]
)</f>
        <v>Em Rota</v>
      </c>
      <c r="M31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15" spans="1:13" x14ac:dyDescent="0.3">
      <c r="A315" t="str">
        <f t="shared" si="4"/>
        <v>T0314</v>
      </c>
      <c r="B315" s="1">
        <v>45809</v>
      </c>
      <c r="C315" t="str" cm="1">
        <f t="array" aca="1" ref="C315" ca="1">IF($O$7="Desbloqueado",
  _xlfn.LET(
    _xlpm.saldo_atual, SUM(($C$2:$C314="Entrada")*($F$2:$F314=Tabela_Movimentacao_Geral[[#This Row],[ID Produto]])*($H$2:$H314) - ($C$2:$C314="Saida")*($F$2:$F314=Tabela_Movimentacao_Geral[[#This Row],[ID Produto]])*($H$2:$H314)),
    IF(_xlpm.saldo_atual &gt; 0, IF(RANDBETWEEN(0,10)&gt;3,"Saida","Entrada"), "Entrada")
  ),
  Tabela_Movimentacao_Geral[[#This Row],[Tipo Fluxo]]
)</f>
        <v>Entrada</v>
      </c>
      <c r="D3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3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315" t="str">
        <f ca="1">IF(
  $O$7="Desbloqueado",
  "PROD"&amp;TEXT(RANDBETWEEN(1,200),"000"),
  Tabela_Movimentacao_Geral[[#This Row],[ID Produto]]
)</f>
        <v>PROD182</v>
      </c>
      <c r="G315" t="str">
        <f ca="1">_xlfn.XLOOKUP(Tabela_Movimentacao_Geral[[#This Row],[ID Produto]], Tabela_Produtos[ID_Produto],Tabela_Produtos[Descricao_Produto],"Produto não encontrado")</f>
        <v>Fonte Redundante 750W</v>
      </c>
      <c r="H315" cm="1">
        <f t="array" aca="1" ref="H315" ca="1">IF(
   $O$7="Desbloqueado",
   _xlfn.LET(
     _xlpm.saldo_atual, SUM(($C$2:$C314="Entrada")*($F$2:$F314=Tabela_Movimentacao_Geral[[#This Row],[ID Produto]])*($H$2:$H314) - ($C$2:$C314="Saida")*($F$2:$F314=Tabela_Movimentacao_Geral[[#This Row],[ID Produto]])*($H$2:$H314)),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</v>
      </c>
      <c r="I315" s="5">
        <f ca="1">_xlfn.XLOOKUP(Tabela_Movimentacao_Geral[[#This Row],[ID Produto]], Tabela_Produtos[ID_Produto],Tabela_Produtos[Preco_Unitario_Venda])</f>
        <v>1850</v>
      </c>
      <c r="J315" s="6">
        <f ca="1">Tabela_Movimentacao_Geral[[#This Row],[Quantidade]] * Tabela_Movimentacao_Geral[[#This Row],[Valor Unitário]]</f>
        <v>62900</v>
      </c>
      <c r="K315" t="str">
        <f ca="1">IF(
   $O$7="Desbloqueado",
   CHOOSE(RANDBETWEEN(1,3),"Pago","Pendente","Atrasado"),
   Tabela_Movimentacao_Geral[[#This Row],[Status Financeiro]]
)</f>
        <v>Atrasado</v>
      </c>
      <c r="L315" t="str">
        <f ca="1">IF(
   $O$7="Desbloqueado",
   CHOOSE(RANDBETWEEN(1,3),"Entregue","Em Rota","Aguardando"),
   Tabela_Movimentacao_Geral[[#This Row],[Status Logistico]]
)</f>
        <v>Em Rota</v>
      </c>
      <c r="M31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45824</v>
      </c>
    </row>
    <row r="316" spans="1:13" x14ac:dyDescent="0.3">
      <c r="A316" t="str">
        <f t="shared" si="4"/>
        <v>T0315</v>
      </c>
      <c r="B316" s="1">
        <v>45809</v>
      </c>
      <c r="C316" t="str" cm="1">
        <f t="array" aca="1" ref="C316" ca="1">IF($O$7="Desbloqueado",
  _xlfn.LET(
    _xlpm.saldo_atual, SUM(($C$2:$C315="Entrada")*($F$2:$F315=Tabela_Movimentacao_Geral[[#This Row],[ID Produto]])*($H$2:$H315) - ($C$2:$C315="Saida")*($F$2:$F315=Tabela_Movimentacao_Geral[[#This Row],[ID Produto]])*($H$2:$H315)),
    IF(_xlpm.saldo_atual &gt; 0, IF(RANDBETWEEN(0,10)&gt;3,"Saida","Entrada"), "Entrada")
  ),
  Tabela_Movimentacao_Geral[[#This Row],[Tipo Fluxo]]
)</f>
        <v>Saida</v>
      </c>
      <c r="D3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3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316" t="str">
        <f ca="1">IF(
  $O$7="Desbloqueado",
  "PROD"&amp;TEXT(RANDBETWEEN(1,200),"000"),
  Tabela_Movimentacao_Geral[[#This Row],[ID Produto]]
)</f>
        <v>PROD035</v>
      </c>
      <c r="G316" t="str">
        <f ca="1">_xlfn.XLOOKUP(Tabela_Movimentacao_Geral[[#This Row],[ID Produto]], Tabela_Produtos[ID_Produto],Tabela_Produtos[Descricao_Produto],"Produto não encontrado")</f>
        <v>Tela de Projecao 100 pol</v>
      </c>
      <c r="H316" cm="1">
        <f t="array" aca="1" ref="H316" ca="1">IF(
   $O$7="Desbloqueado",
   _xlfn.LET(
     _xlpm.saldo_atual, SUM(($C$2:$C315="Entrada")*($F$2:$F315=Tabela_Movimentacao_Geral[[#This Row],[ID Produto]])*($H$2:$H315) - ($C$2:$C315="Saida")*($F$2:$F315=Tabela_Movimentacao_Geral[[#This Row],[ID Produto]])*($H$2:$H315)),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316" s="5">
        <f ca="1">_xlfn.XLOOKUP(Tabela_Movimentacao_Geral[[#This Row],[ID Produto]], Tabela_Produtos[ID_Produto],Tabela_Produtos[Preco_Unitario_Venda])</f>
        <v>600</v>
      </c>
      <c r="J316" s="6">
        <f ca="1">Tabela_Movimentacao_Geral[[#This Row],[Quantidade]] * Tabela_Movimentacao_Geral[[#This Row],[Valor Unitário]]</f>
        <v>6600</v>
      </c>
      <c r="K316" t="str">
        <f ca="1">IF(
   $O$7="Desbloqueado",
   CHOOSE(RANDBETWEEN(1,3),"Pago","Pendente","Atrasado"),
   Tabela_Movimentacao_Geral[[#This Row],[Status Financeiro]]
)</f>
        <v>Atrasado</v>
      </c>
      <c r="L316" t="str">
        <f ca="1">IF(
   $O$7="Desbloqueado",
   CHOOSE(RANDBETWEEN(1,3),"Entregue","Em Rota","Aguardando"),
   Tabela_Movimentacao_Geral[[#This Row],[Status Logistico]]
)</f>
        <v>Entregue</v>
      </c>
      <c r="M31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17" spans="1:13" x14ac:dyDescent="0.3">
      <c r="A317" t="str">
        <f t="shared" si="4"/>
        <v>T0316</v>
      </c>
      <c r="B317" s="1">
        <v>45809</v>
      </c>
      <c r="C317" t="str" cm="1">
        <f t="array" aca="1" ref="C317" ca="1">IF($O$7="Desbloqueado",
  _xlfn.LET(
    _xlpm.saldo_atual, SUM(($C$2:$C316="Entrada")*($F$2:$F316=Tabela_Movimentacao_Geral[[#This Row],[ID Produto]])*($H$2:$H316) - ($C$2:$C316="Saida")*($F$2:$F316=Tabela_Movimentacao_Geral[[#This Row],[ID Produto]])*($H$2:$H316)),
    IF(_xlpm.saldo_atual &gt; 0, IF(RANDBETWEEN(0,10)&gt;3,"Saida","Entrada"), "Entrada")
  ),
  Tabela_Movimentacao_Geral[[#This Row],[Tipo Fluxo]]
)</f>
        <v>Entrada</v>
      </c>
      <c r="D3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3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317" t="str">
        <f ca="1">IF(
  $O$7="Desbloqueado",
  "PROD"&amp;TEXT(RANDBETWEEN(1,200),"000"),
  Tabela_Movimentacao_Geral[[#This Row],[ID Produto]]
)</f>
        <v>PROD038</v>
      </c>
      <c r="G317" t="str">
        <f ca="1">_xlfn.XLOOKUP(Tabela_Movimentacao_Geral[[#This Row],[ID Produto]], Tabela_Produtos[ID_Produto],Tabela_Produtos[Descricao_Produto],"Produto não encontrado")</f>
        <v>Cooler Processador Universal</v>
      </c>
      <c r="H317" cm="1">
        <f t="array" aca="1" ref="H317" ca="1">IF(
   $O$7="Desbloqueado",
   _xlfn.LET(
     _xlpm.saldo_atual, SUM(($C$2:$C316="Entrada")*($F$2:$F316=Tabela_Movimentacao_Geral[[#This Row],[ID Produto]])*($H$2:$H316) - ($C$2:$C316="Saida")*($F$2:$F316=Tabela_Movimentacao_Geral[[#This Row],[ID Produto]])*($H$2:$H316)),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317" s="5">
        <f ca="1">_xlfn.XLOOKUP(Tabela_Movimentacao_Geral[[#This Row],[ID Produto]], Tabela_Produtos[ID_Produto],Tabela_Produtos[Preco_Unitario_Venda])</f>
        <v>145</v>
      </c>
      <c r="J317" s="6">
        <f ca="1">Tabela_Movimentacao_Geral[[#This Row],[Quantidade]] * Tabela_Movimentacao_Geral[[#This Row],[Valor Unitário]]</f>
        <v>2900</v>
      </c>
      <c r="K317" t="str">
        <f ca="1">IF(
   $O$7="Desbloqueado",
   CHOOSE(RANDBETWEEN(1,3),"Pago","Pendente","Atrasado"),
   Tabela_Movimentacao_Geral[[#This Row],[Status Financeiro]]
)</f>
        <v>Pendente</v>
      </c>
      <c r="L317" t="str">
        <f ca="1">IF(
   $O$7="Desbloqueado",
   CHOOSE(RANDBETWEEN(1,3),"Entregue","Em Rota","Aguardando"),
   Tabela_Movimentacao_Geral[[#This Row],[Status Logistico]]
)</f>
        <v>Aguardando</v>
      </c>
      <c r="M31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45812</v>
      </c>
    </row>
    <row r="318" spans="1:13" x14ac:dyDescent="0.3">
      <c r="A318" t="str">
        <f t="shared" si="4"/>
        <v>T0317</v>
      </c>
      <c r="B318" s="1">
        <v>45809</v>
      </c>
      <c r="C318" t="str" cm="1">
        <f t="array" aca="1" ref="C318" ca="1">IF($O$7="Desbloqueado",
  _xlfn.LET(
    _xlpm.saldo_atual, SUM(($C$2:$C317="Entrada")*($F$2:$F317=Tabela_Movimentacao_Geral[[#This Row],[ID Produto]])*($H$2:$H317) - ($C$2:$C317="Saida")*($F$2:$F317=Tabela_Movimentacao_Geral[[#This Row],[ID Produto]])*($H$2:$H317)),
    IF(_xlpm.saldo_atual &gt; 0, IF(RANDBETWEEN(0,10)&gt;3,"Saida","Entrada"), "Entrada")
  ),
  Tabela_Movimentacao_Geral[[#This Row],[Tipo Fluxo]]
)</f>
        <v>Saida</v>
      </c>
      <c r="D3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18" t="str">
        <f ca="1">IF(
  $O$7="Desbloqueado",
  "PROD"&amp;TEXT(RANDBETWEEN(1,200),"000"),
  Tabela_Movimentacao_Geral[[#This Row],[ID Produto]]
)</f>
        <v>PROD200</v>
      </c>
      <c r="G318" t="str">
        <f ca="1">_xlfn.XLOOKUP(Tabela_Movimentacao_Geral[[#This Row],[ID Produto]], Tabela_Produtos[ID_Produto],Tabela_Produtos[Descricao_Produto],"Produto não encontrado")</f>
        <v>Estacao de Solda Prof</v>
      </c>
      <c r="H318" cm="1">
        <f t="array" aca="1" ref="H318" ca="1">IF(
   $O$7="Desbloqueado",
   _xlfn.LET(
     _xlpm.saldo_atual, SUM(($C$2:$C317="Entrada")*($F$2:$F317=Tabela_Movimentacao_Geral[[#This Row],[ID Produto]])*($H$2:$H317) - ($C$2:$C317="Saida")*($F$2:$F317=Tabela_Movimentacao_Geral[[#This Row],[ID Produto]])*($H$2:$H317)),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318" s="5">
        <f ca="1">_xlfn.XLOOKUP(Tabela_Movimentacao_Geral[[#This Row],[ID Produto]], Tabela_Produtos[ID_Produto],Tabela_Produtos[Preco_Unitario_Venda])</f>
        <v>1200</v>
      </c>
      <c r="J318" s="6">
        <f ca="1">Tabela_Movimentacao_Geral[[#This Row],[Quantidade]] * Tabela_Movimentacao_Geral[[#This Row],[Valor Unitário]]</f>
        <v>10800</v>
      </c>
      <c r="K318" t="str">
        <f ca="1">IF(
   $O$7="Desbloqueado",
   CHOOSE(RANDBETWEEN(1,3),"Pago","Pendente","Atrasado"),
   Tabela_Movimentacao_Geral[[#This Row],[Status Financeiro]]
)</f>
        <v>Pendente</v>
      </c>
      <c r="L318" t="str">
        <f ca="1">IF(
   $O$7="Desbloqueado",
   CHOOSE(RANDBETWEEN(1,3),"Entregue","Em Rota","Aguardando"),
   Tabela_Movimentacao_Geral[[#This Row],[Status Logistico]]
)</f>
        <v>Em Rota</v>
      </c>
      <c r="M31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19" spans="1:13" x14ac:dyDescent="0.3">
      <c r="A319" t="str">
        <f t="shared" si="4"/>
        <v>T0318</v>
      </c>
      <c r="B319" s="1">
        <v>45811</v>
      </c>
      <c r="C319" t="str" cm="1">
        <f t="array" aca="1" ref="C319" ca="1">IF($O$7="Desbloqueado",
  _xlfn.LET(
    _xlpm.saldo_atual, SUM(($C$2:$C318="Entrada")*($F$2:$F318=Tabela_Movimentacao_Geral[[#This Row],[ID Produto]])*($H$2:$H318) - ($C$2:$C318="Saida")*($F$2:$F318=Tabela_Movimentacao_Geral[[#This Row],[ID Produto]])*($H$2:$H318)),
    IF(_xlpm.saldo_atual &gt; 0, IF(RANDBETWEEN(0,10)&gt;3,"Saida","Entrada"), "Entrada")
  ),
  Tabela_Movimentacao_Geral[[#This Row],[Tipo Fluxo]]
)</f>
        <v>Saida</v>
      </c>
      <c r="D3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3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319" t="str">
        <f ca="1">IF(
  $O$7="Desbloqueado",
  "PROD"&amp;TEXT(RANDBETWEEN(1,200),"000"),
  Tabela_Movimentacao_Geral[[#This Row],[ID Produto]]
)</f>
        <v>PROD110</v>
      </c>
      <c r="G319" t="str">
        <f ca="1">_xlfn.XLOOKUP(Tabela_Movimentacao_Geral[[#This Row],[ID Produto]], Tabela_Produtos[ID_Produto],Tabela_Produtos[Descricao_Produto],"Produto não encontrado")</f>
        <v>SSD M.2 NVMe 1TB</v>
      </c>
      <c r="H319" cm="1">
        <f t="array" aca="1" ref="H319" ca="1">IF(
   $O$7="Desbloqueado",
   _xlfn.LET(
     _xlpm.saldo_atual, SUM(($C$2:$C318="Entrada")*($F$2:$F318=Tabela_Movimentacao_Geral[[#This Row],[ID Produto]])*($H$2:$H318) - ($C$2:$C318="Saida")*($F$2:$F318=Tabela_Movimentacao_Geral[[#This Row],[ID Produto]])*($H$2:$H318)),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64</v>
      </c>
      <c r="I319" s="5">
        <f ca="1">_xlfn.XLOOKUP(Tabela_Movimentacao_Geral[[#This Row],[ID Produto]], Tabela_Produtos[ID_Produto],Tabela_Produtos[Preco_Unitario_Venda])</f>
        <v>580</v>
      </c>
      <c r="J319" s="6">
        <f ca="1">Tabela_Movimentacao_Geral[[#This Row],[Quantidade]] * Tabela_Movimentacao_Geral[[#This Row],[Valor Unitário]]</f>
        <v>37120</v>
      </c>
      <c r="K319" t="str">
        <f ca="1">IF(
   $O$7="Desbloqueado",
   CHOOSE(RANDBETWEEN(1,3),"Pago","Pendente","Atrasado"),
   Tabela_Movimentacao_Geral[[#This Row],[Status Financeiro]]
)</f>
        <v>Atrasado</v>
      </c>
      <c r="L319" t="str">
        <f ca="1">IF(
   $O$7="Desbloqueado",
   CHOOSE(RANDBETWEEN(1,3),"Entregue","Em Rota","Aguardando"),
   Tabela_Movimentacao_Geral[[#This Row],[Status Logistico]]
)</f>
        <v>Entregue</v>
      </c>
      <c r="M31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0" spans="1:13" x14ac:dyDescent="0.3">
      <c r="A320" t="str">
        <f t="shared" si="4"/>
        <v>T0319</v>
      </c>
      <c r="B320" s="1">
        <v>45813</v>
      </c>
      <c r="C320" t="str" cm="1">
        <f t="array" aca="1" ref="C320" ca="1">IF($O$7="Desbloqueado",
  _xlfn.LET(
    _xlpm.saldo_atual, SUM(($C$2:$C319="Entrada")*($F$2:$F319=Tabela_Movimentacao_Geral[[#This Row],[ID Produto]])*($H$2:$H319) - ($C$2:$C319="Saida")*($F$2:$F319=Tabela_Movimentacao_Geral[[#This Row],[ID Produto]])*($H$2:$H319)),
    IF(_xlpm.saldo_atual &gt; 0, IF(RANDBETWEEN(0,10)&gt;3,"Saida","Entrada"), "Entrada")
  ),
  Tabela_Movimentacao_Geral[[#This Row],[Tipo Fluxo]]
)</f>
        <v>Entrada</v>
      </c>
      <c r="D3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3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320" t="str">
        <f ca="1">IF(
  $O$7="Desbloqueado",
  "PROD"&amp;TEXT(RANDBETWEEN(1,200),"000"),
  Tabela_Movimentacao_Geral[[#This Row],[ID Produto]]
)</f>
        <v>PROD039</v>
      </c>
      <c r="G320" t="str">
        <f ca="1">_xlfn.XLOOKUP(Tabela_Movimentacao_Geral[[#This Row],[ID Produto]], Tabela_Produtos[ID_Produto],Tabela_Produtos[Descricao_Produto],"Produto não encontrado")</f>
        <v>Pasta Termica High Silver</v>
      </c>
      <c r="H320" cm="1">
        <f t="array" aca="1" ref="H320" ca="1">IF(
   $O$7="Desbloqueado",
   _xlfn.LET(
     _xlpm.saldo_atual, SUM(($C$2:$C319="Entrada")*($F$2:$F319=Tabela_Movimentacao_Geral[[#This Row],[ID Produto]])*($H$2:$H319) - ($C$2:$C319="Saida")*($F$2:$F319=Tabela_Movimentacao_Geral[[#This Row],[ID Produto]])*($H$2:$H319)),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40</v>
      </c>
      <c r="I320" s="5">
        <f ca="1">_xlfn.XLOOKUP(Tabela_Movimentacao_Geral[[#This Row],[ID Produto]], Tabela_Produtos[ID_Produto],Tabela_Produtos[Preco_Unitario_Venda])</f>
        <v>40</v>
      </c>
      <c r="J320" s="6">
        <f ca="1">Tabela_Movimentacao_Geral[[#This Row],[Quantidade]] * Tabela_Movimentacao_Geral[[#This Row],[Valor Unitário]]</f>
        <v>1600</v>
      </c>
      <c r="K320" t="str">
        <f ca="1">IF(
   $O$7="Desbloqueado",
   CHOOSE(RANDBETWEEN(1,3),"Pago","Pendente","Atrasado"),
   Tabela_Movimentacao_Geral[[#This Row],[Status Financeiro]]
)</f>
        <v>Pendente</v>
      </c>
      <c r="L320" t="str">
        <f ca="1">IF(
   $O$7="Desbloqueado",
   CHOOSE(RANDBETWEEN(1,3),"Entregue","Em Rota","Aguardando"),
   Tabela_Movimentacao_Geral[[#This Row],[Status Logistico]]
)</f>
        <v>Em Rota</v>
      </c>
      <c r="M32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45820</v>
      </c>
    </row>
    <row r="321" spans="1:13" x14ac:dyDescent="0.3">
      <c r="A321" t="str">
        <f t="shared" si="4"/>
        <v>T0320</v>
      </c>
      <c r="B321" s="1">
        <v>45814</v>
      </c>
      <c r="C321" t="str" cm="1">
        <f t="array" aca="1" ref="C321" ca="1">IF($O$7="Desbloqueado",
  _xlfn.LET(
    _xlpm.saldo_atual, SUM(($C$2:$C320="Entrada")*($F$2:$F320=Tabela_Movimentacao_Geral[[#This Row],[ID Produto]])*($H$2:$H320) - ($C$2:$C320="Saida")*($F$2:$F320=Tabela_Movimentacao_Geral[[#This Row],[ID Produto]])*($H$2:$H320)),
    IF(_xlpm.saldo_atual &gt; 0, IF(RANDBETWEEN(0,10)&gt;3,"Saida","Entrada"), "Entrada")
  ),
  Tabela_Movimentacao_Geral[[#This Row],[Tipo Fluxo]]
)</f>
        <v>Saida</v>
      </c>
      <c r="D3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3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321" t="str">
        <f ca="1">IF(
  $O$7="Desbloqueado",
  "PROD"&amp;TEXT(RANDBETWEEN(1,200),"000"),
  Tabela_Movimentacao_Geral[[#This Row],[ID Produto]]
)</f>
        <v>PROD165</v>
      </c>
      <c r="G321" t="str">
        <f ca="1">_xlfn.XLOOKUP(Tabela_Movimentacao_Geral[[#This Row],[ID Produto]], Tabela_Produtos[ID_Produto],Tabela_Produtos[Descricao_Produto],"Produto não encontrado")</f>
        <v>Almofada para Carimbo</v>
      </c>
      <c r="H321" cm="1">
        <f t="array" aca="1" ref="H321" ca="1">IF(
   $O$7="Desbloqueado",
   _xlfn.LET(
     _xlpm.saldo_atual, SUM(($C$2:$C320="Entrada")*($F$2:$F320=Tabela_Movimentacao_Geral[[#This Row],[ID Produto]])*($H$2:$H320) - ($C$2:$C320="Saida")*($F$2:$F320=Tabela_Movimentacao_Geral[[#This Row],[ID Produto]])*($H$2:$H320)),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39</v>
      </c>
      <c r="I321" s="5">
        <f ca="1">_xlfn.XLOOKUP(Tabela_Movimentacao_Geral[[#This Row],[ID Produto]], Tabela_Produtos[ID_Produto],Tabela_Produtos[Preco_Unitario_Venda])</f>
        <v>18</v>
      </c>
      <c r="J321" s="6">
        <f ca="1">Tabela_Movimentacao_Geral[[#This Row],[Quantidade]] * Tabela_Movimentacao_Geral[[#This Row],[Valor Unitário]]</f>
        <v>702</v>
      </c>
      <c r="K321" t="str">
        <f ca="1">IF(
   $O$7="Desbloqueado",
   CHOOSE(RANDBETWEEN(1,3),"Pago","Pendente","Atrasado"),
   Tabela_Movimentacao_Geral[[#This Row],[Status Financeiro]]
)</f>
        <v>Pendente</v>
      </c>
      <c r="L321" t="str">
        <f ca="1">IF(
   $O$7="Desbloqueado",
   CHOOSE(RANDBETWEEN(1,3),"Entregue","Em Rota","Aguardando"),
   Tabela_Movimentacao_Geral[[#This Row],[Status Logistico]]
)</f>
        <v>Aguardando</v>
      </c>
      <c r="M32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2" spans="1:13" x14ac:dyDescent="0.3">
      <c r="A322" t="str">
        <f t="shared" si="4"/>
        <v>T0321</v>
      </c>
      <c r="B322" s="1">
        <v>45817</v>
      </c>
      <c r="C322" t="str" cm="1">
        <f t="array" aca="1" ref="C322" ca="1">IF($O$7="Desbloqueado",
  _xlfn.LET(
    _xlpm.saldo_atual, SUM(($C$2:$C321="Entrada")*($F$2:$F321=Tabela_Movimentacao_Geral[[#This Row],[ID Produto]])*($H$2:$H321) - ($C$2:$C321="Saida")*($F$2:$F321=Tabela_Movimentacao_Geral[[#This Row],[ID Produto]])*($H$2:$H321)),
    IF(_xlpm.saldo_atual &gt; 0, IF(RANDBETWEEN(0,10)&gt;3,"Saida","Entrada"), "Entrada")
  ),
  Tabela_Movimentacao_Geral[[#This Row],[Tipo Fluxo]]
)</f>
        <v>Saida</v>
      </c>
      <c r="D3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3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322" t="str">
        <f ca="1">IF(
  $O$7="Desbloqueado",
  "PROD"&amp;TEXT(RANDBETWEEN(1,200),"000"),
  Tabela_Movimentacao_Geral[[#This Row],[ID Produto]]
)</f>
        <v>PROD046</v>
      </c>
      <c r="G322" t="str">
        <f ca="1">_xlfn.XLOOKUP(Tabela_Movimentacao_Geral[[#This Row],[ID Produto]], Tabela_Produtos[ID_Produto],Tabela_Produtos[Descricao_Produto],"Produto não encontrado")</f>
        <v>Organizador de Cabos Spiral</v>
      </c>
      <c r="H322" cm="1">
        <f t="array" aca="1" ref="H322" ca="1">IF(
   $O$7="Desbloqueado",
   _xlfn.LET(
     _xlpm.saldo_atual, SUM(($C$2:$C321="Entrada")*($F$2:$F321=Tabela_Movimentacao_Geral[[#This Row],[ID Produto]])*($H$2:$H321) - ($C$2:$C321="Saida")*($F$2:$F321=Tabela_Movimentacao_Geral[[#This Row],[ID Produto]])*($H$2:$H321)),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180</v>
      </c>
      <c r="I322" s="5">
        <f ca="1">_xlfn.XLOOKUP(Tabela_Movimentacao_Geral[[#This Row],[ID Produto]], Tabela_Produtos[ID_Produto],Tabela_Produtos[Preco_Unitario_Venda])</f>
        <v>15</v>
      </c>
      <c r="J322" s="6">
        <f ca="1">Tabela_Movimentacao_Geral[[#This Row],[Quantidade]] * Tabela_Movimentacao_Geral[[#This Row],[Valor Unitário]]</f>
        <v>2700</v>
      </c>
      <c r="K322" t="str">
        <f ca="1">IF(
   $O$7="Desbloqueado",
   CHOOSE(RANDBETWEEN(1,3),"Pago","Pendente","Atrasado"),
   Tabela_Movimentacao_Geral[[#This Row],[Status Financeiro]]
)</f>
        <v>Atrasado</v>
      </c>
      <c r="L322" t="str">
        <f ca="1">IF(
   $O$7="Desbloqueado",
   CHOOSE(RANDBETWEEN(1,3),"Entregue","Em Rota","Aguardando"),
   Tabela_Movimentacao_Geral[[#This Row],[Status Logistico]]
)</f>
        <v>Entregue</v>
      </c>
      <c r="M32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3" spans="1:13" x14ac:dyDescent="0.3">
      <c r="A323" t="str">
        <f t="shared" si="4"/>
        <v>T0322</v>
      </c>
      <c r="B323" s="1">
        <v>45817</v>
      </c>
      <c r="C323" t="str" cm="1">
        <f t="array" aca="1" ref="C323" ca="1">IF($O$7="Desbloqueado",
  _xlfn.LET(
    _xlpm.saldo_atual, SUM(($C$2:$C322="Entrada")*($F$2:$F322=Tabela_Movimentacao_Geral[[#This Row],[ID Produto]])*($H$2:$H322) - ($C$2:$C322="Saida")*($F$2:$F322=Tabela_Movimentacao_Geral[[#This Row],[ID Produto]])*($H$2:$H322)),
    IF(_xlpm.saldo_atual &gt; 0, IF(RANDBETWEEN(0,10)&gt;3,"Saida","Entrada"), "Entrada")
  ),
  Tabela_Movimentacao_Geral[[#This Row],[Tipo Fluxo]]
)</f>
        <v>Saida</v>
      </c>
      <c r="D3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3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323" t="str">
        <f ca="1">IF(
  $O$7="Desbloqueado",
  "PROD"&amp;TEXT(RANDBETWEEN(1,200),"000"),
  Tabela_Movimentacao_Geral[[#This Row],[ID Produto]]
)</f>
        <v>PROD071</v>
      </c>
      <c r="G323" t="str">
        <f ca="1">_xlfn.XLOOKUP(Tabela_Movimentacao_Geral[[#This Row],[ID Produto]], Tabela_Produtos[ID_Produto],Tabela_Produtos[Descricao_Produto],"Produto não encontrado")</f>
        <v>Bloco Auto-Adesivo 76x76</v>
      </c>
      <c r="H323" cm="1">
        <f t="array" aca="1" ref="H323" ca="1">IF(
   $O$7="Desbloqueado",
   _xlfn.LET(
     _xlpm.saldo_atual, SUM(($C$2:$C322="Entrada")*($F$2:$F322=Tabela_Movimentacao_Geral[[#This Row],[ID Produto]])*($H$2:$H322) - ($C$2:$C322="Saida")*($F$2:$F322=Tabela_Movimentacao_Geral[[#This Row],[ID Produto]])*($H$2:$H322)),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323" s="5">
        <f ca="1">_xlfn.XLOOKUP(Tabela_Movimentacao_Geral[[#This Row],[ID Produto]], Tabela_Produtos[ID_Produto],Tabela_Produtos[Preco_Unitario_Venda])</f>
        <v>8.5</v>
      </c>
      <c r="J323" s="6">
        <f ca="1">Tabela_Movimentacao_Geral[[#This Row],[Quantidade]] * Tabela_Movimentacao_Geral[[#This Row],[Valor Unitário]]</f>
        <v>93.5</v>
      </c>
      <c r="K323" t="str">
        <f ca="1">IF(
   $O$7="Desbloqueado",
   CHOOSE(RANDBETWEEN(1,3),"Pago","Pendente","Atrasado"),
   Tabela_Movimentacao_Geral[[#This Row],[Status Financeiro]]
)</f>
        <v>Pago</v>
      </c>
      <c r="L323" t="str">
        <f ca="1">IF(
   $O$7="Desbloqueado",
   CHOOSE(RANDBETWEEN(1,3),"Entregue","Em Rota","Aguardando"),
   Tabela_Movimentacao_Geral[[#This Row],[Status Logistico]]
)</f>
        <v>Aguardando</v>
      </c>
      <c r="M32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4" spans="1:13" x14ac:dyDescent="0.3">
      <c r="A324" t="str">
        <f t="shared" si="4"/>
        <v>T0323</v>
      </c>
      <c r="B324" s="1">
        <v>45818</v>
      </c>
      <c r="C324" t="str" cm="1">
        <f t="array" aca="1" ref="C324" ca="1">IF($O$7="Desbloqueado",
  _xlfn.LET(
    _xlpm.saldo_atual, SUM(($C$2:$C323="Entrada")*($F$2:$F323=Tabela_Movimentacao_Geral[[#This Row],[ID Produto]])*($H$2:$H323) - ($C$2:$C323="Saida")*($F$2:$F323=Tabela_Movimentacao_Geral[[#This Row],[ID Produto]])*($H$2:$H323)),
    IF(_xlpm.saldo_atual &gt; 0, IF(RANDBETWEEN(0,10)&gt;3,"Saida","Entrada"), "Entrada")
  ),
  Tabela_Movimentacao_Geral[[#This Row],[Tipo Fluxo]]
)</f>
        <v>Saida</v>
      </c>
      <c r="D3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3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324" t="str">
        <f ca="1">IF(
  $O$7="Desbloqueado",
  "PROD"&amp;TEXT(RANDBETWEEN(1,200),"000"),
  Tabela_Movimentacao_Geral[[#This Row],[ID Produto]]
)</f>
        <v>PROD146</v>
      </c>
      <c r="G324" t="str">
        <f ca="1">_xlfn.XLOOKUP(Tabela_Movimentacao_Geral[[#This Row],[ID Produto]], Tabela_Produtos[ID_Produto],Tabela_Produtos[Descricao_Produto],"Produto não encontrado")</f>
        <v>Alicate de Crimpagem RJ45</v>
      </c>
      <c r="H324" cm="1">
        <f t="array" aca="1" ref="H324" ca="1">IF(
   $O$7="Desbloqueado",
   _xlfn.LET(
     _xlpm.saldo_atual, SUM(($C$2:$C323="Entrada")*($F$2:$F323=Tabela_Movimentacao_Geral[[#This Row],[ID Produto]])*($H$2:$H323) - ($C$2:$C323="Saida")*($F$2:$F323=Tabela_Movimentacao_Geral[[#This Row],[ID Produto]])*($H$2:$H323)),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324" s="5">
        <f ca="1">_xlfn.XLOOKUP(Tabela_Movimentacao_Geral[[#This Row],[ID Produto]], Tabela_Produtos[ID_Produto],Tabela_Produtos[Preco_Unitario_Venda])</f>
        <v>85</v>
      </c>
      <c r="J324" s="6">
        <f ca="1">Tabela_Movimentacao_Geral[[#This Row],[Quantidade]] * Tabela_Movimentacao_Geral[[#This Row],[Valor Unitário]]</f>
        <v>1870</v>
      </c>
      <c r="K324" t="str">
        <f ca="1">IF(
   $O$7="Desbloqueado",
   CHOOSE(RANDBETWEEN(1,3),"Pago","Pendente","Atrasado"),
   Tabela_Movimentacao_Geral[[#This Row],[Status Financeiro]]
)</f>
        <v>Pago</v>
      </c>
      <c r="L324" t="str">
        <f ca="1">IF(
   $O$7="Desbloqueado",
   CHOOSE(RANDBETWEEN(1,3),"Entregue","Em Rota","Aguardando"),
   Tabela_Movimentacao_Geral[[#This Row],[Status Logistico]]
)</f>
        <v>Entregue</v>
      </c>
      <c r="M32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5" spans="1:13" x14ac:dyDescent="0.3">
      <c r="A325" t="str">
        <f t="shared" si="4"/>
        <v>T0324</v>
      </c>
      <c r="B325" s="1">
        <v>45818</v>
      </c>
      <c r="C325" t="str" cm="1">
        <f t="array" aca="1" ref="C325" ca="1">IF($O$7="Desbloqueado",
  _xlfn.LET(
    _xlpm.saldo_atual, SUM(($C$2:$C324="Entrada")*($F$2:$F324=Tabela_Movimentacao_Geral[[#This Row],[ID Produto]])*($H$2:$H324) - ($C$2:$C324="Saida")*($F$2:$F324=Tabela_Movimentacao_Geral[[#This Row],[ID Produto]])*($H$2:$H324)),
    IF(_xlpm.saldo_atual &gt; 0, IF(RANDBETWEEN(0,10)&gt;3,"Saida","Entrada"), "Entrada")
  ),
  Tabela_Movimentacao_Geral[[#This Row],[Tipo Fluxo]]
)</f>
        <v>Entrada</v>
      </c>
      <c r="D3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3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325" t="str">
        <f ca="1">IF(
  $O$7="Desbloqueado",
  "PROD"&amp;TEXT(RANDBETWEEN(1,200),"000"),
  Tabela_Movimentacao_Geral[[#This Row],[ID Produto]]
)</f>
        <v>PROD078</v>
      </c>
      <c r="G325" t="str">
        <f ca="1">_xlfn.XLOOKUP(Tabela_Movimentacao_Geral[[#This Row],[ID Produto]], Tabela_Produtos[ID_Produto],Tabela_Produtos[Descricao_Produto],"Produto não encontrado")</f>
        <v>Porta Canetas Telado</v>
      </c>
      <c r="H325" cm="1">
        <f t="array" aca="1" ref="H325" ca="1">IF(
   $O$7="Desbloqueado",
   _xlfn.LET(
     _xlpm.saldo_atual, SUM(($C$2:$C324="Entrada")*($F$2:$F324=Tabela_Movimentacao_Geral[[#This Row],[ID Produto]])*($H$2:$H324) - ($C$2:$C324="Saida")*($F$2:$F324=Tabela_Movimentacao_Geral[[#This Row],[ID Produto]])*($H$2:$H324)),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325" s="5">
        <f ca="1">_xlfn.XLOOKUP(Tabela_Movimentacao_Geral[[#This Row],[ID Produto]], Tabela_Produtos[ID_Produto],Tabela_Produtos[Preco_Unitario_Venda])</f>
        <v>15</v>
      </c>
      <c r="J325" s="6">
        <f ca="1">Tabela_Movimentacao_Geral[[#This Row],[Quantidade]] * Tabela_Movimentacao_Geral[[#This Row],[Valor Unitário]]</f>
        <v>315</v>
      </c>
      <c r="K325" t="str">
        <f ca="1">IF(
   $O$7="Desbloqueado",
   CHOOSE(RANDBETWEEN(1,3),"Pago","Pendente","Atrasado"),
   Tabela_Movimentacao_Geral[[#This Row],[Status Financeiro]]
)</f>
        <v>Atrasado</v>
      </c>
      <c r="L325" t="str">
        <f ca="1">IF(
   $O$7="Desbloqueado",
   CHOOSE(RANDBETWEEN(1,3),"Entregue","Em Rota","Aguardando"),
   Tabela_Movimentacao_Geral[[#This Row],[Status Logistico]]
)</f>
        <v>Aguardando</v>
      </c>
      <c r="M32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45826</v>
      </c>
    </row>
    <row r="326" spans="1:13" x14ac:dyDescent="0.3">
      <c r="A326" t="str">
        <f t="shared" si="4"/>
        <v>T0325</v>
      </c>
      <c r="B326" s="1">
        <v>45819</v>
      </c>
      <c r="C326" t="str" cm="1">
        <f t="array" aca="1" ref="C326" ca="1">IF($O$7="Desbloqueado",
  _xlfn.LET(
    _xlpm.saldo_atual, SUM(($C$2:$C325="Entrada")*($F$2:$F325=Tabela_Movimentacao_Geral[[#This Row],[ID Produto]])*($H$2:$H325) - ($C$2:$C325="Saida")*($F$2:$F325=Tabela_Movimentacao_Geral[[#This Row],[ID Produto]])*($H$2:$H325)),
    IF(_xlpm.saldo_atual &gt; 0, IF(RANDBETWEEN(0,10)&gt;3,"Saida","Entrada"), "Entrada")
  ),
  Tabela_Movimentacao_Geral[[#This Row],[Tipo Fluxo]]
)</f>
        <v>Saida</v>
      </c>
      <c r="D3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3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326" t="str">
        <f ca="1">IF(
  $O$7="Desbloqueado",
  "PROD"&amp;TEXT(RANDBETWEEN(1,200),"000"),
  Tabela_Movimentacao_Geral[[#This Row],[ID Produto]]
)</f>
        <v>PROD115</v>
      </c>
      <c r="G326" t="str">
        <f ca="1">_xlfn.XLOOKUP(Tabela_Movimentacao_Geral[[#This Row],[ID Produto]], Tabela_Produtos[ID_Produto],Tabela_Produtos[Descricao_Produto],"Produto não encontrado")</f>
        <v>Switch Poe 8 Portas</v>
      </c>
      <c r="H326" cm="1">
        <f t="array" aca="1" ref="H326" ca="1">IF(
   $O$7="Desbloqueado",
   _xlfn.LET(
     _xlpm.saldo_atual, SUM(($C$2:$C325="Entrada")*($F$2:$F325=Tabela_Movimentacao_Geral[[#This Row],[ID Produto]])*($H$2:$H325) - ($C$2:$C325="Saida")*($F$2:$F325=Tabela_Movimentacao_Geral[[#This Row],[ID Produto]])*($H$2:$H325)),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326" s="5">
        <f ca="1">_xlfn.XLOOKUP(Tabela_Movimentacao_Geral[[#This Row],[ID Produto]], Tabela_Produtos[ID_Produto],Tabela_Produtos[Preco_Unitario_Venda])</f>
        <v>980</v>
      </c>
      <c r="J326" s="6">
        <f ca="1">Tabela_Movimentacao_Geral[[#This Row],[Quantidade]] * Tabela_Movimentacao_Geral[[#This Row],[Valor Unitário]]</f>
        <v>13720</v>
      </c>
      <c r="K326" t="str">
        <f ca="1">IF(
   $O$7="Desbloqueado",
   CHOOSE(RANDBETWEEN(1,3),"Pago","Pendente","Atrasado"),
   Tabela_Movimentacao_Geral[[#This Row],[Status Financeiro]]
)</f>
        <v>Pago</v>
      </c>
      <c r="L326" t="str">
        <f ca="1">IF(
   $O$7="Desbloqueado",
   CHOOSE(RANDBETWEEN(1,3),"Entregue","Em Rota","Aguardando"),
   Tabela_Movimentacao_Geral[[#This Row],[Status Logistico]]
)</f>
        <v>Em Rota</v>
      </c>
      <c r="M32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7" spans="1:13" x14ac:dyDescent="0.3">
      <c r="A327" t="str">
        <f t="shared" si="4"/>
        <v>T0326</v>
      </c>
      <c r="B327" s="1">
        <v>45819</v>
      </c>
      <c r="C327" t="str" cm="1">
        <f t="array" aca="1" ref="C327" ca="1">IF($O$7="Desbloqueado",
  _xlfn.LET(
    _xlpm.saldo_atual, SUM(($C$2:$C326="Entrada")*($F$2:$F326=Tabela_Movimentacao_Geral[[#This Row],[ID Produto]])*($H$2:$H326) - ($C$2:$C326="Saida")*($F$2:$F326=Tabela_Movimentacao_Geral[[#This Row],[ID Produto]])*($H$2:$H326)),
    IF(_xlpm.saldo_atual &gt; 0, IF(RANDBETWEEN(0,10)&gt;3,"Saida","Entrada"), "Entrada")
  ),
  Tabela_Movimentacao_Geral[[#This Row],[Tipo Fluxo]]
)</f>
        <v>Saida</v>
      </c>
      <c r="D3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3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327" t="str">
        <f ca="1">IF(
  $O$7="Desbloqueado",
  "PROD"&amp;TEXT(RANDBETWEEN(1,200),"000"),
  Tabela_Movimentacao_Geral[[#This Row],[ID Produto]]
)</f>
        <v>PROD011</v>
      </c>
      <c r="G327" t="str">
        <f ca="1">_xlfn.XLOOKUP(Tabela_Movimentacao_Geral[[#This Row],[ID Produto]], Tabela_Produtos[ID_Produto],Tabela_Produtos[Descricao_Produto],"Produto não encontrado")</f>
        <v>Memoria RAM 8GB DDR4</v>
      </c>
      <c r="H327" cm="1">
        <f t="array" aca="1" ref="H327" ca="1">IF(
   $O$7="Desbloqueado",
   _xlfn.LET(
     _xlpm.saldo_atual, SUM(($C$2:$C326="Entrada")*($F$2:$F326=Tabela_Movimentacao_Geral[[#This Row],[ID Produto]])*($H$2:$H326) - ($C$2:$C326="Saida")*($F$2:$F326=Tabela_Movimentacao_Geral[[#This Row],[ID Produto]])*($H$2:$H326)),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40</v>
      </c>
      <c r="I327" s="5">
        <f ca="1">_xlfn.XLOOKUP(Tabela_Movimentacao_Geral[[#This Row],[ID Produto]], Tabela_Produtos[ID_Produto],Tabela_Produtos[Preco_Unitario_Venda])</f>
        <v>280</v>
      </c>
      <c r="J327" s="6">
        <f ca="1">Tabela_Movimentacao_Geral[[#This Row],[Quantidade]] * Tabela_Movimentacao_Geral[[#This Row],[Valor Unitário]]</f>
        <v>11200</v>
      </c>
      <c r="K327" t="str">
        <f ca="1">IF(
   $O$7="Desbloqueado",
   CHOOSE(RANDBETWEEN(1,3),"Pago","Pendente","Atrasado"),
   Tabela_Movimentacao_Geral[[#This Row],[Status Financeiro]]
)</f>
        <v>Pendente</v>
      </c>
      <c r="L327" t="str">
        <f ca="1">IF(
   $O$7="Desbloqueado",
   CHOOSE(RANDBETWEEN(1,3),"Entregue","Em Rota","Aguardando"),
   Tabela_Movimentacao_Geral[[#This Row],[Status Logistico]]
)</f>
        <v>Em Rota</v>
      </c>
      <c r="M32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8" spans="1:13" x14ac:dyDescent="0.3">
      <c r="A328" t="str">
        <f t="shared" si="4"/>
        <v>T0327</v>
      </c>
      <c r="B328" s="1">
        <v>45820</v>
      </c>
      <c r="C328" t="str" cm="1">
        <f t="array" aca="1" ref="C328" ca="1">IF($O$7="Desbloqueado",
  _xlfn.LET(
    _xlpm.saldo_atual, SUM(($C$2:$C327="Entrada")*($F$2:$F327=Tabela_Movimentacao_Geral[[#This Row],[ID Produto]])*($H$2:$H327) - ($C$2:$C327="Saida")*($F$2:$F327=Tabela_Movimentacao_Geral[[#This Row],[ID Produto]])*($H$2:$H327)),
    IF(_xlpm.saldo_atual &gt; 0, IF(RANDBETWEEN(0,10)&gt;3,"Saida","Entrada"), "Entrada")
  ),
  Tabela_Movimentacao_Geral[[#This Row],[Tipo Fluxo]]
)</f>
        <v>Saida</v>
      </c>
      <c r="D3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3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328" t="str">
        <f ca="1">IF(
  $O$7="Desbloqueado",
  "PROD"&amp;TEXT(RANDBETWEEN(1,200),"000"),
  Tabela_Movimentacao_Geral[[#This Row],[ID Produto]]
)</f>
        <v>PROD200</v>
      </c>
      <c r="G328" t="str">
        <f ca="1">_xlfn.XLOOKUP(Tabela_Movimentacao_Geral[[#This Row],[ID Produto]], Tabela_Produtos[ID_Produto],Tabela_Produtos[Descricao_Produto],"Produto não encontrado")</f>
        <v>Estacao de Solda Prof</v>
      </c>
      <c r="H328" cm="1">
        <f t="array" aca="1" ref="H328" ca="1">IF(
   $O$7="Desbloqueado",
   _xlfn.LET(
     _xlpm.saldo_atual, SUM(($C$2:$C327="Entrada")*($F$2:$F327=Tabela_Movimentacao_Geral[[#This Row],[ID Produto]])*($H$2:$H327) - ($C$2:$C327="Saida")*($F$2:$F327=Tabela_Movimentacao_Geral[[#This Row],[ID Produto]])*($H$2:$H327)),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328" s="5">
        <f ca="1">_xlfn.XLOOKUP(Tabela_Movimentacao_Geral[[#This Row],[ID Produto]], Tabela_Produtos[ID_Produto],Tabela_Produtos[Preco_Unitario_Venda])</f>
        <v>1200</v>
      </c>
      <c r="J328" s="6">
        <f ca="1">Tabela_Movimentacao_Geral[[#This Row],[Quantidade]] * Tabela_Movimentacao_Geral[[#This Row],[Valor Unitário]]</f>
        <v>12000</v>
      </c>
      <c r="K328" t="str">
        <f ca="1">IF(
   $O$7="Desbloqueado",
   CHOOSE(RANDBETWEEN(1,3),"Pago","Pendente","Atrasado"),
   Tabela_Movimentacao_Geral[[#This Row],[Status Financeiro]]
)</f>
        <v>Pago</v>
      </c>
      <c r="L328" t="str">
        <f ca="1">IF(
   $O$7="Desbloqueado",
   CHOOSE(RANDBETWEEN(1,3),"Entregue","Em Rota","Aguardando"),
   Tabela_Movimentacao_Geral[[#This Row],[Status Logistico]]
)</f>
        <v>Em Rota</v>
      </c>
      <c r="M32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29" spans="1:13" x14ac:dyDescent="0.3">
      <c r="A329" t="str">
        <f t="shared" si="4"/>
        <v>T0328</v>
      </c>
      <c r="B329" s="1">
        <v>45820</v>
      </c>
      <c r="C329" t="str" cm="1">
        <f t="array" aca="1" ref="C329" ca="1">IF($O$7="Desbloqueado",
  _xlfn.LET(
    _xlpm.saldo_atual, SUM(($C$2:$C328="Entrada")*($F$2:$F328=Tabela_Movimentacao_Geral[[#This Row],[ID Produto]])*($H$2:$H328) - ($C$2:$C328="Saida")*($F$2:$F328=Tabela_Movimentacao_Geral[[#This Row],[ID Produto]])*($H$2:$H328)),
    IF(_xlpm.saldo_atual &gt; 0, IF(RANDBETWEEN(0,10)&gt;3,"Saida","Entrada"), "Entrada")
  ),
  Tabela_Movimentacao_Geral[[#This Row],[Tipo Fluxo]]
)</f>
        <v>Saida</v>
      </c>
      <c r="D3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3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329" t="str">
        <f ca="1">IF(
  $O$7="Desbloqueado",
  "PROD"&amp;TEXT(RANDBETWEEN(1,200),"000"),
  Tabela_Movimentacao_Geral[[#This Row],[ID Produto]]
)</f>
        <v>PROD035</v>
      </c>
      <c r="G329" t="str">
        <f ca="1">_xlfn.XLOOKUP(Tabela_Movimentacao_Geral[[#This Row],[ID Produto]], Tabela_Produtos[ID_Produto],Tabela_Produtos[Descricao_Produto],"Produto não encontrado")</f>
        <v>Tela de Projecao 100 pol</v>
      </c>
      <c r="H329" cm="1">
        <f t="array" aca="1" ref="H329" ca="1">IF(
   $O$7="Desbloqueado",
   _xlfn.LET(
     _xlpm.saldo_atual, SUM(($C$2:$C328="Entrada")*($F$2:$F328=Tabela_Movimentacao_Geral[[#This Row],[ID Produto]])*($H$2:$H328) - ($C$2:$C328="Saida")*($F$2:$F328=Tabela_Movimentacao_Geral[[#This Row],[ID Produto]])*($H$2:$H328)),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329" s="5">
        <f ca="1">_xlfn.XLOOKUP(Tabela_Movimentacao_Geral[[#This Row],[ID Produto]], Tabela_Produtos[ID_Produto],Tabela_Produtos[Preco_Unitario_Venda])</f>
        <v>600</v>
      </c>
      <c r="J329" s="6">
        <f ca="1">Tabela_Movimentacao_Geral[[#This Row],[Quantidade]] * Tabela_Movimentacao_Geral[[#This Row],[Valor Unitário]]</f>
        <v>6600</v>
      </c>
      <c r="K329" t="str">
        <f ca="1">IF(
   $O$7="Desbloqueado",
   CHOOSE(RANDBETWEEN(1,3),"Pago","Pendente","Atrasado"),
   Tabela_Movimentacao_Geral[[#This Row],[Status Financeiro]]
)</f>
        <v>Pendente</v>
      </c>
      <c r="L329" t="str">
        <f ca="1">IF(
   $O$7="Desbloqueado",
   CHOOSE(RANDBETWEEN(1,3),"Entregue","Em Rota","Aguardando"),
   Tabela_Movimentacao_Geral[[#This Row],[Status Logistico]]
)</f>
        <v>Entregue</v>
      </c>
      <c r="M32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30" spans="1:13" x14ac:dyDescent="0.3">
      <c r="A330" t="str">
        <f t="shared" si="4"/>
        <v>T0329</v>
      </c>
      <c r="B330" s="1">
        <v>45820</v>
      </c>
      <c r="C330" t="str" cm="1">
        <f t="array" aca="1" ref="C330" ca="1">IF($O$7="Desbloqueado",
  _xlfn.LET(
    _xlpm.saldo_atual, SUM(($C$2:$C329="Entrada")*($F$2:$F329=Tabela_Movimentacao_Geral[[#This Row],[ID Produto]])*($H$2:$H329) - ($C$2:$C329="Saida")*($F$2:$F329=Tabela_Movimentacao_Geral[[#This Row],[ID Produto]])*($H$2:$H329)),
    IF(_xlpm.saldo_atual &gt; 0, IF(RANDBETWEEN(0,10)&gt;3,"Saida","Entrada"), "Entrada")
  ),
  Tabela_Movimentacao_Geral[[#This Row],[Tipo Fluxo]]
)</f>
        <v>Entrada</v>
      </c>
      <c r="D3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3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330" t="str">
        <f ca="1">IF(
  $O$7="Desbloqueado",
  "PROD"&amp;TEXT(RANDBETWEEN(1,200),"000"),
  Tabela_Movimentacao_Geral[[#This Row],[ID Produto]]
)</f>
        <v>PROD033</v>
      </c>
      <c r="G330" t="str">
        <f ca="1">_xlfn.XLOOKUP(Tabela_Movimentacao_Geral[[#This Row],[ID Produto]], Tabela_Produtos[ID_Produto],Tabela_Produtos[Descricao_Produto],"Produto não encontrado")</f>
        <v>Pendrive 64GB USB 3.1</v>
      </c>
      <c r="H330" cm="1">
        <f t="array" aca="1" ref="H330" ca="1">IF(
   $O$7="Desbloqueado",
   _xlfn.LET(
     _xlpm.saldo_atual, SUM(($C$2:$C329="Entrada")*($F$2:$F329=Tabela_Movimentacao_Geral[[#This Row],[ID Produto]])*($H$2:$H329) - ($C$2:$C329="Saida")*($F$2:$F329=Tabela_Movimentacao_Geral[[#This Row],[ID Produto]])*($H$2:$H329)),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162</v>
      </c>
      <c r="I330" s="5">
        <f ca="1">_xlfn.XLOOKUP(Tabela_Movimentacao_Geral[[#This Row],[ID Produto]], Tabela_Produtos[ID_Produto],Tabela_Produtos[Preco_Unitario_Venda])</f>
        <v>65</v>
      </c>
      <c r="J330" s="6">
        <f ca="1">Tabela_Movimentacao_Geral[[#This Row],[Quantidade]] * Tabela_Movimentacao_Geral[[#This Row],[Valor Unitário]]</f>
        <v>10530</v>
      </c>
      <c r="K330" t="str">
        <f ca="1">IF(
   $O$7="Desbloqueado",
   CHOOSE(RANDBETWEEN(1,3),"Pago","Pendente","Atrasado"),
   Tabela_Movimentacao_Geral[[#This Row],[Status Financeiro]]
)</f>
        <v>Pendente</v>
      </c>
      <c r="L330" t="str">
        <f ca="1">IF(
   $O$7="Desbloqueado",
   CHOOSE(RANDBETWEEN(1,3),"Entregue","Em Rota","Aguardando"),
   Tabela_Movimentacao_Geral[[#This Row],[Status Logistico]]
)</f>
        <v>Em Rota</v>
      </c>
      <c r="M33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45821</v>
      </c>
    </row>
    <row r="331" spans="1:13" x14ac:dyDescent="0.3">
      <c r="A331" t="str">
        <f t="shared" si="4"/>
        <v>T0330</v>
      </c>
      <c r="B331" s="1">
        <v>45821</v>
      </c>
      <c r="C331" t="str" cm="1">
        <f t="array" aca="1" ref="C331" ca="1">IF($O$7="Desbloqueado",
  _xlfn.LET(
    _xlpm.saldo_atual, SUM(($C$2:$C330="Entrada")*($F$2:$F330=Tabela_Movimentacao_Geral[[#This Row],[ID Produto]])*($H$2:$H330) - ($C$2:$C330="Saida")*($F$2:$F330=Tabela_Movimentacao_Geral[[#This Row],[ID Produto]])*($H$2:$H330)),
    IF(_xlpm.saldo_atual &gt; 0, IF(RANDBETWEEN(0,10)&gt;3,"Saida","Entrada"), "Entrada")
  ),
  Tabela_Movimentacao_Geral[[#This Row],[Tipo Fluxo]]
)</f>
        <v>Saida</v>
      </c>
      <c r="D3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3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331" t="str">
        <f ca="1">IF(
  $O$7="Desbloqueado",
  "PROD"&amp;TEXT(RANDBETWEEN(1,200),"000"),
  Tabela_Movimentacao_Geral[[#This Row],[ID Produto]]
)</f>
        <v>PROD033</v>
      </c>
      <c r="G331" t="str">
        <f ca="1">_xlfn.XLOOKUP(Tabela_Movimentacao_Geral[[#This Row],[ID Produto]], Tabela_Produtos[ID_Produto],Tabela_Produtos[Descricao_Produto],"Produto não encontrado")</f>
        <v>Pendrive 64GB USB 3.1</v>
      </c>
      <c r="H331" cm="1">
        <f t="array" aca="1" ref="H331" ca="1">IF(
   $O$7="Desbloqueado",
   _xlfn.LET(
     _xlpm.saldo_atual, SUM(($C$2:$C330="Entrada")*($F$2:$F330=Tabela_Movimentacao_Geral[[#This Row],[ID Produto]])*($H$2:$H330) - ($C$2:$C330="Saida")*($F$2:$F330=Tabela_Movimentacao_Geral[[#This Row],[ID Produto]])*($H$2:$H330)),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139</v>
      </c>
      <c r="I331" s="5">
        <f ca="1">_xlfn.XLOOKUP(Tabela_Movimentacao_Geral[[#This Row],[ID Produto]], Tabela_Produtos[ID_Produto],Tabela_Produtos[Preco_Unitario_Venda])</f>
        <v>65</v>
      </c>
      <c r="J331" s="6">
        <f ca="1">Tabela_Movimentacao_Geral[[#This Row],[Quantidade]] * Tabela_Movimentacao_Geral[[#This Row],[Valor Unitário]]</f>
        <v>9035</v>
      </c>
      <c r="K331" t="str">
        <f ca="1">IF(
   $O$7="Desbloqueado",
   CHOOSE(RANDBETWEEN(1,3),"Pago","Pendente","Atrasado"),
   Tabela_Movimentacao_Geral[[#This Row],[Status Financeiro]]
)</f>
        <v>Pago</v>
      </c>
      <c r="L331" t="str">
        <f ca="1">IF(
   $O$7="Desbloqueado",
   CHOOSE(RANDBETWEEN(1,3),"Entregue","Em Rota","Aguardando"),
   Tabela_Movimentacao_Geral[[#This Row],[Status Logistico]]
)</f>
        <v>Entregue</v>
      </c>
      <c r="M33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32" spans="1:13" x14ac:dyDescent="0.3">
      <c r="A332" t="str">
        <f t="shared" si="4"/>
        <v>T0331</v>
      </c>
      <c r="B332" s="1">
        <v>45821</v>
      </c>
      <c r="C332" t="str" cm="1">
        <f t="array" aca="1" ref="C332" ca="1">IF($O$7="Desbloqueado",
  _xlfn.LET(
    _xlpm.saldo_atual, SUM(($C$2:$C331="Entrada")*($F$2:$F331=Tabela_Movimentacao_Geral[[#This Row],[ID Produto]])*($H$2:$H331) - ($C$2:$C331="Saida")*($F$2:$F331=Tabela_Movimentacao_Geral[[#This Row],[ID Produto]])*($H$2:$H331)),
    IF(_xlpm.saldo_atual &gt; 0, IF(RANDBETWEEN(0,10)&gt;3,"Saida","Entrada"), "Entrada")
  ),
  Tabela_Movimentacao_Geral[[#This Row],[Tipo Fluxo]]
)</f>
        <v>Entrada</v>
      </c>
      <c r="D3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3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332" t="str">
        <f ca="1">IF(
  $O$7="Desbloqueado",
  "PROD"&amp;TEXT(RANDBETWEEN(1,200),"000"),
  Tabela_Movimentacao_Geral[[#This Row],[ID Produto]]
)</f>
        <v>PROD071</v>
      </c>
      <c r="G332" t="str">
        <f ca="1">_xlfn.XLOOKUP(Tabela_Movimentacao_Geral[[#This Row],[ID Produto]], Tabela_Produtos[ID_Produto],Tabela_Produtos[Descricao_Produto],"Produto não encontrado")</f>
        <v>Bloco Auto-Adesivo 76x76</v>
      </c>
      <c r="H332" cm="1">
        <f t="array" aca="1" ref="H332" ca="1">IF(
   $O$7="Desbloqueado",
   _xlfn.LET(
     _xlpm.saldo_atual, SUM(($C$2:$C331="Entrada")*($F$2:$F331=Tabela_Movimentacao_Geral[[#This Row],[ID Produto]])*($H$2:$H331) - ($C$2:$C331="Saida")*($F$2:$F331=Tabela_Movimentacao_Geral[[#This Row],[ID Produto]])*($H$2:$H331)),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147</v>
      </c>
      <c r="I332" s="5">
        <f ca="1">_xlfn.XLOOKUP(Tabela_Movimentacao_Geral[[#This Row],[ID Produto]], Tabela_Produtos[ID_Produto],Tabela_Produtos[Preco_Unitario_Venda])</f>
        <v>8.5</v>
      </c>
      <c r="J332" s="6">
        <f ca="1">Tabela_Movimentacao_Geral[[#This Row],[Quantidade]] * Tabela_Movimentacao_Geral[[#This Row],[Valor Unitário]]</f>
        <v>1249.5</v>
      </c>
      <c r="K332" t="str">
        <f ca="1">IF(
   $O$7="Desbloqueado",
   CHOOSE(RANDBETWEEN(1,3),"Pago","Pendente","Atrasado"),
   Tabela_Movimentacao_Geral[[#This Row],[Status Financeiro]]
)</f>
        <v>Pago</v>
      </c>
      <c r="L332" t="str">
        <f ca="1">IF(
   $O$7="Desbloqueado",
   CHOOSE(RANDBETWEEN(1,3),"Entregue","Em Rota","Aguardando"),
   Tabela_Movimentacao_Geral[[#This Row],[Status Logistico]]
)</f>
        <v>Aguardando</v>
      </c>
      <c r="M33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45825</v>
      </c>
    </row>
    <row r="333" spans="1:13" x14ac:dyDescent="0.3">
      <c r="A333" t="str">
        <f t="shared" si="4"/>
        <v>T0332</v>
      </c>
      <c r="B333" s="1">
        <v>45822</v>
      </c>
      <c r="C333" t="str" cm="1">
        <f t="array" aca="1" ref="C333" ca="1">IF($O$7="Desbloqueado",
  _xlfn.LET(
    _xlpm.saldo_atual, SUM(($C$2:$C332="Entrada")*($F$2:$F332=Tabela_Movimentacao_Geral[[#This Row],[ID Produto]])*($H$2:$H332) - ($C$2:$C332="Saida")*($F$2:$F332=Tabela_Movimentacao_Geral[[#This Row],[ID Produto]])*($H$2:$H332)),
    IF(_xlpm.saldo_atual &gt; 0, IF(RANDBETWEEN(0,10)&gt;3,"Saida","Entrada"), "Entrada")
  ),
  Tabela_Movimentacao_Geral[[#This Row],[Tipo Fluxo]]
)</f>
        <v>Entrada</v>
      </c>
      <c r="D3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3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333" t="str">
        <f ca="1">IF(
  $O$7="Desbloqueado",
  "PROD"&amp;TEXT(RANDBETWEEN(1,200),"000"),
  Tabela_Movimentacao_Geral[[#This Row],[ID Produto]]
)</f>
        <v>PROD183</v>
      </c>
      <c r="G333" t="str">
        <f ca="1">_xlfn.XLOOKUP(Tabela_Movimentacao_Geral[[#This Row],[ID Produto]], Tabela_Produtos[ID_Produto],Tabela_Produtos[Descricao_Produto],"Produto não encontrado")</f>
        <v>Placa de Rede Quad Port</v>
      </c>
      <c r="H333" cm="1">
        <f t="array" aca="1" ref="H333" ca="1">IF(
   $O$7="Desbloqueado",
   _xlfn.LET(
     _xlpm.saldo_atual, SUM(($C$2:$C332="Entrada")*($F$2:$F332=Tabela_Movimentacao_Geral[[#This Row],[ID Produto]])*($H$2:$H332) - ($C$2:$C332="Saida")*($F$2:$F332=Tabela_Movimentacao_Geral[[#This Row],[ID Produto]])*($H$2:$H332)),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89</v>
      </c>
      <c r="I333" s="5">
        <f ca="1">_xlfn.XLOOKUP(Tabela_Movimentacao_Geral[[#This Row],[ID Produto]], Tabela_Produtos[ID_Produto],Tabela_Produtos[Preco_Unitario_Venda])</f>
        <v>1200</v>
      </c>
      <c r="J333" s="6">
        <f ca="1">Tabela_Movimentacao_Geral[[#This Row],[Quantidade]] * Tabela_Movimentacao_Geral[[#This Row],[Valor Unitário]]</f>
        <v>106800</v>
      </c>
      <c r="K333" t="str">
        <f ca="1">IF(
   $O$7="Desbloqueado",
   CHOOSE(RANDBETWEEN(1,3),"Pago","Pendente","Atrasado"),
   Tabela_Movimentacao_Geral[[#This Row],[Status Financeiro]]
)</f>
        <v>Pago</v>
      </c>
      <c r="L333" t="str">
        <f ca="1">IF(
   $O$7="Desbloqueado",
   CHOOSE(RANDBETWEEN(1,3),"Entregue","Em Rota","Aguardando"),
   Tabela_Movimentacao_Geral[[#This Row],[Status Logistico]]
)</f>
        <v>Aguardando</v>
      </c>
      <c r="M33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45830</v>
      </c>
    </row>
    <row r="334" spans="1:13" x14ac:dyDescent="0.3">
      <c r="A334" t="str">
        <f t="shared" si="4"/>
        <v>T0333</v>
      </c>
      <c r="B334" s="1">
        <v>45822</v>
      </c>
      <c r="C334" t="str" cm="1">
        <f t="array" aca="1" ref="C334" ca="1">IF($O$7="Desbloqueado",
  _xlfn.LET(
    _xlpm.saldo_atual, SUM(($C$2:$C333="Entrada")*($F$2:$F333=Tabela_Movimentacao_Geral[[#This Row],[ID Produto]])*($H$2:$H333) - ($C$2:$C333="Saida")*($F$2:$F333=Tabela_Movimentacao_Geral[[#This Row],[ID Produto]])*($H$2:$H333)),
    IF(_xlpm.saldo_atual &gt; 0, IF(RANDBETWEEN(0,10)&gt;3,"Saida","Entrada"), "Entrada")
  ),
  Tabela_Movimentacao_Geral[[#This Row],[Tipo Fluxo]]
)</f>
        <v>Saida</v>
      </c>
      <c r="D3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34" t="str">
        <f ca="1">IF(
  $O$7="Desbloqueado",
  "PROD"&amp;TEXT(RANDBETWEEN(1,200),"000"),
  Tabela_Movimentacao_Geral[[#This Row],[ID Produto]]
)</f>
        <v>PROD193</v>
      </c>
      <c r="G334" t="str">
        <f ca="1">_xlfn.XLOOKUP(Tabela_Movimentacao_Geral[[#This Row],[ID Produto]], Tabela_Produtos[ID_Produto],Tabela_Produtos[Descricao_Produto],"Produto não encontrado")</f>
        <v>Mini Rack 6U Parede</v>
      </c>
      <c r="H334" cm="1">
        <f t="array" aca="1" ref="H334" ca="1">IF(
   $O$7="Desbloqueado",
   _xlfn.LET(
     _xlpm.saldo_atual, SUM(($C$2:$C333="Entrada")*($F$2:$F333=Tabela_Movimentacao_Geral[[#This Row],[ID Produto]])*($H$2:$H333) - ($C$2:$C333="Saida")*($F$2:$F333=Tabela_Movimentacao_Geral[[#This Row],[ID Produto]])*($H$2:$H333)),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334" s="5">
        <f ca="1">_xlfn.XLOOKUP(Tabela_Movimentacao_Geral[[#This Row],[ID Produto]], Tabela_Produtos[ID_Produto],Tabela_Produtos[Preco_Unitario_Venda])</f>
        <v>450</v>
      </c>
      <c r="J334" s="6">
        <f ca="1">Tabela_Movimentacao_Geral[[#This Row],[Quantidade]] * Tabela_Movimentacao_Geral[[#This Row],[Valor Unitário]]</f>
        <v>1800</v>
      </c>
      <c r="K334" t="str">
        <f ca="1">IF(
   $O$7="Desbloqueado",
   CHOOSE(RANDBETWEEN(1,3),"Pago","Pendente","Atrasado"),
   Tabela_Movimentacao_Geral[[#This Row],[Status Financeiro]]
)</f>
        <v>Pendente</v>
      </c>
      <c r="L334" t="str">
        <f ca="1">IF(
   $O$7="Desbloqueado",
   CHOOSE(RANDBETWEEN(1,3),"Entregue","Em Rota","Aguardando"),
   Tabela_Movimentacao_Geral[[#This Row],[Status Logistico]]
)</f>
        <v>Em Rota</v>
      </c>
      <c r="M3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35" spans="1:13" x14ac:dyDescent="0.3">
      <c r="A335" t="str">
        <f t="shared" si="4"/>
        <v>T0334</v>
      </c>
      <c r="B335" s="1">
        <v>45822</v>
      </c>
      <c r="C335" t="str" cm="1">
        <f t="array" aca="1" ref="C335" ca="1">IF($O$7="Desbloqueado",
  _xlfn.LET(
    _xlpm.saldo_atual, SUM(($C$2:$C334="Entrada")*($F$2:$F334=Tabela_Movimentacao_Geral[[#This Row],[ID Produto]])*($H$2:$H334) - ($C$2:$C334="Saida")*($F$2:$F334=Tabela_Movimentacao_Geral[[#This Row],[ID Produto]])*($H$2:$H334)),
    IF(_xlpm.saldo_atual &gt; 0, IF(RANDBETWEEN(0,10)&gt;3,"Saida","Entrada"), "Entrada")
  ),
  Tabela_Movimentacao_Geral[[#This Row],[Tipo Fluxo]]
)</f>
        <v>Saida</v>
      </c>
      <c r="D3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35" t="str">
        <f ca="1">IF(
  $O$7="Desbloqueado",
  "PROD"&amp;TEXT(RANDBETWEEN(1,200),"000"),
  Tabela_Movimentacao_Geral[[#This Row],[ID Produto]]
)</f>
        <v>PROD083</v>
      </c>
      <c r="G335" t="str">
        <f ca="1">_xlfn.XLOOKUP(Tabela_Movimentacao_Geral[[#This Row],[ID Produto]], Tabela_Produtos[ID_Produto],Tabela_Produtos[Descricao_Produto],"Produto não encontrado")</f>
        <v>Memoria Server 32GB ECC</v>
      </c>
      <c r="H335" cm="1">
        <f t="array" aca="1" ref="H335" ca="1">IF(
   $O$7="Desbloqueado",
   _xlfn.LET(
     _xlpm.saldo_atual, SUM(($C$2:$C334="Entrada")*($F$2:$F334=Tabela_Movimentacao_Geral[[#This Row],[ID Produto]])*($H$2:$H334) - ($C$2:$C334="Saida")*($F$2:$F334=Tabela_Movimentacao_Geral[[#This Row],[ID Produto]])*($H$2:$H334)),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335" s="5">
        <f ca="1">_xlfn.XLOOKUP(Tabela_Movimentacao_Geral[[#This Row],[ID Produto]], Tabela_Produtos[ID_Produto],Tabela_Produtos[Preco_Unitario_Venda])</f>
        <v>1450</v>
      </c>
      <c r="J335" s="6">
        <f ca="1">Tabela_Movimentacao_Geral[[#This Row],[Quantidade]] * Tabela_Movimentacao_Geral[[#This Row],[Valor Unitário]]</f>
        <v>123250</v>
      </c>
      <c r="K335" t="str">
        <f ca="1">IF(
   $O$7="Desbloqueado",
   CHOOSE(RANDBETWEEN(1,3),"Pago","Pendente","Atrasado"),
   Tabela_Movimentacao_Geral[[#This Row],[Status Financeiro]]
)</f>
        <v>Pago</v>
      </c>
      <c r="L335" t="str">
        <f ca="1">IF(
   $O$7="Desbloqueado",
   CHOOSE(RANDBETWEEN(1,3),"Entregue","Em Rota","Aguardando"),
   Tabela_Movimentacao_Geral[[#This Row],[Status Logistico]]
)</f>
        <v>Aguardando</v>
      </c>
      <c r="M33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36" spans="1:13" x14ac:dyDescent="0.3">
      <c r="A336" t="str">
        <f t="shared" si="4"/>
        <v>T0335</v>
      </c>
      <c r="B336" s="1">
        <v>45822</v>
      </c>
      <c r="C336" t="str" cm="1">
        <f t="array" aca="1" ref="C336" ca="1">IF($O$7="Desbloqueado",
  _xlfn.LET(
    _xlpm.saldo_atual, SUM(($C$2:$C335="Entrada")*($F$2:$F335=Tabela_Movimentacao_Geral[[#This Row],[ID Produto]])*($H$2:$H335) - ($C$2:$C335="Saida")*($F$2:$F335=Tabela_Movimentacao_Geral[[#This Row],[ID Produto]])*($H$2:$H335)),
    IF(_xlpm.saldo_atual &gt; 0, IF(RANDBETWEEN(0,10)&gt;3,"Saida","Entrada"), "Entrada")
  ),
  Tabela_Movimentacao_Geral[[#This Row],[Tipo Fluxo]]
)</f>
        <v>Saida</v>
      </c>
      <c r="D3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3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336" t="str">
        <f ca="1">IF(
  $O$7="Desbloqueado",
  "PROD"&amp;TEXT(RANDBETWEEN(1,200),"000"),
  Tabela_Movimentacao_Geral[[#This Row],[ID Produto]]
)</f>
        <v>PROD063</v>
      </c>
      <c r="G336" t="str">
        <f ca="1">_xlfn.XLOOKUP(Tabela_Movimentacao_Geral[[#This Row],[ID Produto]], Tabela_Produtos[ID_Produto],Tabela_Produtos[Descricao_Produto],"Produto não encontrado")</f>
        <v>Tesoura Multiuso</v>
      </c>
      <c r="H336" cm="1">
        <f t="array" aca="1" ref="H336" ca="1">IF(
   $O$7="Desbloqueado",
   _xlfn.LET(
     _xlpm.saldo_atual, SUM(($C$2:$C335="Entrada")*($F$2:$F335=Tabela_Movimentacao_Geral[[#This Row],[ID Produto]])*($H$2:$H335) - ($C$2:$C335="Saida")*($F$2:$F335=Tabela_Movimentacao_Geral[[#This Row],[ID Produto]])*($H$2:$H335)),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336" s="5">
        <f ca="1">_xlfn.XLOOKUP(Tabela_Movimentacao_Geral[[#This Row],[ID Produto]], Tabela_Produtos[ID_Produto],Tabela_Produtos[Preco_Unitario_Venda])</f>
        <v>18</v>
      </c>
      <c r="J336" s="6">
        <f ca="1">Tabela_Movimentacao_Geral[[#This Row],[Quantidade]] * Tabela_Movimentacao_Geral[[#This Row],[Valor Unitário]]</f>
        <v>810</v>
      </c>
      <c r="K336" t="str">
        <f ca="1">IF(
   $O$7="Desbloqueado",
   CHOOSE(RANDBETWEEN(1,3),"Pago","Pendente","Atrasado"),
   Tabela_Movimentacao_Geral[[#This Row],[Status Financeiro]]
)</f>
        <v>Atrasado</v>
      </c>
      <c r="L336" t="str">
        <f ca="1">IF(
   $O$7="Desbloqueado",
   CHOOSE(RANDBETWEEN(1,3),"Entregue","Em Rota","Aguardando"),
   Tabela_Movimentacao_Geral[[#This Row],[Status Logistico]]
)</f>
        <v>Aguardando</v>
      </c>
      <c r="M33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37" spans="1:13" x14ac:dyDescent="0.3">
      <c r="A337" t="str">
        <f t="shared" si="4"/>
        <v>T0336</v>
      </c>
      <c r="B337" s="1">
        <v>45822</v>
      </c>
      <c r="C337" t="str" cm="1">
        <f t="array" aca="1" ref="C337" ca="1">IF($O$7="Desbloqueado",
  _xlfn.LET(
    _xlpm.saldo_atual, SUM(($C$2:$C336="Entrada")*($F$2:$F336=Tabela_Movimentacao_Geral[[#This Row],[ID Produto]])*($H$2:$H336) - ($C$2:$C336="Saida")*($F$2:$F336=Tabela_Movimentacao_Geral[[#This Row],[ID Produto]])*($H$2:$H336)),
    IF(_xlpm.saldo_atual &gt; 0, IF(RANDBETWEEN(0,10)&gt;3,"Saida","Entrada"), "Entrada")
  ),
  Tabela_Movimentacao_Geral[[#This Row],[Tipo Fluxo]]
)</f>
        <v>Saida</v>
      </c>
      <c r="D3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3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337" t="str">
        <f ca="1">IF(
  $O$7="Desbloqueado",
  "PROD"&amp;TEXT(RANDBETWEEN(1,200),"000"),
  Tabela_Movimentacao_Geral[[#This Row],[ID Produto]]
)</f>
        <v>PROD172</v>
      </c>
      <c r="G337" t="str">
        <f ca="1">_xlfn.XLOOKUP(Tabela_Movimentacao_Geral[[#This Row],[ID Produto]], Tabela_Produtos[ID_Produto],Tabela_Produtos[Descricao_Produto],"Produto não encontrado")</f>
        <v>Grampeador de Tapeceiro</v>
      </c>
      <c r="H337" cm="1">
        <f t="array" aca="1" ref="H337" ca="1">IF(
   $O$7="Desbloqueado",
   _xlfn.LET(
     _xlpm.saldo_atual, SUM(($C$2:$C336="Entrada")*($F$2:$F336=Tabela_Movimentacao_Geral[[#This Row],[ID Produto]])*($H$2:$H336) - ($C$2:$C336="Saida")*($F$2:$F336=Tabela_Movimentacao_Geral[[#This Row],[ID Produto]])*($H$2:$H336)),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337" s="5">
        <f ca="1">_xlfn.XLOOKUP(Tabela_Movimentacao_Geral[[#This Row],[ID Produto]], Tabela_Produtos[ID_Produto],Tabela_Produtos[Preco_Unitario_Venda])</f>
        <v>120</v>
      </c>
      <c r="J337" s="6">
        <f ca="1">Tabela_Movimentacao_Geral[[#This Row],[Quantidade]] * Tabela_Movimentacao_Geral[[#This Row],[Valor Unitário]]</f>
        <v>2400</v>
      </c>
      <c r="K337" t="str">
        <f ca="1">IF(
   $O$7="Desbloqueado",
   CHOOSE(RANDBETWEEN(1,3),"Pago","Pendente","Atrasado"),
   Tabela_Movimentacao_Geral[[#This Row],[Status Financeiro]]
)</f>
        <v>Pendente</v>
      </c>
      <c r="L337" t="str">
        <f ca="1">IF(
   $O$7="Desbloqueado",
   CHOOSE(RANDBETWEEN(1,3),"Entregue","Em Rota","Aguardando"),
   Tabela_Movimentacao_Geral[[#This Row],[Status Logistico]]
)</f>
        <v>Entregue</v>
      </c>
      <c r="M33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38" spans="1:13" x14ac:dyDescent="0.3">
      <c r="A338" t="str">
        <f t="shared" si="4"/>
        <v>T0337</v>
      </c>
      <c r="B338" s="1">
        <v>45823</v>
      </c>
      <c r="C338" t="str" cm="1">
        <f t="array" aca="1" ref="C338" ca="1">IF($O$7="Desbloqueado",
  _xlfn.LET(
    _xlpm.saldo_atual, SUM(($C$2:$C337="Entrada")*($F$2:$F337=Tabela_Movimentacao_Geral[[#This Row],[ID Produto]])*($H$2:$H337) - ($C$2:$C337="Saida")*($F$2:$F337=Tabela_Movimentacao_Geral[[#This Row],[ID Produto]])*($H$2:$H337)),
    IF(_xlpm.saldo_atual &gt; 0, IF(RANDBETWEEN(0,10)&gt;3,"Saida","Entrada"), "Entrada")
  ),
  Tabela_Movimentacao_Geral[[#This Row],[Tipo Fluxo]]
)</f>
        <v>Saida</v>
      </c>
      <c r="D3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3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338" t="str">
        <f ca="1">IF(
  $O$7="Desbloqueado",
  "PROD"&amp;TEXT(RANDBETWEEN(1,200),"000"),
  Tabela_Movimentacao_Geral[[#This Row],[ID Produto]]
)</f>
        <v>PROD168</v>
      </c>
      <c r="G338" t="str">
        <f ca="1">_xlfn.XLOOKUP(Tabela_Movimentacao_Geral[[#This Row],[ID Produto]], Tabela_Produtos[ID_Produto],Tabela_Produtos[Descricao_Produto],"Produto não encontrado")</f>
        <v>Pasta Catalogo 50 Envelopes</v>
      </c>
      <c r="H338" cm="1">
        <f t="array" aca="1" ref="H338" ca="1">IF(
   $O$7="Desbloqueado",
   _xlfn.LET(
     _xlpm.saldo_atual, SUM(($C$2:$C337="Entrada")*($F$2:$F337=Tabela_Movimentacao_Geral[[#This Row],[ID Produto]])*($H$2:$H337) - ($C$2:$C337="Saida")*($F$2:$F337=Tabela_Movimentacao_Geral[[#This Row],[ID Produto]])*($H$2:$H337)),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338" s="5">
        <f ca="1">_xlfn.XLOOKUP(Tabela_Movimentacao_Geral[[#This Row],[ID Produto]], Tabela_Produtos[ID_Produto],Tabela_Produtos[Preco_Unitario_Venda])</f>
        <v>45</v>
      </c>
      <c r="J338" s="6">
        <f ca="1">Tabela_Movimentacao_Geral[[#This Row],[Quantidade]] * Tabela_Movimentacao_Geral[[#This Row],[Valor Unitário]]</f>
        <v>1395</v>
      </c>
      <c r="K338" t="str">
        <f ca="1">IF(
   $O$7="Desbloqueado",
   CHOOSE(RANDBETWEEN(1,3),"Pago","Pendente","Atrasado"),
   Tabela_Movimentacao_Geral[[#This Row],[Status Financeiro]]
)</f>
        <v>Pago</v>
      </c>
      <c r="L338" t="str">
        <f ca="1">IF(
   $O$7="Desbloqueado",
   CHOOSE(RANDBETWEEN(1,3),"Entregue","Em Rota","Aguardando"),
   Tabela_Movimentacao_Geral[[#This Row],[Status Logistico]]
)</f>
        <v>Aguardando</v>
      </c>
      <c r="M3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39" spans="1:13" x14ac:dyDescent="0.3">
      <c r="A339" t="str">
        <f t="shared" si="4"/>
        <v>T0338</v>
      </c>
      <c r="B339" s="1">
        <v>45823</v>
      </c>
      <c r="C339" t="str" cm="1">
        <f t="array" aca="1" ref="C339" ca="1">IF($O$7="Desbloqueado",
  _xlfn.LET(
    _xlpm.saldo_atual, SUM(($C$2:$C338="Entrada")*($F$2:$F338=Tabela_Movimentacao_Geral[[#This Row],[ID Produto]])*($H$2:$H338) - ($C$2:$C338="Saida")*($F$2:$F338=Tabela_Movimentacao_Geral[[#This Row],[ID Produto]])*($H$2:$H338)),
    IF(_xlpm.saldo_atual &gt; 0, IF(RANDBETWEEN(0,10)&gt;3,"Saida","Entrada"), "Entrada")
  ),
  Tabela_Movimentacao_Geral[[#This Row],[Tipo Fluxo]]
)</f>
        <v>Entrada</v>
      </c>
      <c r="D3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3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339" t="str">
        <f ca="1">IF(
  $O$7="Desbloqueado",
  "PROD"&amp;TEXT(RANDBETWEEN(1,200),"000"),
  Tabela_Movimentacao_Geral[[#This Row],[ID Produto]]
)</f>
        <v>PROD050</v>
      </c>
      <c r="G339" t="str">
        <f ca="1">_xlfn.XLOOKUP(Tabela_Movimentacao_Geral[[#This Row],[ID Produto]], Tabela_Produtos[ID_Produto],Tabela_Produtos[Descricao_Produto],"Produto não encontrado")</f>
        <v>Leitor de Codigo de Barras</v>
      </c>
      <c r="H339" cm="1">
        <f t="array" aca="1" ref="H339" ca="1">IF(
   $O$7="Desbloqueado",
   _xlfn.LET(
     _xlpm.saldo_atual, SUM(($C$2:$C338="Entrada")*($F$2:$F338=Tabela_Movimentacao_Geral[[#This Row],[ID Produto]])*($H$2:$H338) - ($C$2:$C338="Saida")*($F$2:$F338=Tabela_Movimentacao_Geral[[#This Row],[ID Produto]])*($H$2:$H338)),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339" s="5">
        <f ca="1">_xlfn.XLOOKUP(Tabela_Movimentacao_Geral[[#This Row],[ID Produto]], Tabela_Produtos[ID_Produto],Tabela_Produtos[Preco_Unitario_Venda])</f>
        <v>230</v>
      </c>
      <c r="J339" s="6">
        <f ca="1">Tabela_Movimentacao_Geral[[#This Row],[Quantidade]] * Tabela_Movimentacao_Geral[[#This Row],[Valor Unitário]]</f>
        <v>10120</v>
      </c>
      <c r="K339" t="str">
        <f ca="1">IF(
   $O$7="Desbloqueado",
   CHOOSE(RANDBETWEEN(1,3),"Pago","Pendente","Atrasado"),
   Tabela_Movimentacao_Geral[[#This Row],[Status Financeiro]]
)</f>
        <v>Atrasado</v>
      </c>
      <c r="L339" t="str">
        <f ca="1">IF(
   $O$7="Desbloqueado",
   CHOOSE(RANDBETWEEN(1,3),"Entregue","Em Rota","Aguardando"),
   Tabela_Movimentacao_Geral[[#This Row],[Status Logistico]]
)</f>
        <v>Em Rota</v>
      </c>
      <c r="M33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45838</v>
      </c>
    </row>
    <row r="340" spans="1:13" x14ac:dyDescent="0.3">
      <c r="A340" t="str">
        <f t="shared" si="4"/>
        <v>T0339</v>
      </c>
      <c r="B340" s="1">
        <v>45823</v>
      </c>
      <c r="C340" t="str" cm="1">
        <f t="array" aca="1" ref="C340" ca="1">IF($O$7="Desbloqueado",
  _xlfn.LET(
    _xlpm.saldo_atual, SUM(($C$2:$C339="Entrada")*($F$2:$F339=Tabela_Movimentacao_Geral[[#This Row],[ID Produto]])*($H$2:$H339) - ($C$2:$C339="Saida")*($F$2:$F339=Tabela_Movimentacao_Geral[[#This Row],[ID Produto]])*($H$2:$H339)),
    IF(_xlpm.saldo_atual &gt; 0, IF(RANDBETWEEN(0,10)&gt;3,"Saida","Entrada"), "Entrada")
  ),
  Tabela_Movimentacao_Geral[[#This Row],[Tipo Fluxo]]
)</f>
        <v>Entrada</v>
      </c>
      <c r="D3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3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340" t="str">
        <f ca="1">IF(
  $O$7="Desbloqueado",
  "PROD"&amp;TEXT(RANDBETWEEN(1,200),"000"),
  Tabela_Movimentacao_Geral[[#This Row],[ID Produto]]
)</f>
        <v>PROD172</v>
      </c>
      <c r="G340" t="str">
        <f ca="1">_xlfn.XLOOKUP(Tabela_Movimentacao_Geral[[#This Row],[ID Produto]], Tabela_Produtos[ID_Produto],Tabela_Produtos[Descricao_Produto],"Produto não encontrado")</f>
        <v>Grampeador de Tapeceiro</v>
      </c>
      <c r="H340" cm="1">
        <f t="array" aca="1" ref="H340" ca="1">IF(
   $O$7="Desbloqueado",
   _xlfn.LET(
     _xlpm.saldo_atual, SUM(($C$2:$C339="Entrada")*($F$2:$F339=Tabela_Movimentacao_Geral[[#This Row],[ID Produto]])*($H$2:$H339) - ($C$2:$C339="Saida")*($F$2:$F339=Tabela_Movimentacao_Geral[[#This Row],[ID Produto]])*($H$2:$H339)),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340" s="5">
        <f ca="1">_xlfn.XLOOKUP(Tabela_Movimentacao_Geral[[#This Row],[ID Produto]], Tabela_Produtos[ID_Produto],Tabela_Produtos[Preco_Unitario_Venda])</f>
        <v>120</v>
      </c>
      <c r="J340" s="6">
        <f ca="1">Tabela_Movimentacao_Geral[[#This Row],[Quantidade]] * Tabela_Movimentacao_Geral[[#This Row],[Valor Unitário]]</f>
        <v>8160</v>
      </c>
      <c r="K340" t="str">
        <f ca="1">IF(
   $O$7="Desbloqueado",
   CHOOSE(RANDBETWEEN(1,3),"Pago","Pendente","Atrasado"),
   Tabela_Movimentacao_Geral[[#This Row],[Status Financeiro]]
)</f>
        <v>Atrasado</v>
      </c>
      <c r="L340" t="str">
        <f ca="1">IF(
   $O$7="Desbloqueado",
   CHOOSE(RANDBETWEEN(1,3),"Entregue","Em Rota","Aguardando"),
   Tabela_Movimentacao_Geral[[#This Row],[Status Logistico]]
)</f>
        <v>Em Rota</v>
      </c>
      <c r="M34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45826</v>
      </c>
    </row>
    <row r="341" spans="1:13" x14ac:dyDescent="0.3">
      <c r="A341" t="str">
        <f t="shared" si="4"/>
        <v>T0340</v>
      </c>
      <c r="B341" s="1">
        <v>45824</v>
      </c>
      <c r="C341" t="str" cm="1">
        <f t="array" aca="1" ref="C341" ca="1">IF($O$7="Desbloqueado",
  _xlfn.LET(
    _xlpm.saldo_atual, SUM(($C$2:$C340="Entrada")*($F$2:$F340=Tabela_Movimentacao_Geral[[#This Row],[ID Produto]])*($H$2:$H340) - ($C$2:$C340="Saida")*($F$2:$F340=Tabela_Movimentacao_Geral[[#This Row],[ID Produto]])*($H$2:$H340)),
    IF(_xlpm.saldo_atual &gt; 0, IF(RANDBETWEEN(0,10)&gt;3,"Saida","Entrada"), "Entrada")
  ),
  Tabela_Movimentacao_Geral[[#This Row],[Tipo Fluxo]]
)</f>
        <v>Entrada</v>
      </c>
      <c r="D3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3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341" t="str">
        <f ca="1">IF(
  $O$7="Desbloqueado",
  "PROD"&amp;TEXT(RANDBETWEEN(1,200),"000"),
  Tabela_Movimentacao_Geral[[#This Row],[ID Produto]]
)</f>
        <v>PROD106</v>
      </c>
      <c r="G341" t="str">
        <f ca="1">_xlfn.XLOOKUP(Tabela_Movimentacao_Geral[[#This Row],[ID Produto]], Tabela_Produtos[ID_Produto],Tabela_Produtos[Descricao_Produto],"Produto não encontrado")</f>
        <v>MacBook Air M2 13p</v>
      </c>
      <c r="H341" cm="1">
        <f t="array" aca="1" ref="H341" ca="1">IF(
   $O$7="Desbloqueado",
   _xlfn.LET(
     _xlpm.saldo_atual, SUM(($C$2:$C340="Entrada")*($F$2:$F340=Tabela_Movimentacao_Geral[[#This Row],[ID Produto]])*($H$2:$H340) - ($C$2:$C340="Saida")*($F$2:$F340=Tabela_Movimentacao_Geral[[#This Row],[ID Produto]])*($H$2:$H340)),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341" s="5">
        <f ca="1">_xlfn.XLOOKUP(Tabela_Movimentacao_Geral[[#This Row],[ID Produto]], Tabela_Produtos[ID_Produto],Tabela_Produtos[Preco_Unitario_Venda])</f>
        <v>9500</v>
      </c>
      <c r="J341" s="6">
        <f ca="1">Tabela_Movimentacao_Geral[[#This Row],[Quantidade]] * Tabela_Movimentacao_Geral[[#This Row],[Valor Unitário]]</f>
        <v>161500</v>
      </c>
      <c r="K341" t="str">
        <f ca="1">IF(
   $O$7="Desbloqueado",
   CHOOSE(RANDBETWEEN(1,3),"Pago","Pendente","Atrasado"),
   Tabela_Movimentacao_Geral[[#This Row],[Status Financeiro]]
)</f>
        <v>Pago</v>
      </c>
      <c r="L341" t="str">
        <f ca="1">IF(
   $O$7="Desbloqueado",
   CHOOSE(RANDBETWEEN(1,3),"Entregue","Em Rota","Aguardando"),
   Tabela_Movimentacao_Geral[[#This Row],[Status Logistico]]
)</f>
        <v>Em Rota</v>
      </c>
      <c r="M34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45826</v>
      </c>
    </row>
    <row r="342" spans="1:13" x14ac:dyDescent="0.3">
      <c r="A342" t="str">
        <f t="shared" si="4"/>
        <v>T0341</v>
      </c>
      <c r="B342" s="1">
        <v>45824</v>
      </c>
      <c r="C342" t="str" cm="1">
        <f t="array" aca="1" ref="C342" ca="1">IF($O$7="Desbloqueado",
  _xlfn.LET(
    _xlpm.saldo_atual, SUM(($C$2:$C341="Entrada")*($F$2:$F341=Tabela_Movimentacao_Geral[[#This Row],[ID Produto]])*($H$2:$H341) - ($C$2:$C341="Saida")*($F$2:$F341=Tabela_Movimentacao_Geral[[#This Row],[ID Produto]])*($H$2:$H341)),
    IF(_xlpm.saldo_atual &gt; 0, IF(RANDBETWEEN(0,10)&gt;3,"Saida","Entrada"), "Entrada")
  ),
  Tabela_Movimentacao_Geral[[#This Row],[Tipo Fluxo]]
)</f>
        <v>Saida</v>
      </c>
      <c r="D3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3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342" t="str">
        <f ca="1">IF(
  $O$7="Desbloqueado",
  "PROD"&amp;TEXT(RANDBETWEEN(1,200),"000"),
  Tabela_Movimentacao_Geral[[#This Row],[ID Produto]]
)</f>
        <v>PROD154</v>
      </c>
      <c r="G342" t="str">
        <f ca="1">_xlfn.XLOOKUP(Tabela_Movimentacao_Geral[[#This Row],[ID Produto]], Tabela_Produtos[ID_Produto],Tabela_Produtos[Descricao_Produto],"Produto não encontrado")</f>
        <v>Estilete Largo Profissional</v>
      </c>
      <c r="H342" cm="1">
        <f t="array" aca="1" ref="H342" ca="1">IF(
   $O$7="Desbloqueado",
   _xlfn.LET(
     _xlpm.saldo_atual, SUM(($C$2:$C341="Entrada")*($F$2:$F341=Tabela_Movimentacao_Geral[[#This Row],[ID Produto]])*($H$2:$H341) - ($C$2:$C341="Saida")*($F$2:$F341=Tabela_Movimentacao_Geral[[#This Row],[ID Produto]])*($H$2:$H341)),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204</v>
      </c>
      <c r="I342" s="5">
        <f ca="1">_xlfn.XLOOKUP(Tabela_Movimentacao_Geral[[#This Row],[ID Produto]], Tabela_Produtos[ID_Produto],Tabela_Produtos[Preco_Unitario_Venda])</f>
        <v>18</v>
      </c>
      <c r="J342" s="6">
        <f ca="1">Tabela_Movimentacao_Geral[[#This Row],[Quantidade]] * Tabela_Movimentacao_Geral[[#This Row],[Valor Unitário]]</f>
        <v>3672</v>
      </c>
      <c r="K342" t="str">
        <f ca="1">IF(
   $O$7="Desbloqueado",
   CHOOSE(RANDBETWEEN(1,3),"Pago","Pendente","Atrasado"),
   Tabela_Movimentacao_Geral[[#This Row],[Status Financeiro]]
)</f>
        <v>Pago</v>
      </c>
      <c r="L342" t="str">
        <f ca="1">IF(
   $O$7="Desbloqueado",
   CHOOSE(RANDBETWEEN(1,3),"Entregue","Em Rota","Aguardando"),
   Tabela_Movimentacao_Geral[[#This Row],[Status Logistico]]
)</f>
        <v>Entregue</v>
      </c>
      <c r="M34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43" spans="1:13" x14ac:dyDescent="0.3">
      <c r="A343" t="str">
        <f t="shared" ref="A343:A406" si="5">"T"&amp;TEXT(ROW(A343)-1,"0000")</f>
        <v>T0342</v>
      </c>
      <c r="B343" s="1">
        <v>45824</v>
      </c>
      <c r="C343" t="str" cm="1">
        <f t="array" aca="1" ref="C343" ca="1">IF($O$7="Desbloqueado",
  _xlfn.LET(
    _xlpm.saldo_atual, SUM(($C$2:$C342="Entrada")*($F$2:$F342=Tabela_Movimentacao_Geral[[#This Row],[ID Produto]])*($H$2:$H342) - ($C$2:$C342="Saida")*($F$2:$F342=Tabela_Movimentacao_Geral[[#This Row],[ID Produto]])*($H$2:$H342)),
    IF(_xlpm.saldo_atual &gt; 0, IF(RANDBETWEEN(0,10)&gt;3,"Saida","Entrada"), "Entrada")
  ),
  Tabela_Movimentacao_Geral[[#This Row],[Tipo Fluxo]]
)</f>
        <v>Entrada</v>
      </c>
      <c r="D3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3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343" t="str">
        <f ca="1">IF(
  $O$7="Desbloqueado",
  "PROD"&amp;TEXT(RANDBETWEEN(1,200),"000"),
  Tabela_Movimentacao_Geral[[#This Row],[ID Produto]]
)</f>
        <v>PROD135</v>
      </c>
      <c r="G343" t="str">
        <f ca="1">_xlfn.XLOOKUP(Tabela_Movimentacao_Geral[[#This Row],[ID Produto]], Tabela_Produtos[ID_Produto],Tabela_Produtos[Descricao_Produto],"Produto não encontrado")</f>
        <v>Ponteira Laser Apresentador</v>
      </c>
      <c r="H343" cm="1">
        <f t="array" aca="1" ref="H343" ca="1">IF(
   $O$7="Desbloqueado",
   _xlfn.LET(
     _xlpm.saldo_atual, SUM(($C$2:$C342="Entrada")*($F$2:$F342=Tabela_Movimentacao_Geral[[#This Row],[ID Produto]])*($H$2:$H342) - ($C$2:$C342="Saida")*($F$2:$F342=Tabela_Movimentacao_Geral[[#This Row],[ID Produto]])*($H$2:$H342)),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343" s="5">
        <f ca="1">_xlfn.XLOOKUP(Tabela_Movimentacao_Geral[[#This Row],[ID Produto]], Tabela_Produtos[ID_Produto],Tabela_Produtos[Preco_Unitario_Venda])</f>
        <v>120</v>
      </c>
      <c r="J343" s="6">
        <f ca="1">Tabela_Movimentacao_Geral[[#This Row],[Quantidade]] * Tabela_Movimentacao_Geral[[#This Row],[Valor Unitário]]</f>
        <v>1560</v>
      </c>
      <c r="K343" t="str">
        <f ca="1">IF(
   $O$7="Desbloqueado",
   CHOOSE(RANDBETWEEN(1,3),"Pago","Pendente","Atrasado"),
   Tabela_Movimentacao_Geral[[#This Row],[Status Financeiro]]
)</f>
        <v>Atrasado</v>
      </c>
      <c r="L343" t="str">
        <f ca="1">IF(
   $O$7="Desbloqueado",
   CHOOSE(RANDBETWEEN(1,3),"Entregue","Em Rota","Aguardando"),
   Tabela_Movimentacao_Geral[[#This Row],[Status Logistico]]
)</f>
        <v>Entregue</v>
      </c>
      <c r="M34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45825</v>
      </c>
    </row>
    <row r="344" spans="1:13" x14ac:dyDescent="0.3">
      <c r="A344" t="str">
        <f t="shared" si="5"/>
        <v>T0343</v>
      </c>
      <c r="B344" s="1">
        <v>45827</v>
      </c>
      <c r="C344" t="str" cm="1">
        <f t="array" aca="1" ref="C344" ca="1">IF($O$7="Desbloqueado",
  _xlfn.LET(
    _xlpm.saldo_atual, SUM(($C$2:$C343="Entrada")*($F$2:$F343=Tabela_Movimentacao_Geral[[#This Row],[ID Produto]])*($H$2:$H343) - ($C$2:$C343="Saida")*($F$2:$F343=Tabela_Movimentacao_Geral[[#This Row],[ID Produto]])*($H$2:$H343)),
    IF(_xlpm.saldo_atual &gt; 0, IF(RANDBETWEEN(0,10)&gt;3,"Saida","Entrada"), "Entrada")
  ),
  Tabela_Movimentacao_Geral[[#This Row],[Tipo Fluxo]]
)</f>
        <v>Saida</v>
      </c>
      <c r="D3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3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344" t="str">
        <f ca="1">IF(
  $O$7="Desbloqueado",
  "PROD"&amp;TEXT(RANDBETWEEN(1,200),"000"),
  Tabela_Movimentacao_Geral[[#This Row],[ID Produto]]
)</f>
        <v>PROD157</v>
      </c>
      <c r="G344" t="str">
        <f ca="1">_xlfn.XLOOKUP(Tabela_Movimentacao_Geral[[#This Row],[ID Produto]], Tabela_Produtos[ID_Produto],Tabela_Produtos[Descricao_Produto],"Produto não encontrado")</f>
        <v>Fita Dupla Face 3M</v>
      </c>
      <c r="H344" cm="1">
        <f t="array" aca="1" ref="H344" ca="1">IF(
   $O$7="Desbloqueado",
   _xlfn.LET(
     _xlpm.saldo_atual, SUM(($C$2:$C343="Entrada")*($F$2:$F343=Tabela_Movimentacao_Geral[[#This Row],[ID Produto]])*($H$2:$H343) - ($C$2:$C343="Saida")*($F$2:$F343=Tabela_Movimentacao_Geral[[#This Row],[ID Produto]])*($H$2:$H343)),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344" s="5">
        <f ca="1">_xlfn.XLOOKUP(Tabela_Movimentacao_Geral[[#This Row],[ID Produto]], Tabela_Produtos[ID_Produto],Tabela_Produtos[Preco_Unitario_Venda])</f>
        <v>28</v>
      </c>
      <c r="J344" s="6">
        <f ca="1">Tabela_Movimentacao_Geral[[#This Row],[Quantidade]] * Tabela_Movimentacao_Geral[[#This Row],[Valor Unitário]]</f>
        <v>616</v>
      </c>
      <c r="K344" t="str">
        <f ca="1">IF(
   $O$7="Desbloqueado",
   CHOOSE(RANDBETWEEN(1,3),"Pago","Pendente","Atrasado"),
   Tabela_Movimentacao_Geral[[#This Row],[Status Financeiro]]
)</f>
        <v>Pendente</v>
      </c>
      <c r="L344" t="str">
        <f ca="1">IF(
   $O$7="Desbloqueado",
   CHOOSE(RANDBETWEEN(1,3),"Entregue","Em Rota","Aguardando"),
   Tabela_Movimentacao_Geral[[#This Row],[Status Logistico]]
)</f>
        <v>Em Rota</v>
      </c>
      <c r="M3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45" spans="1:13" x14ac:dyDescent="0.3">
      <c r="A345" t="str">
        <f t="shared" si="5"/>
        <v>T0344</v>
      </c>
      <c r="B345" s="1">
        <v>45827</v>
      </c>
      <c r="C345" t="str" cm="1">
        <f t="array" aca="1" ref="C345" ca="1">IF($O$7="Desbloqueado",
  _xlfn.LET(
    _xlpm.saldo_atual, SUM(($C$2:$C344="Entrada")*($F$2:$F344=Tabela_Movimentacao_Geral[[#This Row],[ID Produto]])*($H$2:$H344) - ($C$2:$C344="Saida")*($F$2:$F344=Tabela_Movimentacao_Geral[[#This Row],[ID Produto]])*($H$2:$H344)),
    IF(_xlpm.saldo_atual &gt; 0, IF(RANDBETWEEN(0,10)&gt;3,"Saida","Entrada"), "Entrada")
  ),
  Tabela_Movimentacao_Geral[[#This Row],[Tipo Fluxo]]
)</f>
        <v>Saida</v>
      </c>
      <c r="D3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3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345" t="str">
        <f ca="1">IF(
  $O$7="Desbloqueado",
  "PROD"&amp;TEXT(RANDBETWEEN(1,200),"000"),
  Tabela_Movimentacao_Geral[[#This Row],[ID Produto]]
)</f>
        <v>PROD189</v>
      </c>
      <c r="G345" t="str">
        <f ca="1">_xlfn.XLOOKUP(Tabela_Movimentacao_Geral[[#This Row],[ID Produto]], Tabela_Produtos[ID_Produto],Tabela_Produtos[Descricao_Produto],"Produto não encontrado")</f>
        <v>Switch Core Layer 3</v>
      </c>
      <c r="H345" cm="1">
        <f t="array" aca="1" ref="H345" ca="1">IF(
   $O$7="Desbloqueado",
   _xlfn.LET(
     _xlpm.saldo_atual, SUM(($C$2:$C344="Entrada")*($F$2:$F344=Tabela_Movimentacao_Geral[[#This Row],[ID Produto]])*($H$2:$H344) - ($C$2:$C344="Saida")*($F$2:$F344=Tabela_Movimentacao_Geral[[#This Row],[ID Produto]])*($H$2:$H344)),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345" s="5">
        <f ca="1">_xlfn.XLOOKUP(Tabela_Movimentacao_Geral[[#This Row],[ID Produto]], Tabela_Produtos[ID_Produto],Tabela_Produtos[Preco_Unitario_Venda])</f>
        <v>22000</v>
      </c>
      <c r="J345" s="6">
        <f ca="1">Tabela_Movimentacao_Geral[[#This Row],[Quantidade]] * Tabela_Movimentacao_Geral[[#This Row],[Valor Unitário]]</f>
        <v>22000</v>
      </c>
      <c r="K345" t="str">
        <f ca="1">IF(
   $O$7="Desbloqueado",
   CHOOSE(RANDBETWEEN(1,3),"Pago","Pendente","Atrasado"),
   Tabela_Movimentacao_Geral[[#This Row],[Status Financeiro]]
)</f>
        <v>Pago</v>
      </c>
      <c r="L345" t="str">
        <f ca="1">IF(
   $O$7="Desbloqueado",
   CHOOSE(RANDBETWEEN(1,3),"Entregue","Em Rota","Aguardando"),
   Tabela_Movimentacao_Geral[[#This Row],[Status Logistico]]
)</f>
        <v>Em Rota</v>
      </c>
      <c r="M34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46" spans="1:13" x14ac:dyDescent="0.3">
      <c r="A346" t="str">
        <f t="shared" si="5"/>
        <v>T0345</v>
      </c>
      <c r="B346" s="1">
        <v>45827</v>
      </c>
      <c r="C346" t="str" cm="1">
        <f t="array" aca="1" ref="C346" ca="1">IF($O$7="Desbloqueado",
  _xlfn.LET(
    _xlpm.saldo_atual, SUM(($C$2:$C345="Entrada")*($F$2:$F345=Tabela_Movimentacao_Geral[[#This Row],[ID Produto]])*($H$2:$H345) - ($C$2:$C345="Saida")*($F$2:$F345=Tabela_Movimentacao_Geral[[#This Row],[ID Produto]])*($H$2:$H345)),
    IF(_xlpm.saldo_atual &gt; 0, IF(RANDBETWEEN(0,10)&gt;3,"Saida","Entrada"), "Entrada")
  ),
  Tabela_Movimentacao_Geral[[#This Row],[Tipo Fluxo]]
)</f>
        <v>Entrada</v>
      </c>
      <c r="D3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3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346" t="str">
        <f ca="1">IF(
  $O$7="Desbloqueado",
  "PROD"&amp;TEXT(RANDBETWEEN(1,200),"000"),
  Tabela_Movimentacao_Geral[[#This Row],[ID Produto]]
)</f>
        <v>PROD090</v>
      </c>
      <c r="G346" t="str">
        <f ca="1">_xlfn.XLOOKUP(Tabela_Movimentacao_Geral[[#This Row],[ID Produto]], Tabela_Produtos[ID_Produto],Tabela_Produtos[Descricao_Produto],"Produto não encontrado")</f>
        <v>Bandeja Fixa para Rack</v>
      </c>
      <c r="H346" cm="1">
        <f t="array" aca="1" ref="H346" ca="1">IF(
   $O$7="Desbloqueado",
   _xlfn.LET(
     _xlpm.saldo_atual, SUM(($C$2:$C345="Entrada")*($F$2:$F345=Tabela_Movimentacao_Geral[[#This Row],[ID Produto]])*($H$2:$H345) - ($C$2:$C345="Saida")*($F$2:$F345=Tabela_Movimentacao_Geral[[#This Row],[ID Produto]])*($H$2:$H345)),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346" s="5">
        <f ca="1">_xlfn.XLOOKUP(Tabela_Movimentacao_Geral[[#This Row],[ID Produto]], Tabela_Produtos[ID_Produto],Tabela_Produtos[Preco_Unitario_Venda])</f>
        <v>140</v>
      </c>
      <c r="J346" s="6">
        <f ca="1">Tabela_Movimentacao_Geral[[#This Row],[Quantidade]] * Tabela_Movimentacao_Geral[[#This Row],[Valor Unitário]]</f>
        <v>9240</v>
      </c>
      <c r="K346" t="str">
        <f ca="1">IF(
   $O$7="Desbloqueado",
   CHOOSE(RANDBETWEEN(1,3),"Pago","Pendente","Atrasado"),
   Tabela_Movimentacao_Geral[[#This Row],[Status Financeiro]]
)</f>
        <v>Pendente</v>
      </c>
      <c r="L346" t="str">
        <f ca="1">IF(
   $O$7="Desbloqueado",
   CHOOSE(RANDBETWEEN(1,3),"Entregue","Em Rota","Aguardando"),
   Tabela_Movimentacao_Geral[[#This Row],[Status Logistico]]
)</f>
        <v>Aguardando</v>
      </c>
      <c r="M3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45830</v>
      </c>
    </row>
    <row r="347" spans="1:13" x14ac:dyDescent="0.3">
      <c r="A347" t="str">
        <f t="shared" si="5"/>
        <v>T0346</v>
      </c>
      <c r="B347" s="1">
        <v>45827</v>
      </c>
      <c r="C347" t="str" cm="1">
        <f t="array" aca="1" ref="C347" ca="1">IF($O$7="Desbloqueado",
  _xlfn.LET(
    _xlpm.saldo_atual, SUM(($C$2:$C346="Entrada")*($F$2:$F346=Tabela_Movimentacao_Geral[[#This Row],[ID Produto]])*($H$2:$H346) - ($C$2:$C346="Saida")*($F$2:$F346=Tabela_Movimentacao_Geral[[#This Row],[ID Produto]])*($H$2:$H346)),
    IF(_xlpm.saldo_atual &gt; 0, IF(RANDBETWEEN(0,10)&gt;3,"Saida","Entrada"), "Entrada")
  ),
  Tabela_Movimentacao_Geral[[#This Row],[Tipo Fluxo]]
)</f>
        <v>Entrada</v>
      </c>
      <c r="D3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3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347" t="str">
        <f ca="1">IF(
  $O$7="Desbloqueado",
  "PROD"&amp;TEXT(RANDBETWEEN(1,200),"000"),
  Tabela_Movimentacao_Geral[[#This Row],[ID Produto]]
)</f>
        <v>PROD189</v>
      </c>
      <c r="G347" t="str">
        <f ca="1">_xlfn.XLOOKUP(Tabela_Movimentacao_Geral[[#This Row],[ID Produto]], Tabela_Produtos[ID_Produto],Tabela_Produtos[Descricao_Produto],"Produto não encontrado")</f>
        <v>Switch Core Layer 3</v>
      </c>
      <c r="H347" cm="1">
        <f t="array" aca="1" ref="H347" ca="1">IF(
   $O$7="Desbloqueado",
   _xlfn.LET(
     _xlpm.saldo_atual, SUM(($C$2:$C346="Entrada")*($F$2:$F346=Tabela_Movimentacao_Geral[[#This Row],[ID Produto]])*($H$2:$H346) - ($C$2:$C346="Saida")*($F$2:$F346=Tabela_Movimentacao_Geral[[#This Row],[ID Produto]])*($H$2:$H346)),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347" s="5">
        <f ca="1">_xlfn.XLOOKUP(Tabela_Movimentacao_Geral[[#This Row],[ID Produto]], Tabela_Produtos[ID_Produto],Tabela_Produtos[Preco_Unitario_Venda])</f>
        <v>22000</v>
      </c>
      <c r="J347" s="6">
        <f ca="1">Tabela_Movimentacao_Geral[[#This Row],[Quantidade]] * Tabela_Movimentacao_Geral[[#This Row],[Valor Unitário]]</f>
        <v>396000</v>
      </c>
      <c r="K347" t="str">
        <f ca="1">IF(
   $O$7="Desbloqueado",
   CHOOSE(RANDBETWEEN(1,3),"Pago","Pendente","Atrasado"),
   Tabela_Movimentacao_Geral[[#This Row],[Status Financeiro]]
)</f>
        <v>Atrasado</v>
      </c>
      <c r="L347" t="str">
        <f ca="1">IF(
   $O$7="Desbloqueado",
   CHOOSE(RANDBETWEEN(1,3),"Entregue","Em Rota","Aguardando"),
   Tabela_Movimentacao_Geral[[#This Row],[Status Logistico]]
)</f>
        <v>Entregue</v>
      </c>
      <c r="M3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45828</v>
      </c>
    </row>
    <row r="348" spans="1:13" x14ac:dyDescent="0.3">
      <c r="A348" t="str">
        <f t="shared" si="5"/>
        <v>T0347</v>
      </c>
      <c r="B348" s="1">
        <v>45829</v>
      </c>
      <c r="C348" t="str" cm="1">
        <f t="array" aca="1" ref="C348" ca="1">IF($O$7="Desbloqueado",
  _xlfn.LET(
    _xlpm.saldo_atual, SUM(($C$2:$C347="Entrada")*($F$2:$F347=Tabela_Movimentacao_Geral[[#This Row],[ID Produto]])*($H$2:$H347) - ($C$2:$C347="Saida")*($F$2:$F347=Tabela_Movimentacao_Geral[[#This Row],[ID Produto]])*($H$2:$H347)),
    IF(_xlpm.saldo_atual &gt; 0, IF(RANDBETWEEN(0,10)&gt;3,"Saida","Entrada"), "Entrada")
  ),
  Tabela_Movimentacao_Geral[[#This Row],[Tipo Fluxo]]
)</f>
        <v>Entrada</v>
      </c>
      <c r="D3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3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348" t="str">
        <f ca="1">IF(
  $O$7="Desbloqueado",
  "PROD"&amp;TEXT(RANDBETWEEN(1,200),"000"),
  Tabela_Movimentacao_Geral[[#This Row],[ID Produto]]
)</f>
        <v>PROD041</v>
      </c>
      <c r="G348" t="str">
        <f ca="1">_xlfn.XLOOKUP(Tabela_Movimentacao_Geral[[#This Row],[ID Produto]], Tabela_Produtos[ID_Produto],Tabela_Produtos[Descricao_Produto],"Produto não encontrado")</f>
        <v>Cartao de Memoria 128GB</v>
      </c>
      <c r="H348" cm="1">
        <f t="array" aca="1" ref="H348" ca="1">IF(
   $O$7="Desbloqueado",
   _xlfn.LET(
     _xlpm.saldo_atual, SUM(($C$2:$C347="Entrada")*($F$2:$F347=Tabela_Movimentacao_Geral[[#This Row],[ID Produto]])*($H$2:$H347) - ($C$2:$C347="Saida")*($F$2:$F347=Tabela_Movimentacao_Geral[[#This Row],[ID Produto]])*($H$2:$H347)),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111</v>
      </c>
      <c r="I348" s="5">
        <f ca="1">_xlfn.XLOOKUP(Tabela_Movimentacao_Geral[[#This Row],[ID Produto]], Tabela_Produtos[ID_Produto],Tabela_Produtos[Preco_Unitario_Venda])</f>
        <v>140</v>
      </c>
      <c r="J348" s="6">
        <f ca="1">Tabela_Movimentacao_Geral[[#This Row],[Quantidade]] * Tabela_Movimentacao_Geral[[#This Row],[Valor Unitário]]</f>
        <v>15540</v>
      </c>
      <c r="K348" t="str">
        <f ca="1">IF(
   $O$7="Desbloqueado",
   CHOOSE(RANDBETWEEN(1,3),"Pago","Pendente","Atrasado"),
   Tabela_Movimentacao_Geral[[#This Row],[Status Financeiro]]
)</f>
        <v>Pendente</v>
      </c>
      <c r="L348" t="str">
        <f ca="1">IF(
   $O$7="Desbloqueado",
   CHOOSE(RANDBETWEEN(1,3),"Entregue","Em Rota","Aguardando"),
   Tabela_Movimentacao_Geral[[#This Row],[Status Logistico]]
)</f>
        <v>Em Rota</v>
      </c>
      <c r="M34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45831</v>
      </c>
    </row>
    <row r="349" spans="1:13" x14ac:dyDescent="0.3">
      <c r="A349" t="str">
        <f t="shared" si="5"/>
        <v>T0348</v>
      </c>
      <c r="B349" s="1">
        <v>45829</v>
      </c>
      <c r="C349" t="str" cm="1">
        <f t="array" aca="1" ref="C349" ca="1">IF($O$7="Desbloqueado",
  _xlfn.LET(
    _xlpm.saldo_atual, SUM(($C$2:$C348="Entrada")*($F$2:$F348=Tabela_Movimentacao_Geral[[#This Row],[ID Produto]])*($H$2:$H348) - ($C$2:$C348="Saida")*($F$2:$F348=Tabela_Movimentacao_Geral[[#This Row],[ID Produto]])*($H$2:$H348)),
    IF(_xlpm.saldo_atual &gt; 0, IF(RANDBETWEEN(0,10)&gt;3,"Saida","Entrada"), "Entrada")
  ),
  Tabela_Movimentacao_Geral[[#This Row],[Tipo Fluxo]]
)</f>
        <v>Entrada</v>
      </c>
      <c r="D3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3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349" t="str">
        <f ca="1">IF(
  $O$7="Desbloqueado",
  "PROD"&amp;TEXT(RANDBETWEEN(1,200),"000"),
  Tabela_Movimentacao_Geral[[#This Row],[ID Produto]]
)</f>
        <v>PROD044</v>
      </c>
      <c r="G349" t="str">
        <f ca="1">_xlfn.XLOOKUP(Tabela_Movimentacao_Geral[[#This Row],[ID Produto]], Tabela_Produtos[ID_Produto],Tabela_Produtos[Descricao_Produto],"Produto não encontrado")</f>
        <v>Caixa de Som 2.0 USB</v>
      </c>
      <c r="H349" cm="1">
        <f t="array" aca="1" ref="H349" ca="1">IF(
   $O$7="Desbloqueado",
   _xlfn.LET(
     _xlpm.saldo_atual, SUM(($C$2:$C348="Entrada")*($F$2:$F348=Tabela_Movimentacao_Geral[[#This Row],[ID Produto]])*($H$2:$H348) - ($C$2:$C348="Saida")*($F$2:$F348=Tabela_Movimentacao_Geral[[#This Row],[ID Produto]])*($H$2:$H348)),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349" s="5">
        <f ca="1">_xlfn.XLOOKUP(Tabela_Movimentacao_Geral[[#This Row],[ID Produto]], Tabela_Produtos[ID_Produto],Tabela_Produtos[Preco_Unitario_Venda])</f>
        <v>95</v>
      </c>
      <c r="J349" s="6">
        <f ca="1">Tabela_Movimentacao_Geral[[#This Row],[Quantidade]] * Tabela_Movimentacao_Geral[[#This Row],[Valor Unitário]]</f>
        <v>7980</v>
      </c>
      <c r="K349" t="str">
        <f ca="1">IF(
   $O$7="Desbloqueado",
   CHOOSE(RANDBETWEEN(1,3),"Pago","Pendente","Atrasado"),
   Tabela_Movimentacao_Geral[[#This Row],[Status Financeiro]]
)</f>
        <v>Atrasado</v>
      </c>
      <c r="L349" t="str">
        <f ca="1">IF(
   $O$7="Desbloqueado",
   CHOOSE(RANDBETWEEN(1,3),"Entregue","Em Rota","Aguardando"),
   Tabela_Movimentacao_Geral[[#This Row],[Status Logistico]]
)</f>
        <v>Entregue</v>
      </c>
      <c r="M34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45831</v>
      </c>
    </row>
    <row r="350" spans="1:13" x14ac:dyDescent="0.3">
      <c r="A350" t="str">
        <f t="shared" si="5"/>
        <v>T0349</v>
      </c>
      <c r="B350" s="1">
        <v>45829</v>
      </c>
      <c r="C350" t="str" cm="1">
        <f t="array" aca="1" ref="C350" ca="1">IF($O$7="Desbloqueado",
  _xlfn.LET(
    _xlpm.saldo_atual, SUM(($C$2:$C349="Entrada")*($F$2:$F349=Tabela_Movimentacao_Geral[[#This Row],[ID Produto]])*($H$2:$H349) - ($C$2:$C349="Saida")*($F$2:$F349=Tabela_Movimentacao_Geral[[#This Row],[ID Produto]])*($H$2:$H349)),
    IF(_xlpm.saldo_atual &gt; 0, IF(RANDBETWEEN(0,10)&gt;3,"Saida","Entrada"), "Entrada")
  ),
  Tabela_Movimentacao_Geral[[#This Row],[Tipo Fluxo]]
)</f>
        <v>Saida</v>
      </c>
      <c r="D3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3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350" t="str">
        <f ca="1">IF(
  $O$7="Desbloqueado",
  "PROD"&amp;TEXT(RANDBETWEEN(1,200),"000"),
  Tabela_Movimentacao_Geral[[#This Row],[ID Produto]]
)</f>
        <v>PROD025</v>
      </c>
      <c r="G350" t="str">
        <f ca="1">_xlfn.XLOOKUP(Tabela_Movimentacao_Geral[[#This Row],[ID Produto]], Tabela_Produtos[ID_Produto],Tabela_Produtos[Descricao_Produto],"Produto não encontrado")</f>
        <v>Software de Backup Cloud</v>
      </c>
      <c r="H350" cm="1">
        <f t="array" aca="1" ref="H350" ca="1">IF(
   $O$7="Desbloqueado",
   _xlfn.LET(
     _xlpm.saldo_atual, SUM(($C$2:$C349="Entrada")*($F$2:$F349=Tabela_Movimentacao_Geral[[#This Row],[ID Produto]])*($H$2:$H349) - ($C$2:$C349="Saida")*($F$2:$F349=Tabela_Movimentacao_Geral[[#This Row],[ID Produto]])*($H$2:$H349)),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81</v>
      </c>
      <c r="I350" s="5">
        <f ca="1">_xlfn.XLOOKUP(Tabela_Movimentacao_Geral[[#This Row],[ID Produto]], Tabela_Produtos[ID_Produto],Tabela_Produtos[Preco_Unitario_Venda])</f>
        <v>85</v>
      </c>
      <c r="J350" s="6">
        <f ca="1">Tabela_Movimentacao_Geral[[#This Row],[Quantidade]] * Tabela_Movimentacao_Geral[[#This Row],[Valor Unitário]]</f>
        <v>6885</v>
      </c>
      <c r="K350" t="str">
        <f ca="1">IF(
   $O$7="Desbloqueado",
   CHOOSE(RANDBETWEEN(1,3),"Pago","Pendente","Atrasado"),
   Tabela_Movimentacao_Geral[[#This Row],[Status Financeiro]]
)</f>
        <v>Atrasado</v>
      </c>
      <c r="L350" t="str">
        <f ca="1">IF(
   $O$7="Desbloqueado",
   CHOOSE(RANDBETWEEN(1,3),"Entregue","Em Rota","Aguardando"),
   Tabela_Movimentacao_Geral[[#This Row],[Status Logistico]]
)</f>
        <v>Aguardando</v>
      </c>
      <c r="M35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51" spans="1:13" x14ac:dyDescent="0.3">
      <c r="A351" t="str">
        <f t="shared" si="5"/>
        <v>T0350</v>
      </c>
      <c r="B351" s="1">
        <v>45829</v>
      </c>
      <c r="C351" t="str" cm="1">
        <f t="array" aca="1" ref="C351" ca="1">IF($O$7="Desbloqueado",
  _xlfn.LET(
    _xlpm.saldo_atual, SUM(($C$2:$C350="Entrada")*($F$2:$F350=Tabela_Movimentacao_Geral[[#This Row],[ID Produto]])*($H$2:$H350) - ($C$2:$C350="Saida")*($F$2:$F350=Tabela_Movimentacao_Geral[[#This Row],[ID Produto]])*($H$2:$H350)),
    IF(_xlpm.saldo_atual &gt; 0, IF(RANDBETWEEN(0,10)&gt;3,"Saida","Entrada"), "Entrada")
  ),
  Tabela_Movimentacao_Geral[[#This Row],[Tipo Fluxo]]
)</f>
        <v>Entrada</v>
      </c>
      <c r="D3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3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351" t="str">
        <f ca="1">IF(
  $O$7="Desbloqueado",
  "PROD"&amp;TEXT(RANDBETWEEN(1,200),"000"),
  Tabela_Movimentacao_Geral[[#This Row],[ID Produto]]
)</f>
        <v>PROD086</v>
      </c>
      <c r="G351" t="str">
        <f ca="1">_xlfn.XLOOKUP(Tabela_Movimentacao_Geral[[#This Row],[ID Produto]], Tabela_Produtos[ID_Produto],Tabela_Produtos[Descricao_Produto],"Produto não encontrado")</f>
        <v>Transceiver SFP+ 10G</v>
      </c>
      <c r="H351" cm="1">
        <f t="array" aca="1" ref="H351" ca="1">IF(
   $O$7="Desbloqueado",
   _xlfn.LET(
     _xlpm.saldo_atual, SUM(($C$2:$C350="Entrada")*($F$2:$F350=Tabela_Movimentacao_Geral[[#This Row],[ID Produto]])*($H$2:$H350) - ($C$2:$C350="Saida")*($F$2:$F350=Tabela_Movimentacao_Geral[[#This Row],[ID Produto]])*($H$2:$H350)),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55</v>
      </c>
      <c r="I351" s="5">
        <f ca="1">_xlfn.XLOOKUP(Tabela_Movimentacao_Geral[[#This Row],[ID Produto]], Tabela_Produtos[ID_Produto],Tabela_Produtos[Preco_Unitario_Venda])</f>
        <v>320</v>
      </c>
      <c r="J351" s="6">
        <f ca="1">Tabela_Movimentacao_Geral[[#This Row],[Quantidade]] * Tabela_Movimentacao_Geral[[#This Row],[Valor Unitário]]</f>
        <v>17600</v>
      </c>
      <c r="K351" t="str">
        <f ca="1">IF(
   $O$7="Desbloqueado",
   CHOOSE(RANDBETWEEN(1,3),"Pago","Pendente","Atrasado"),
   Tabela_Movimentacao_Geral[[#This Row],[Status Financeiro]]
)</f>
        <v>Pendente</v>
      </c>
      <c r="L351" t="str">
        <f ca="1">IF(
   $O$7="Desbloqueado",
   CHOOSE(RANDBETWEEN(1,3),"Entregue","Em Rota","Aguardando"),
   Tabela_Movimentacao_Geral[[#This Row],[Status Logistico]]
)</f>
        <v>Entregue</v>
      </c>
      <c r="M35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45834</v>
      </c>
    </row>
    <row r="352" spans="1:13" x14ac:dyDescent="0.3">
      <c r="A352" t="str">
        <f t="shared" si="5"/>
        <v>T0351</v>
      </c>
      <c r="B352" s="1">
        <v>45830</v>
      </c>
      <c r="C352" t="str" cm="1">
        <f t="array" aca="1" ref="C352" ca="1">IF($O$7="Desbloqueado",
  _xlfn.LET(
    _xlpm.saldo_atual, SUM(($C$2:$C351="Entrada")*($F$2:$F351=Tabela_Movimentacao_Geral[[#This Row],[ID Produto]])*($H$2:$H351) - ($C$2:$C351="Saida")*($F$2:$F351=Tabela_Movimentacao_Geral[[#This Row],[ID Produto]])*($H$2:$H351)),
    IF(_xlpm.saldo_atual &gt; 0, IF(RANDBETWEEN(0,10)&gt;3,"Saida","Entrada"), "Entrada")
  ),
  Tabela_Movimentacao_Geral[[#This Row],[Tipo Fluxo]]
)</f>
        <v>Entrada</v>
      </c>
      <c r="D3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3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352" t="str">
        <f ca="1">IF(
  $O$7="Desbloqueado",
  "PROD"&amp;TEXT(RANDBETWEEN(1,200),"000"),
  Tabela_Movimentacao_Geral[[#This Row],[ID Produto]]
)</f>
        <v>PROD056</v>
      </c>
      <c r="G352" t="str">
        <f ca="1">_xlfn.XLOOKUP(Tabela_Movimentacao_Geral[[#This Row],[ID Produto]], Tabela_Produtos[ID_Produto],Tabela_Produtos[Descricao_Produto],"Produto não encontrado")</f>
        <v>Envelope Pardo A4 50un</v>
      </c>
      <c r="H352" cm="1">
        <f t="array" aca="1" ref="H352" ca="1">IF(
   $O$7="Desbloqueado",
   _xlfn.LET(
     _xlpm.saldo_atual, SUM(($C$2:$C351="Entrada")*($F$2:$F351=Tabela_Movimentacao_Geral[[#This Row],[ID Produto]])*($H$2:$H351) - ($C$2:$C351="Saida")*($F$2:$F351=Tabela_Movimentacao_Geral[[#This Row],[ID Produto]])*($H$2:$H351)),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67</v>
      </c>
      <c r="I352" s="5">
        <f ca="1">_xlfn.XLOOKUP(Tabela_Movimentacao_Geral[[#This Row],[ID Produto]], Tabela_Produtos[ID_Produto],Tabela_Produtos[Preco_Unitario_Venda])</f>
        <v>25</v>
      </c>
      <c r="J352" s="6">
        <f ca="1">Tabela_Movimentacao_Geral[[#This Row],[Quantidade]] * Tabela_Movimentacao_Geral[[#This Row],[Valor Unitário]]</f>
        <v>1675</v>
      </c>
      <c r="K352" t="str">
        <f ca="1">IF(
   $O$7="Desbloqueado",
   CHOOSE(RANDBETWEEN(1,3),"Pago","Pendente","Atrasado"),
   Tabela_Movimentacao_Geral[[#This Row],[Status Financeiro]]
)</f>
        <v>Pago</v>
      </c>
      <c r="L352" t="str">
        <f ca="1">IF(
   $O$7="Desbloqueado",
   CHOOSE(RANDBETWEEN(1,3),"Entregue","Em Rota","Aguardando"),
   Tabela_Movimentacao_Geral[[#This Row],[Status Logistico]]
)</f>
        <v>Entregue</v>
      </c>
      <c r="M35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45831</v>
      </c>
    </row>
    <row r="353" spans="1:13" x14ac:dyDescent="0.3">
      <c r="A353" t="str">
        <f t="shared" si="5"/>
        <v>T0352</v>
      </c>
      <c r="B353" s="1">
        <v>45830</v>
      </c>
      <c r="C353" t="str" cm="1">
        <f t="array" aca="1" ref="C353" ca="1">IF($O$7="Desbloqueado",
  _xlfn.LET(
    _xlpm.saldo_atual, SUM(($C$2:$C352="Entrada")*($F$2:$F352=Tabela_Movimentacao_Geral[[#This Row],[ID Produto]])*($H$2:$H352) - ($C$2:$C352="Saida")*($F$2:$F352=Tabela_Movimentacao_Geral[[#This Row],[ID Produto]])*($H$2:$H352)),
    IF(_xlpm.saldo_atual &gt; 0, IF(RANDBETWEEN(0,10)&gt;3,"Saida","Entrada"), "Entrada")
  ),
  Tabela_Movimentacao_Geral[[#This Row],[Tipo Fluxo]]
)</f>
        <v>Entrada</v>
      </c>
      <c r="D3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3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353" t="str">
        <f ca="1">IF(
  $O$7="Desbloqueado",
  "PROD"&amp;TEXT(RANDBETWEEN(1,200),"000"),
  Tabela_Movimentacao_Geral[[#This Row],[ID Produto]]
)</f>
        <v>PROD066</v>
      </c>
      <c r="G353" t="str">
        <f ca="1">_xlfn.XLOOKUP(Tabela_Movimentacao_Geral[[#This Row],[ID Produto]], Tabela_Produtos[ID_Produto],Tabela_Produtos[Descricao_Produto],"Produto não encontrado")</f>
        <v>Calculadora Cientifica</v>
      </c>
      <c r="H353" cm="1">
        <f t="array" aca="1" ref="H353" ca="1">IF(
   $O$7="Desbloqueado",
   _xlfn.LET(
     _xlpm.saldo_atual, SUM(($C$2:$C352="Entrada")*($F$2:$F352=Tabela_Movimentacao_Geral[[#This Row],[ID Produto]])*($H$2:$H352) - ($C$2:$C352="Saida")*($F$2:$F352=Tabela_Movimentacao_Geral[[#This Row],[ID Produto]])*($H$2:$H352)),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56</v>
      </c>
      <c r="I353" s="5">
        <f ca="1">_xlfn.XLOOKUP(Tabela_Movimentacao_Geral[[#This Row],[ID Produto]], Tabela_Produtos[ID_Produto],Tabela_Produtos[Preco_Unitario_Venda])</f>
        <v>95</v>
      </c>
      <c r="J353" s="6">
        <f ca="1">Tabela_Movimentacao_Geral[[#This Row],[Quantidade]] * Tabela_Movimentacao_Geral[[#This Row],[Valor Unitário]]</f>
        <v>5320</v>
      </c>
      <c r="K353" t="str">
        <f ca="1">IF(
   $O$7="Desbloqueado",
   CHOOSE(RANDBETWEEN(1,3),"Pago","Pendente","Atrasado"),
   Tabela_Movimentacao_Geral[[#This Row],[Status Financeiro]]
)</f>
        <v>Pendente</v>
      </c>
      <c r="L353" t="str">
        <f ca="1">IF(
   $O$7="Desbloqueado",
   CHOOSE(RANDBETWEEN(1,3),"Entregue","Em Rota","Aguardando"),
   Tabela_Movimentacao_Geral[[#This Row],[Status Logistico]]
)</f>
        <v>Aguardando</v>
      </c>
      <c r="M35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45831</v>
      </c>
    </row>
    <row r="354" spans="1:13" x14ac:dyDescent="0.3">
      <c r="A354" t="str">
        <f t="shared" si="5"/>
        <v>T0353</v>
      </c>
      <c r="B354" s="1">
        <v>45831</v>
      </c>
      <c r="C354" t="str" cm="1">
        <f t="array" aca="1" ref="C354" ca="1">IF($O$7="Desbloqueado",
  _xlfn.LET(
    _xlpm.saldo_atual, SUM(($C$2:$C353="Entrada")*($F$2:$F353=Tabela_Movimentacao_Geral[[#This Row],[ID Produto]])*($H$2:$H353) - ($C$2:$C353="Saida")*($F$2:$F353=Tabela_Movimentacao_Geral[[#This Row],[ID Produto]])*($H$2:$H353)),
    IF(_xlpm.saldo_atual &gt; 0, IF(RANDBETWEEN(0,10)&gt;3,"Saida","Entrada"), "Entrada")
  ),
  Tabela_Movimentacao_Geral[[#This Row],[Tipo Fluxo]]
)</f>
        <v>Saida</v>
      </c>
      <c r="D3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3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354" t="str">
        <f ca="1">IF(
  $O$7="Desbloqueado",
  "PROD"&amp;TEXT(RANDBETWEEN(1,200),"000"),
  Tabela_Movimentacao_Geral[[#This Row],[ID Produto]]
)</f>
        <v>PROD001</v>
      </c>
      <c r="G354" t="str">
        <f ca="1">_xlfn.XLOOKUP(Tabela_Movimentacao_Geral[[#This Row],[ID Produto]], Tabela_Produtos[ID_Produto],Tabela_Produtos[Descricao_Produto],"Produto não encontrado")</f>
        <v>Monitor 24 pol Full HD</v>
      </c>
      <c r="H354" cm="1">
        <f t="array" aca="1" ref="H354" ca="1">IF(
   $O$7="Desbloqueado",
   _xlfn.LET(
     _xlpm.saldo_atual, SUM(($C$2:$C353="Entrada")*($F$2:$F353=Tabela_Movimentacao_Geral[[#This Row],[ID Produto]])*($H$2:$H353) - ($C$2:$C353="Saida")*($F$2:$F353=Tabela_Movimentacao_Geral[[#This Row],[ID Produto]])*($H$2:$H353)),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354" s="5">
        <f ca="1">_xlfn.XLOOKUP(Tabela_Movimentacao_Geral[[#This Row],[ID Produto]], Tabela_Produtos[ID_Produto],Tabela_Produtos[Preco_Unitario_Venda])</f>
        <v>850</v>
      </c>
      <c r="J354" s="6">
        <f ca="1">Tabela_Movimentacao_Geral[[#This Row],[Quantidade]] * Tabela_Movimentacao_Geral[[#This Row],[Valor Unitário]]</f>
        <v>15300</v>
      </c>
      <c r="K354" t="str">
        <f ca="1">IF(
   $O$7="Desbloqueado",
   CHOOSE(RANDBETWEEN(1,3),"Pago","Pendente","Atrasado"),
   Tabela_Movimentacao_Geral[[#This Row],[Status Financeiro]]
)</f>
        <v>Pago</v>
      </c>
      <c r="L354" t="str">
        <f ca="1">IF(
   $O$7="Desbloqueado",
   CHOOSE(RANDBETWEEN(1,3),"Entregue","Em Rota","Aguardando"),
   Tabela_Movimentacao_Geral[[#This Row],[Status Logistico]]
)</f>
        <v>Aguardando</v>
      </c>
      <c r="M35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55" spans="1:13" x14ac:dyDescent="0.3">
      <c r="A355" t="str">
        <f t="shared" si="5"/>
        <v>T0354</v>
      </c>
      <c r="B355" s="1">
        <v>45831</v>
      </c>
      <c r="C355" t="str" cm="1">
        <f t="array" aca="1" ref="C355" ca="1">IF($O$7="Desbloqueado",
  _xlfn.LET(
    _xlpm.saldo_atual, SUM(($C$2:$C354="Entrada")*($F$2:$F354=Tabela_Movimentacao_Geral[[#This Row],[ID Produto]])*($H$2:$H354) - ($C$2:$C354="Saida")*($F$2:$F354=Tabela_Movimentacao_Geral[[#This Row],[ID Produto]])*($H$2:$H354)),
    IF(_xlpm.saldo_atual &gt; 0, IF(RANDBETWEEN(0,10)&gt;3,"Saida","Entrada"), "Entrada")
  ),
  Tabela_Movimentacao_Geral[[#This Row],[Tipo Fluxo]]
)</f>
        <v>Saida</v>
      </c>
      <c r="D3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3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355" t="str">
        <f ca="1">IF(
  $O$7="Desbloqueado",
  "PROD"&amp;TEXT(RANDBETWEEN(1,200),"000"),
  Tabela_Movimentacao_Geral[[#This Row],[ID Produto]]
)</f>
        <v>PROD177</v>
      </c>
      <c r="G355" t="str">
        <f ca="1">_xlfn.XLOOKUP(Tabela_Movimentacao_Geral[[#This Row],[ID Produto]], Tabela_Produtos[ID_Produto],Tabela_Produtos[Descricao_Produto],"Produto não encontrado")</f>
        <v>Estante de Aco 6 Prateiras</v>
      </c>
      <c r="H355" cm="1">
        <f t="array" aca="1" ref="H355" ca="1">IF(
   $O$7="Desbloqueado",
   _xlfn.LET(
     _xlpm.saldo_atual, SUM(($C$2:$C354="Entrada")*($F$2:$F354=Tabela_Movimentacao_Geral[[#This Row],[ID Produto]])*($H$2:$H354) - ($C$2:$C354="Saida")*($F$2:$F354=Tabela_Movimentacao_Geral[[#This Row],[ID Produto]])*($H$2:$H354)),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355" s="5">
        <f ca="1">_xlfn.XLOOKUP(Tabela_Movimentacao_Geral[[#This Row],[ID Produto]], Tabela_Produtos[ID_Produto],Tabela_Produtos[Preco_Unitario_Venda])</f>
        <v>280</v>
      </c>
      <c r="J355" s="6">
        <f ca="1">Tabela_Movimentacao_Geral[[#This Row],[Quantidade]] * Tabela_Movimentacao_Geral[[#This Row],[Valor Unitário]]</f>
        <v>280</v>
      </c>
      <c r="K355" t="str">
        <f ca="1">IF(
   $O$7="Desbloqueado",
   CHOOSE(RANDBETWEEN(1,3),"Pago","Pendente","Atrasado"),
   Tabela_Movimentacao_Geral[[#This Row],[Status Financeiro]]
)</f>
        <v>Pago</v>
      </c>
      <c r="L355" t="str">
        <f ca="1">IF(
   $O$7="Desbloqueado",
   CHOOSE(RANDBETWEEN(1,3),"Entregue","Em Rota","Aguardando"),
   Tabela_Movimentacao_Geral[[#This Row],[Status Logistico]]
)</f>
        <v>Em Rota</v>
      </c>
      <c r="M35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56" spans="1:13" x14ac:dyDescent="0.3">
      <c r="A356" t="str">
        <f t="shared" si="5"/>
        <v>T0355</v>
      </c>
      <c r="B356" s="1">
        <v>45831</v>
      </c>
      <c r="C356" t="str" cm="1">
        <f t="array" aca="1" ref="C356" ca="1">IF($O$7="Desbloqueado",
  _xlfn.LET(
    _xlpm.saldo_atual, SUM(($C$2:$C355="Entrada")*($F$2:$F355=Tabela_Movimentacao_Geral[[#This Row],[ID Produto]])*($H$2:$H355) - ($C$2:$C355="Saida")*($F$2:$F355=Tabela_Movimentacao_Geral[[#This Row],[ID Produto]])*($H$2:$H355)),
    IF(_xlpm.saldo_atual &gt; 0, IF(RANDBETWEEN(0,10)&gt;3,"Saida","Entrada"), "Entrada")
  ),
  Tabela_Movimentacao_Geral[[#This Row],[Tipo Fluxo]]
)</f>
        <v>Saida</v>
      </c>
      <c r="D3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3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356" t="str">
        <f ca="1">IF(
  $O$7="Desbloqueado",
  "PROD"&amp;TEXT(RANDBETWEEN(1,200),"000"),
  Tabela_Movimentacao_Geral[[#This Row],[ID Produto]]
)</f>
        <v>PROD042</v>
      </c>
      <c r="G356" t="str">
        <f ca="1">_xlfn.XLOOKUP(Tabela_Movimentacao_Geral[[#This Row],[ID Produto]], Tabela_Produtos[ID_Produto],Tabela_Produtos[Descricao_Produto],"Produto não encontrado")</f>
        <v>Docking Station Universal</v>
      </c>
      <c r="H356" cm="1">
        <f t="array" aca="1" ref="H356" ca="1">IF(
   $O$7="Desbloqueado",
   _xlfn.LET(
     _xlpm.saldo_atual, SUM(($C$2:$C355="Entrada")*($F$2:$F355=Tabela_Movimentacao_Geral[[#This Row],[ID Produto]])*($H$2:$H355) - ($C$2:$C355="Saida")*($F$2:$F355=Tabela_Movimentacao_Geral[[#This Row],[ID Produto]])*($H$2:$H355)),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356" s="5">
        <f ca="1">_xlfn.XLOOKUP(Tabela_Movimentacao_Geral[[#This Row],[ID Produto]], Tabela_Produtos[ID_Produto],Tabela_Produtos[Preco_Unitario_Venda])</f>
        <v>890</v>
      </c>
      <c r="J356" s="6">
        <f ca="1">Tabela_Movimentacao_Geral[[#This Row],[Quantidade]] * Tabela_Movimentacao_Geral[[#This Row],[Valor Unitário]]</f>
        <v>64080</v>
      </c>
      <c r="K356" t="str">
        <f ca="1">IF(
   $O$7="Desbloqueado",
   CHOOSE(RANDBETWEEN(1,3),"Pago","Pendente","Atrasado"),
   Tabela_Movimentacao_Geral[[#This Row],[Status Financeiro]]
)</f>
        <v>Atrasado</v>
      </c>
      <c r="L356" t="str">
        <f ca="1">IF(
   $O$7="Desbloqueado",
   CHOOSE(RANDBETWEEN(1,3),"Entregue","Em Rota","Aguardando"),
   Tabela_Movimentacao_Geral[[#This Row],[Status Logistico]]
)</f>
        <v>Em Rota</v>
      </c>
      <c r="M35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57" spans="1:13" x14ac:dyDescent="0.3">
      <c r="A357" t="str">
        <f t="shared" si="5"/>
        <v>T0356</v>
      </c>
      <c r="B357" s="1">
        <v>45831</v>
      </c>
      <c r="C357" t="str" cm="1">
        <f t="array" aca="1" ref="C357" ca="1">IF($O$7="Desbloqueado",
  _xlfn.LET(
    _xlpm.saldo_atual, SUM(($C$2:$C356="Entrada")*($F$2:$F356=Tabela_Movimentacao_Geral[[#This Row],[ID Produto]])*($H$2:$H356) - ($C$2:$C356="Saida")*($F$2:$F356=Tabela_Movimentacao_Geral[[#This Row],[ID Produto]])*($H$2:$H356)),
    IF(_xlpm.saldo_atual &gt; 0, IF(RANDBETWEEN(0,10)&gt;3,"Saida","Entrada"), "Entrada")
  ),
  Tabela_Movimentacao_Geral[[#This Row],[Tipo Fluxo]]
)</f>
        <v>Entrada</v>
      </c>
      <c r="D3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57" t="str">
        <f ca="1">IF(
  $O$7="Desbloqueado",
  "PROD"&amp;TEXT(RANDBETWEEN(1,200),"000"),
  Tabela_Movimentacao_Geral[[#This Row],[ID Produto]]
)</f>
        <v>PROD156</v>
      </c>
      <c r="G357" t="str">
        <f ca="1">_xlfn.XLOOKUP(Tabela_Movimentacao_Geral[[#This Row],[ID Produto]], Tabela_Produtos[ID_Produto],Tabela_Produtos[Descricao_Produto],"Produto não encontrado")</f>
        <v>Perfurador 2 Furos 40fls</v>
      </c>
      <c r="H357" cm="1">
        <f t="array" aca="1" ref="H357" ca="1">IF(
   $O$7="Desbloqueado",
   _xlfn.LET(
     _xlpm.saldo_atual, SUM(($C$2:$C356="Entrada")*($F$2:$F356=Tabela_Movimentacao_Geral[[#This Row],[ID Produto]])*($H$2:$H356) - ($C$2:$C356="Saida")*($F$2:$F356=Tabela_Movimentacao_Geral[[#This Row],[ID Produto]])*($H$2:$H356)),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</v>
      </c>
      <c r="I357" s="5">
        <f ca="1">_xlfn.XLOOKUP(Tabela_Movimentacao_Geral[[#This Row],[ID Produto]], Tabela_Produtos[ID_Produto],Tabela_Produtos[Preco_Unitario_Venda])</f>
        <v>85</v>
      </c>
      <c r="J357" s="6">
        <f ca="1">Tabela_Movimentacao_Geral[[#This Row],[Quantidade]] * Tabela_Movimentacao_Geral[[#This Row],[Valor Unitário]]</f>
        <v>4250</v>
      </c>
      <c r="K357" t="str">
        <f ca="1">IF(
   $O$7="Desbloqueado",
   CHOOSE(RANDBETWEEN(1,3),"Pago","Pendente","Atrasado"),
   Tabela_Movimentacao_Geral[[#This Row],[Status Financeiro]]
)</f>
        <v>Pago</v>
      </c>
      <c r="L357" t="str">
        <f ca="1">IF(
   $O$7="Desbloqueado",
   CHOOSE(RANDBETWEEN(1,3),"Entregue","Em Rota","Aguardando"),
   Tabela_Movimentacao_Geral[[#This Row],[Status Logistico]]
)</f>
        <v>Aguardando</v>
      </c>
      <c r="M35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45834</v>
      </c>
    </row>
    <row r="358" spans="1:13" x14ac:dyDescent="0.3">
      <c r="A358" t="str">
        <f t="shared" si="5"/>
        <v>T0357</v>
      </c>
      <c r="B358" s="1">
        <v>45832</v>
      </c>
      <c r="C358" t="str" cm="1">
        <f t="array" aca="1" ref="C358" ca="1">IF($O$7="Desbloqueado",
  _xlfn.LET(
    _xlpm.saldo_atual, SUM(($C$2:$C357="Entrada")*($F$2:$F357=Tabela_Movimentacao_Geral[[#This Row],[ID Produto]])*($H$2:$H357) - ($C$2:$C357="Saida")*($F$2:$F357=Tabela_Movimentacao_Geral[[#This Row],[ID Produto]])*($H$2:$H357)),
    IF(_xlpm.saldo_atual &gt; 0, IF(RANDBETWEEN(0,10)&gt;3,"Saida","Entrada"), "Entrada")
  ),
  Tabela_Movimentacao_Geral[[#This Row],[Tipo Fluxo]]
)</f>
        <v>Saida</v>
      </c>
      <c r="D3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3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358" t="str">
        <f ca="1">IF(
  $O$7="Desbloqueado",
  "PROD"&amp;TEXT(RANDBETWEEN(1,200),"000"),
  Tabela_Movimentacao_Geral[[#This Row],[ID Produto]]
)</f>
        <v>PROD017</v>
      </c>
      <c r="G358" t="str">
        <f ca="1">_xlfn.XLOOKUP(Tabela_Movimentacao_Geral[[#This Row],[ID Produto]], Tabela_Produtos[ID_Produto],Tabela_Produtos[Descricao_Produto],"Produto não encontrado")</f>
        <v>Adaptador USB-C para HDMI</v>
      </c>
      <c r="H358" cm="1">
        <f t="array" aca="1" ref="H358" ca="1">IF(
   $O$7="Desbloqueado",
   _xlfn.LET(
     _xlpm.saldo_atual, SUM(($C$2:$C357="Entrada")*($F$2:$F357=Tabela_Movimentacao_Geral[[#This Row],[ID Produto]])*($H$2:$H357) - ($C$2:$C357="Saida")*($F$2:$F357=Tabela_Movimentacao_Geral[[#This Row],[ID Produto]])*($H$2:$H357)),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358" s="5">
        <f ca="1">_xlfn.XLOOKUP(Tabela_Movimentacao_Geral[[#This Row],[ID Produto]], Tabela_Produtos[ID_Produto],Tabela_Produtos[Preco_Unitario_Venda])</f>
        <v>130</v>
      </c>
      <c r="J358" s="6">
        <f ca="1">Tabela_Movimentacao_Geral[[#This Row],[Quantidade]] * Tabela_Movimentacao_Geral[[#This Row],[Valor Unitário]]</f>
        <v>910</v>
      </c>
      <c r="K358" t="str">
        <f ca="1">IF(
   $O$7="Desbloqueado",
   CHOOSE(RANDBETWEEN(1,3),"Pago","Pendente","Atrasado"),
   Tabela_Movimentacao_Geral[[#This Row],[Status Financeiro]]
)</f>
        <v>Atrasado</v>
      </c>
      <c r="L358" t="str">
        <f ca="1">IF(
   $O$7="Desbloqueado",
   CHOOSE(RANDBETWEEN(1,3),"Entregue","Em Rota","Aguardando"),
   Tabela_Movimentacao_Geral[[#This Row],[Status Logistico]]
)</f>
        <v>Aguardando</v>
      </c>
      <c r="M35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59" spans="1:13" x14ac:dyDescent="0.3">
      <c r="A359" t="str">
        <f t="shared" si="5"/>
        <v>T0358</v>
      </c>
      <c r="B359" s="1">
        <v>45832</v>
      </c>
      <c r="C359" t="str" cm="1">
        <f t="array" aca="1" ref="C359" ca="1">IF($O$7="Desbloqueado",
  _xlfn.LET(
    _xlpm.saldo_atual, SUM(($C$2:$C358="Entrada")*($F$2:$F358=Tabela_Movimentacao_Geral[[#This Row],[ID Produto]])*($H$2:$H358) - ($C$2:$C358="Saida")*($F$2:$F358=Tabela_Movimentacao_Geral[[#This Row],[ID Produto]])*($H$2:$H358)),
    IF(_xlpm.saldo_atual &gt; 0, IF(RANDBETWEEN(0,10)&gt;3,"Saida","Entrada"), "Entrada")
  ),
  Tabela_Movimentacao_Geral[[#This Row],[Tipo Fluxo]]
)</f>
        <v>Entrada</v>
      </c>
      <c r="D3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3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359" t="str">
        <f ca="1">IF(
  $O$7="Desbloqueado",
  "PROD"&amp;TEXT(RANDBETWEEN(1,200),"000"),
  Tabela_Movimentacao_Geral[[#This Row],[ID Produto]]
)</f>
        <v>PROD198</v>
      </c>
      <c r="G359" t="str">
        <f ca="1">_xlfn.XLOOKUP(Tabela_Movimentacao_Geral[[#This Row],[ID Produto]], Tabela_Produtos[ID_Produto],Tabela_Produtos[Descricao_Produto],"Produto não encontrado")</f>
        <v>Ferro de Solda 40W</v>
      </c>
      <c r="H359" cm="1">
        <f t="array" aca="1" ref="H359" ca="1">IF(
   $O$7="Desbloqueado",
   _xlfn.LET(
     _xlpm.saldo_atual, SUM(($C$2:$C358="Entrada")*($F$2:$F358=Tabela_Movimentacao_Geral[[#This Row],[ID Produto]])*($H$2:$H358) - ($C$2:$C358="Saida")*($F$2:$F358=Tabela_Movimentacao_Geral[[#This Row],[ID Produto]])*($H$2:$H358)),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359" s="5">
        <f ca="1">_xlfn.XLOOKUP(Tabela_Movimentacao_Geral[[#This Row],[ID Produto]], Tabela_Produtos[ID_Produto],Tabela_Produtos[Preco_Unitario_Venda])</f>
        <v>55</v>
      </c>
      <c r="J359" s="6">
        <f ca="1">Tabela_Movimentacao_Geral[[#This Row],[Quantidade]] * Tabela_Movimentacao_Geral[[#This Row],[Valor Unitário]]</f>
        <v>4015</v>
      </c>
      <c r="K359" t="str">
        <f ca="1">IF(
   $O$7="Desbloqueado",
   CHOOSE(RANDBETWEEN(1,3),"Pago","Pendente","Atrasado"),
   Tabela_Movimentacao_Geral[[#This Row],[Status Financeiro]]
)</f>
        <v>Atrasado</v>
      </c>
      <c r="L359" t="str">
        <f ca="1">IF(
   $O$7="Desbloqueado",
   CHOOSE(RANDBETWEEN(1,3),"Entregue","Em Rota","Aguardando"),
   Tabela_Movimentacao_Geral[[#This Row],[Status Logistico]]
)</f>
        <v>Em Rota</v>
      </c>
      <c r="M35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45838</v>
      </c>
    </row>
    <row r="360" spans="1:13" x14ac:dyDescent="0.3">
      <c r="A360" t="str">
        <f t="shared" si="5"/>
        <v>T0359</v>
      </c>
      <c r="B360" s="1">
        <v>45833</v>
      </c>
      <c r="C360" t="str" cm="1">
        <f t="array" aca="1" ref="C360" ca="1">IF($O$7="Desbloqueado",
  _xlfn.LET(
    _xlpm.saldo_atual, SUM(($C$2:$C359="Entrada")*($F$2:$F359=Tabela_Movimentacao_Geral[[#This Row],[ID Produto]])*($H$2:$H359) - ($C$2:$C359="Saida")*($F$2:$F359=Tabela_Movimentacao_Geral[[#This Row],[ID Produto]])*($H$2:$H359)),
    IF(_xlpm.saldo_atual &gt; 0, IF(RANDBETWEEN(0,10)&gt;3,"Saida","Entrada"), "Entrada")
  ),
  Tabela_Movimentacao_Geral[[#This Row],[Tipo Fluxo]]
)</f>
        <v>Saida</v>
      </c>
      <c r="D3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3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360" t="str">
        <f ca="1">IF(
  $O$7="Desbloqueado",
  "PROD"&amp;TEXT(RANDBETWEEN(1,200),"000"),
  Tabela_Movimentacao_Geral[[#This Row],[ID Produto]]
)</f>
        <v>PROD075</v>
      </c>
      <c r="G360" t="str">
        <f ca="1">_xlfn.XLOOKUP(Tabela_Movimentacao_Geral[[#This Row],[ID Produto]], Tabela_Produtos[ID_Produto],Tabela_Produtos[Descricao_Produto],"Produto não encontrado")</f>
        <v>Suporte de Pasta Acrilico</v>
      </c>
      <c r="H360" cm="1">
        <f t="array" aca="1" ref="H360" ca="1">IF(
   $O$7="Desbloqueado",
   _xlfn.LET(
     _xlpm.saldo_atual, SUM(($C$2:$C359="Entrada")*($F$2:$F359=Tabela_Movimentacao_Geral[[#This Row],[ID Produto]])*($H$2:$H359) - ($C$2:$C359="Saida")*($F$2:$F359=Tabela_Movimentacao_Geral[[#This Row],[ID Produto]])*($H$2:$H359)),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360" s="5">
        <f ca="1">_xlfn.XLOOKUP(Tabela_Movimentacao_Geral[[#This Row],[ID Produto]], Tabela_Produtos[ID_Produto],Tabela_Produtos[Preco_Unitario_Venda])</f>
        <v>38</v>
      </c>
      <c r="J360" s="6">
        <f ca="1">Tabela_Movimentacao_Geral[[#This Row],[Quantidade]] * Tabela_Movimentacao_Geral[[#This Row],[Valor Unitário]]</f>
        <v>38</v>
      </c>
      <c r="K360" t="str">
        <f ca="1">IF(
   $O$7="Desbloqueado",
   CHOOSE(RANDBETWEEN(1,3),"Pago","Pendente","Atrasado"),
   Tabela_Movimentacao_Geral[[#This Row],[Status Financeiro]]
)</f>
        <v>Atrasado</v>
      </c>
      <c r="L360" t="str">
        <f ca="1">IF(
   $O$7="Desbloqueado",
   CHOOSE(RANDBETWEEN(1,3),"Entregue","Em Rota","Aguardando"),
   Tabela_Movimentacao_Geral[[#This Row],[Status Logistico]]
)</f>
        <v>Aguardando</v>
      </c>
      <c r="M36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61" spans="1:13" x14ac:dyDescent="0.3">
      <c r="A361" t="str">
        <f t="shared" si="5"/>
        <v>T0360</v>
      </c>
      <c r="B361" s="1">
        <v>45833</v>
      </c>
      <c r="C361" t="str" cm="1">
        <f t="array" aca="1" ref="C361" ca="1">IF($O$7="Desbloqueado",
  _xlfn.LET(
    _xlpm.saldo_atual, SUM(($C$2:$C360="Entrada")*($F$2:$F360=Tabela_Movimentacao_Geral[[#This Row],[ID Produto]])*($H$2:$H360) - ($C$2:$C360="Saida")*($F$2:$F360=Tabela_Movimentacao_Geral[[#This Row],[ID Produto]])*($H$2:$H360)),
    IF(_xlpm.saldo_atual &gt; 0, IF(RANDBETWEEN(0,10)&gt;3,"Saida","Entrada"), "Entrada")
  ),
  Tabela_Movimentacao_Geral[[#This Row],[Tipo Fluxo]]
)</f>
        <v>Entrada</v>
      </c>
      <c r="D3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61" t="str">
        <f ca="1">IF(
  $O$7="Desbloqueado",
  "PROD"&amp;TEXT(RANDBETWEEN(1,200),"000"),
  Tabela_Movimentacao_Geral[[#This Row],[ID Produto]]
)</f>
        <v>PROD184</v>
      </c>
      <c r="G361" t="str">
        <f ca="1">_xlfn.XLOOKUP(Tabela_Movimentacao_Geral[[#This Row],[ID Produto]], Tabela_Produtos[ID_Produto],Tabela_Produtos[Descricao_Produto],"Produto não encontrado")</f>
        <v>Cabo Serial Console</v>
      </c>
      <c r="H361" cm="1">
        <f t="array" aca="1" ref="H361" ca="1">IF(
   $O$7="Desbloqueado",
   _xlfn.LET(
     _xlpm.saldo_atual, SUM(($C$2:$C360="Entrada")*($F$2:$F360=Tabela_Movimentacao_Geral[[#This Row],[ID Produto]])*($H$2:$H360) - ($C$2:$C360="Saida")*($F$2:$F360=Tabela_Movimentacao_Geral[[#This Row],[ID Produto]])*($H$2:$H360)),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103</v>
      </c>
      <c r="I361" s="5">
        <f ca="1">_xlfn.XLOOKUP(Tabela_Movimentacao_Geral[[#This Row],[ID Produto]], Tabela_Produtos[ID_Produto],Tabela_Produtos[Preco_Unitario_Venda])</f>
        <v>45</v>
      </c>
      <c r="J361" s="6">
        <f ca="1">Tabela_Movimentacao_Geral[[#This Row],[Quantidade]] * Tabela_Movimentacao_Geral[[#This Row],[Valor Unitário]]</f>
        <v>4635</v>
      </c>
      <c r="K361" t="str">
        <f ca="1">IF(
   $O$7="Desbloqueado",
   CHOOSE(RANDBETWEEN(1,3),"Pago","Pendente","Atrasado"),
   Tabela_Movimentacao_Geral[[#This Row],[Status Financeiro]]
)</f>
        <v>Atrasado</v>
      </c>
      <c r="L361" t="str">
        <f ca="1">IF(
   $O$7="Desbloqueado",
   CHOOSE(RANDBETWEEN(1,3),"Entregue","Em Rota","Aguardando"),
   Tabela_Movimentacao_Geral[[#This Row],[Status Logistico]]
)</f>
        <v>Entregue</v>
      </c>
      <c r="M36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45836</v>
      </c>
    </row>
    <row r="362" spans="1:13" x14ac:dyDescent="0.3">
      <c r="A362" t="str">
        <f t="shared" si="5"/>
        <v>T0361</v>
      </c>
      <c r="B362" s="1">
        <v>45834</v>
      </c>
      <c r="C362" t="str" cm="1">
        <f t="array" aca="1" ref="C362" ca="1">IF($O$7="Desbloqueado",
  _xlfn.LET(
    _xlpm.saldo_atual, SUM(($C$2:$C361="Entrada")*($F$2:$F361=Tabela_Movimentacao_Geral[[#This Row],[ID Produto]])*($H$2:$H361) - ($C$2:$C361="Saida")*($F$2:$F361=Tabela_Movimentacao_Geral[[#This Row],[ID Produto]])*($H$2:$H361)),
    IF(_xlpm.saldo_atual &gt; 0, IF(RANDBETWEEN(0,10)&gt;3,"Saida","Entrada"), "Entrada")
  ),
  Tabela_Movimentacao_Geral[[#This Row],[Tipo Fluxo]]
)</f>
        <v>Saida</v>
      </c>
      <c r="D3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3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362" t="str">
        <f ca="1">IF(
  $O$7="Desbloqueado",
  "PROD"&amp;TEXT(RANDBETWEEN(1,200),"000"),
  Tabela_Movimentacao_Geral[[#This Row],[ID Produto]]
)</f>
        <v>PROD117</v>
      </c>
      <c r="G362" t="str">
        <f ca="1">_xlfn.XLOOKUP(Tabela_Movimentacao_Geral[[#This Row],[ID Produto]], Tabela_Produtos[ID_Produto],Tabela_Produtos[Descricao_Produto],"Produto não encontrado")</f>
        <v>Adaptador Wi-Fi USB 5G</v>
      </c>
      <c r="H362" cm="1">
        <f t="array" aca="1" ref="H362" ca="1">IF(
   $O$7="Desbloqueado",
   _xlfn.LET(
     _xlpm.saldo_atual, SUM(($C$2:$C361="Entrada")*($F$2:$F361=Tabela_Movimentacao_Geral[[#This Row],[ID Produto]])*($H$2:$H361) - ($C$2:$C361="Saida")*($F$2:$F361=Tabela_Movimentacao_Geral[[#This Row],[ID Produto]])*($H$2:$H361)),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362" s="5">
        <f ca="1">_xlfn.XLOOKUP(Tabela_Movimentacao_Geral[[#This Row],[ID Produto]], Tabela_Produtos[ID_Produto],Tabela_Produtos[Preco_Unitario_Venda])</f>
        <v>95</v>
      </c>
      <c r="J362" s="6">
        <f ca="1">Tabela_Movimentacao_Geral[[#This Row],[Quantidade]] * Tabela_Movimentacao_Geral[[#This Row],[Valor Unitário]]</f>
        <v>6460</v>
      </c>
      <c r="K362" t="str">
        <f ca="1">IF(
   $O$7="Desbloqueado",
   CHOOSE(RANDBETWEEN(1,3),"Pago","Pendente","Atrasado"),
   Tabela_Movimentacao_Geral[[#This Row],[Status Financeiro]]
)</f>
        <v>Pago</v>
      </c>
      <c r="L362" t="str">
        <f ca="1">IF(
   $O$7="Desbloqueado",
   CHOOSE(RANDBETWEEN(1,3),"Entregue","Em Rota","Aguardando"),
   Tabela_Movimentacao_Geral[[#This Row],[Status Logistico]]
)</f>
        <v>Em Rota</v>
      </c>
      <c r="M36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63" spans="1:13" x14ac:dyDescent="0.3">
      <c r="A363" t="str">
        <f t="shared" si="5"/>
        <v>T0362</v>
      </c>
      <c r="B363" s="1">
        <v>45834</v>
      </c>
      <c r="C363" t="str" cm="1">
        <f t="array" aca="1" ref="C363" ca="1">IF($O$7="Desbloqueado",
  _xlfn.LET(
    _xlpm.saldo_atual, SUM(($C$2:$C362="Entrada")*($F$2:$F362=Tabela_Movimentacao_Geral[[#This Row],[ID Produto]])*($H$2:$H362) - ($C$2:$C362="Saida")*($F$2:$F362=Tabela_Movimentacao_Geral[[#This Row],[ID Produto]])*($H$2:$H362)),
    IF(_xlpm.saldo_atual &gt; 0, IF(RANDBETWEEN(0,10)&gt;3,"Saida","Entrada"), "Entrada")
  ),
  Tabela_Movimentacao_Geral[[#This Row],[Tipo Fluxo]]
)</f>
        <v>Saida</v>
      </c>
      <c r="D3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3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363" t="str">
        <f ca="1">IF(
  $O$7="Desbloqueado",
  "PROD"&amp;TEXT(RANDBETWEEN(1,200),"000"),
  Tabela_Movimentacao_Geral[[#This Row],[ID Produto]]
)</f>
        <v>PROD054</v>
      </c>
      <c r="G363" t="str">
        <f ca="1">_xlfn.XLOOKUP(Tabela_Movimentacao_Geral[[#This Row],[ID Produto]], Tabela_Produtos[ID_Produto],Tabela_Produtos[Descricao_Produto],"Produto não encontrado")</f>
        <v>Caixa de Grampos 26/6</v>
      </c>
      <c r="H363" cm="1">
        <f t="array" aca="1" ref="H363" ca="1">IF(
   $O$7="Desbloqueado",
   _xlfn.LET(
     _xlpm.saldo_atual, SUM(($C$2:$C362="Entrada")*($F$2:$F362=Tabela_Movimentacao_Geral[[#This Row],[ID Produto]])*($H$2:$H362) - ($C$2:$C362="Saida")*($F$2:$F362=Tabela_Movimentacao_Geral[[#This Row],[ID Produto]])*($H$2:$H362)),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363" s="5">
        <f ca="1">_xlfn.XLOOKUP(Tabela_Movimentacao_Geral[[#This Row],[ID Produto]], Tabela_Produtos[ID_Produto],Tabela_Produtos[Preco_Unitario_Venda])</f>
        <v>8</v>
      </c>
      <c r="J363" s="6">
        <f ca="1">Tabela_Movimentacao_Geral[[#This Row],[Quantidade]] * Tabela_Movimentacao_Geral[[#This Row],[Valor Unitário]]</f>
        <v>8</v>
      </c>
      <c r="K363" t="str">
        <f ca="1">IF(
   $O$7="Desbloqueado",
   CHOOSE(RANDBETWEEN(1,3),"Pago","Pendente","Atrasado"),
   Tabela_Movimentacao_Geral[[#This Row],[Status Financeiro]]
)</f>
        <v>Atrasado</v>
      </c>
      <c r="L363" t="str">
        <f ca="1">IF(
   $O$7="Desbloqueado",
   CHOOSE(RANDBETWEEN(1,3),"Entregue","Em Rota","Aguardando"),
   Tabela_Movimentacao_Geral[[#This Row],[Status Logistico]]
)</f>
        <v>Entregue</v>
      </c>
      <c r="M36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64" spans="1:13" x14ac:dyDescent="0.3">
      <c r="A364" t="str">
        <f t="shared" si="5"/>
        <v>T0363</v>
      </c>
      <c r="B364" s="1">
        <v>45835</v>
      </c>
      <c r="C364" t="str" cm="1">
        <f t="array" aca="1" ref="C364" ca="1">IF($O$7="Desbloqueado",
  _xlfn.LET(
    _xlpm.saldo_atual, SUM(($C$2:$C363="Entrada")*($F$2:$F363=Tabela_Movimentacao_Geral[[#This Row],[ID Produto]])*($H$2:$H363) - ($C$2:$C363="Saida")*($F$2:$F363=Tabela_Movimentacao_Geral[[#This Row],[ID Produto]])*($H$2:$H363)),
    IF(_xlpm.saldo_atual &gt; 0, IF(RANDBETWEEN(0,10)&gt;3,"Saida","Entrada"), "Entrada")
  ),
  Tabela_Movimentacao_Geral[[#This Row],[Tipo Fluxo]]
)</f>
        <v>Saida</v>
      </c>
      <c r="D3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64" t="str">
        <f ca="1">IF(
  $O$7="Desbloqueado",
  "PROD"&amp;TEXT(RANDBETWEEN(1,200),"000"),
  Tabela_Movimentacao_Geral[[#This Row],[ID Produto]]
)</f>
        <v>PROD080</v>
      </c>
      <c r="G364" t="str">
        <f ca="1">_xlfn.XLOOKUP(Tabela_Movimentacao_Geral[[#This Row],[ID Produto]], Tabela_Produtos[ID_Produto],Tabela_Produtos[Descricao_Produto],"Produto não encontrado")</f>
        <v>Quadro de Avisos Cortica</v>
      </c>
      <c r="H364" cm="1">
        <f t="array" aca="1" ref="H364" ca="1">IF(
   $O$7="Desbloqueado",
   _xlfn.LET(
     _xlpm.saldo_atual, SUM(($C$2:$C363="Entrada")*($F$2:$F363=Tabela_Movimentacao_Geral[[#This Row],[ID Produto]])*($H$2:$H363) - ($C$2:$C363="Saida")*($F$2:$F363=Tabela_Movimentacao_Geral[[#This Row],[ID Produto]])*($H$2:$H363)),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364" s="5">
        <f ca="1">_xlfn.XLOOKUP(Tabela_Movimentacao_Geral[[#This Row],[ID Produto]], Tabela_Produtos[ID_Produto],Tabela_Produtos[Preco_Unitario_Venda])</f>
        <v>110</v>
      </c>
      <c r="J364" s="6">
        <f ca="1">Tabela_Movimentacao_Geral[[#This Row],[Quantidade]] * Tabela_Movimentacao_Geral[[#This Row],[Valor Unitário]]</f>
        <v>7260</v>
      </c>
      <c r="K364" t="str">
        <f ca="1">IF(
   $O$7="Desbloqueado",
   CHOOSE(RANDBETWEEN(1,3),"Pago","Pendente","Atrasado"),
   Tabela_Movimentacao_Geral[[#This Row],[Status Financeiro]]
)</f>
        <v>Pago</v>
      </c>
      <c r="L364" t="str">
        <f ca="1">IF(
   $O$7="Desbloqueado",
   CHOOSE(RANDBETWEEN(1,3),"Entregue","Em Rota","Aguardando"),
   Tabela_Movimentacao_Geral[[#This Row],[Status Logistico]]
)</f>
        <v>Em Rota</v>
      </c>
      <c r="M36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65" spans="1:13" x14ac:dyDescent="0.3">
      <c r="A365" t="str">
        <f t="shared" si="5"/>
        <v>T0364</v>
      </c>
      <c r="B365" s="1">
        <v>45835</v>
      </c>
      <c r="C365" t="str" cm="1">
        <f t="array" aca="1" ref="C365" ca="1">IF($O$7="Desbloqueado",
  _xlfn.LET(
    _xlpm.saldo_atual, SUM(($C$2:$C364="Entrada")*($F$2:$F364=Tabela_Movimentacao_Geral[[#This Row],[ID Produto]])*($H$2:$H364) - ($C$2:$C364="Saida")*($F$2:$F364=Tabela_Movimentacao_Geral[[#This Row],[ID Produto]])*($H$2:$H364)),
    IF(_xlpm.saldo_atual &gt; 0, IF(RANDBETWEEN(0,10)&gt;3,"Saida","Entrada"), "Entrada")
  ),
  Tabela_Movimentacao_Geral[[#This Row],[Tipo Fluxo]]
)</f>
        <v>Entrada</v>
      </c>
      <c r="D3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3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365" t="str">
        <f ca="1">IF(
  $O$7="Desbloqueado",
  "PROD"&amp;TEXT(RANDBETWEEN(1,200),"000"),
  Tabela_Movimentacao_Geral[[#This Row],[ID Produto]]
)</f>
        <v>PROD178</v>
      </c>
      <c r="G365" t="str">
        <f ca="1">_xlfn.XLOOKUP(Tabela_Movimentacao_Geral[[#This Row],[ID Produto]], Tabela_Produtos[ID_Produto],Tabela_Produtos[Descricao_Produto],"Produto não encontrado")</f>
        <v>Armario de Aco 2 Portas</v>
      </c>
      <c r="H365" cm="1">
        <f t="array" aca="1" ref="H365" ca="1">IF(
   $O$7="Desbloqueado",
   _xlfn.LET(
     _xlpm.saldo_atual, SUM(($C$2:$C364="Entrada")*($F$2:$F364=Tabela_Movimentacao_Geral[[#This Row],[ID Produto]])*($H$2:$H364) - ($C$2:$C364="Saida")*($F$2:$F364=Tabela_Movimentacao_Geral[[#This Row],[ID Produto]])*($H$2:$H364)),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365" s="5">
        <f ca="1">_xlfn.XLOOKUP(Tabela_Movimentacao_Geral[[#This Row],[ID Produto]], Tabela_Produtos[ID_Produto],Tabela_Produtos[Preco_Unitario_Venda])</f>
        <v>850</v>
      </c>
      <c r="J365" s="6">
        <f ca="1">Tabela_Movimentacao_Geral[[#This Row],[Quantidade]] * Tabela_Movimentacao_Geral[[#This Row],[Valor Unitário]]</f>
        <v>8500</v>
      </c>
      <c r="K365" t="str">
        <f ca="1">IF(
   $O$7="Desbloqueado",
   CHOOSE(RANDBETWEEN(1,3),"Pago","Pendente","Atrasado"),
   Tabela_Movimentacao_Geral[[#This Row],[Status Financeiro]]
)</f>
        <v>Atrasado</v>
      </c>
      <c r="L365" t="str">
        <f ca="1">IF(
   $O$7="Desbloqueado",
   CHOOSE(RANDBETWEEN(1,3),"Entregue","Em Rota","Aguardando"),
   Tabela_Movimentacao_Geral[[#This Row],[Status Logistico]]
)</f>
        <v>Entregue</v>
      </c>
      <c r="M36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45845</v>
      </c>
    </row>
    <row r="366" spans="1:13" x14ac:dyDescent="0.3">
      <c r="A366" t="str">
        <f t="shared" si="5"/>
        <v>T0365</v>
      </c>
      <c r="B366" s="1">
        <v>45836</v>
      </c>
      <c r="C366" t="str" cm="1">
        <f t="array" aca="1" ref="C366" ca="1">IF($O$7="Desbloqueado",
  _xlfn.LET(
    _xlpm.saldo_atual, SUM(($C$2:$C365="Entrada")*($F$2:$F365=Tabela_Movimentacao_Geral[[#This Row],[ID Produto]])*($H$2:$H365) - ($C$2:$C365="Saida")*($F$2:$F365=Tabela_Movimentacao_Geral[[#This Row],[ID Produto]])*($H$2:$H365)),
    IF(_xlpm.saldo_atual &gt; 0, IF(RANDBETWEEN(0,10)&gt;3,"Saida","Entrada"), "Entrada")
  ),
  Tabela_Movimentacao_Geral[[#This Row],[Tipo Fluxo]]
)</f>
        <v>Entrada</v>
      </c>
      <c r="D3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3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366" t="str">
        <f ca="1">IF(
  $O$7="Desbloqueado",
  "PROD"&amp;TEXT(RANDBETWEEN(1,200),"000"),
  Tabela_Movimentacao_Geral[[#This Row],[ID Produto]]
)</f>
        <v>PROD106</v>
      </c>
      <c r="G366" t="str">
        <f ca="1">_xlfn.XLOOKUP(Tabela_Movimentacao_Geral[[#This Row],[ID Produto]], Tabela_Produtos[ID_Produto],Tabela_Produtos[Descricao_Produto],"Produto não encontrado")</f>
        <v>MacBook Air M2 13p</v>
      </c>
      <c r="H366" cm="1">
        <f t="array" aca="1" ref="H366" ca="1">IF(
   $O$7="Desbloqueado",
   _xlfn.LET(
     _xlpm.saldo_atual, SUM(($C$2:$C365="Entrada")*($F$2:$F365=Tabela_Movimentacao_Geral[[#This Row],[ID Produto]])*($H$2:$H365) - ($C$2:$C365="Saida")*($F$2:$F365=Tabela_Movimentacao_Geral[[#This Row],[ID Produto]])*($H$2:$H365)),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366" s="5">
        <f ca="1">_xlfn.XLOOKUP(Tabela_Movimentacao_Geral[[#This Row],[ID Produto]], Tabela_Produtos[ID_Produto],Tabela_Produtos[Preco_Unitario_Venda])</f>
        <v>9500</v>
      </c>
      <c r="J366" s="6">
        <f ca="1">Tabela_Movimentacao_Geral[[#This Row],[Quantidade]] * Tabela_Movimentacao_Geral[[#This Row],[Valor Unitário]]</f>
        <v>190000</v>
      </c>
      <c r="K366" t="str">
        <f ca="1">IF(
   $O$7="Desbloqueado",
   CHOOSE(RANDBETWEEN(1,3),"Pago","Pendente","Atrasado"),
   Tabela_Movimentacao_Geral[[#This Row],[Status Financeiro]]
)</f>
        <v>Pago</v>
      </c>
      <c r="L366" t="str">
        <f ca="1">IF(
   $O$7="Desbloqueado",
   CHOOSE(RANDBETWEEN(1,3),"Entregue","Em Rota","Aguardando"),
   Tabela_Movimentacao_Geral[[#This Row],[Status Logistico]]
)</f>
        <v>Entregue</v>
      </c>
      <c r="M36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45837</v>
      </c>
    </row>
    <row r="367" spans="1:13" x14ac:dyDescent="0.3">
      <c r="A367" t="str">
        <f t="shared" si="5"/>
        <v>T0366</v>
      </c>
      <c r="B367" s="1">
        <v>45836</v>
      </c>
      <c r="C367" t="str" cm="1">
        <f t="array" aca="1" ref="C367" ca="1">IF($O$7="Desbloqueado",
  _xlfn.LET(
    _xlpm.saldo_atual, SUM(($C$2:$C366="Entrada")*($F$2:$F366=Tabela_Movimentacao_Geral[[#This Row],[ID Produto]])*($H$2:$H366) - ($C$2:$C366="Saida")*($F$2:$F366=Tabela_Movimentacao_Geral[[#This Row],[ID Produto]])*($H$2:$H366)),
    IF(_xlpm.saldo_atual &gt; 0, IF(RANDBETWEEN(0,10)&gt;3,"Saida","Entrada"), "Entrada")
  ),
  Tabela_Movimentacao_Geral[[#This Row],[Tipo Fluxo]]
)</f>
        <v>Saida</v>
      </c>
      <c r="D3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3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367" t="str">
        <f ca="1">IF(
  $O$7="Desbloqueado",
  "PROD"&amp;TEXT(RANDBETWEEN(1,200),"000"),
  Tabela_Movimentacao_Geral[[#This Row],[ID Produto]]
)</f>
        <v>PROD066</v>
      </c>
      <c r="G367" t="str">
        <f ca="1">_xlfn.XLOOKUP(Tabela_Movimentacao_Geral[[#This Row],[ID Produto]], Tabela_Produtos[ID_Produto],Tabela_Produtos[Descricao_Produto],"Produto não encontrado")</f>
        <v>Calculadora Cientifica</v>
      </c>
      <c r="H367" cm="1">
        <f t="array" aca="1" ref="H367" ca="1">IF(
   $O$7="Desbloqueado",
   _xlfn.LET(
     _xlpm.saldo_atual, SUM(($C$2:$C366="Entrada")*($F$2:$F366=Tabela_Movimentacao_Geral[[#This Row],[ID Produto]])*($H$2:$H366) - ($C$2:$C366="Saida")*($F$2:$F366=Tabela_Movimentacao_Geral[[#This Row],[ID Produto]])*($H$2:$H366)),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</v>
      </c>
      <c r="I367" s="5">
        <f ca="1">_xlfn.XLOOKUP(Tabela_Movimentacao_Geral[[#This Row],[ID Produto]], Tabela_Produtos[ID_Produto],Tabela_Produtos[Preco_Unitario_Venda])</f>
        <v>95</v>
      </c>
      <c r="J367" s="6">
        <f ca="1">Tabela_Movimentacao_Geral[[#This Row],[Quantidade]] * Tabela_Movimentacao_Geral[[#This Row],[Valor Unitário]]</f>
        <v>3230</v>
      </c>
      <c r="K367" t="str">
        <f ca="1">IF(
   $O$7="Desbloqueado",
   CHOOSE(RANDBETWEEN(1,3),"Pago","Pendente","Atrasado"),
   Tabela_Movimentacao_Geral[[#This Row],[Status Financeiro]]
)</f>
        <v>Atrasado</v>
      </c>
      <c r="L367" t="str">
        <f ca="1">IF(
   $O$7="Desbloqueado",
   CHOOSE(RANDBETWEEN(1,3),"Entregue","Em Rota","Aguardando"),
   Tabela_Movimentacao_Geral[[#This Row],[Status Logistico]]
)</f>
        <v>Em Rota</v>
      </c>
      <c r="M36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68" spans="1:13" x14ac:dyDescent="0.3">
      <c r="A368" t="str">
        <f t="shared" si="5"/>
        <v>T0367</v>
      </c>
      <c r="B368" s="1">
        <v>45837</v>
      </c>
      <c r="C368" t="str" cm="1">
        <f t="array" aca="1" ref="C368" ca="1">IF($O$7="Desbloqueado",
  _xlfn.LET(
    _xlpm.saldo_atual, SUM(($C$2:$C367="Entrada")*($F$2:$F367=Tabela_Movimentacao_Geral[[#This Row],[ID Produto]])*($H$2:$H367) - ($C$2:$C367="Saida")*($F$2:$F367=Tabela_Movimentacao_Geral[[#This Row],[ID Produto]])*($H$2:$H367)),
    IF(_xlpm.saldo_atual &gt; 0, IF(RANDBETWEEN(0,10)&gt;3,"Saida","Entrada"), "Entrada")
  ),
  Tabela_Movimentacao_Geral[[#This Row],[Tipo Fluxo]]
)</f>
        <v>Saida</v>
      </c>
      <c r="D3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68" t="str">
        <f ca="1">IF(
  $O$7="Desbloqueado",
  "PROD"&amp;TEXT(RANDBETWEEN(1,200),"000"),
  Tabela_Movimentacao_Geral[[#This Row],[ID Produto]]
)</f>
        <v>PROD074</v>
      </c>
      <c r="G368" t="str">
        <f ca="1">_xlfn.XLOOKUP(Tabela_Movimentacao_Geral[[#This Row],[ID Produto]], Tabela_Produtos[ID_Produto],Tabela_Produtos[Descricao_Produto],"Produto não encontrado")</f>
        <v>Cordao para Cracha</v>
      </c>
      <c r="H368" cm="1">
        <f t="array" aca="1" ref="H368" ca="1">IF(
   $O$7="Desbloqueado",
   _xlfn.LET(
     _xlpm.saldo_atual, SUM(($C$2:$C367="Entrada")*($F$2:$F367=Tabela_Movimentacao_Geral[[#This Row],[ID Produto]])*($H$2:$H367) - ($C$2:$C367="Saida")*($F$2:$F367=Tabela_Movimentacao_Geral[[#This Row],[ID Produto]])*($H$2:$H367)),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369</v>
      </c>
      <c r="I368" s="5">
        <f ca="1">_xlfn.XLOOKUP(Tabela_Movimentacao_Geral[[#This Row],[ID Produto]], Tabela_Produtos[ID_Produto],Tabela_Produtos[Preco_Unitario_Venda])</f>
        <v>3.5</v>
      </c>
      <c r="J368" s="6">
        <f ca="1">Tabela_Movimentacao_Geral[[#This Row],[Quantidade]] * Tabela_Movimentacao_Geral[[#This Row],[Valor Unitário]]</f>
        <v>1291.5</v>
      </c>
      <c r="K368" t="str">
        <f ca="1">IF(
   $O$7="Desbloqueado",
   CHOOSE(RANDBETWEEN(1,3),"Pago","Pendente","Atrasado"),
   Tabela_Movimentacao_Geral[[#This Row],[Status Financeiro]]
)</f>
        <v>Pago</v>
      </c>
      <c r="L368" t="str">
        <f ca="1">IF(
   $O$7="Desbloqueado",
   CHOOSE(RANDBETWEEN(1,3),"Entregue","Em Rota","Aguardando"),
   Tabela_Movimentacao_Geral[[#This Row],[Status Logistico]]
)</f>
        <v>Aguardando</v>
      </c>
      <c r="M36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69" spans="1:13" x14ac:dyDescent="0.3">
      <c r="A369" t="str">
        <f t="shared" si="5"/>
        <v>T0368</v>
      </c>
      <c r="B369" s="1">
        <v>45837</v>
      </c>
      <c r="C369" t="str" cm="1">
        <f t="array" aca="1" ref="C369" ca="1">IF($O$7="Desbloqueado",
  _xlfn.LET(
    _xlpm.saldo_atual, SUM(($C$2:$C368="Entrada")*($F$2:$F368=Tabela_Movimentacao_Geral[[#This Row],[ID Produto]])*($H$2:$H368) - ($C$2:$C368="Saida")*($F$2:$F368=Tabela_Movimentacao_Geral[[#This Row],[ID Produto]])*($H$2:$H368)),
    IF(_xlpm.saldo_atual &gt; 0, IF(RANDBETWEEN(0,10)&gt;3,"Saida","Entrada"), "Entrada")
  ),
  Tabela_Movimentacao_Geral[[#This Row],[Tipo Fluxo]]
)</f>
        <v>Saida</v>
      </c>
      <c r="D3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69" t="str">
        <f ca="1">IF(
  $O$7="Desbloqueado",
  "PROD"&amp;TEXT(RANDBETWEEN(1,200),"000"),
  Tabela_Movimentacao_Geral[[#This Row],[ID Produto]]
)</f>
        <v>PROD017</v>
      </c>
      <c r="G369" t="str">
        <f ca="1">_xlfn.XLOOKUP(Tabela_Movimentacao_Geral[[#This Row],[ID Produto]], Tabela_Produtos[ID_Produto],Tabela_Produtos[Descricao_Produto],"Produto não encontrado")</f>
        <v>Adaptador USB-C para HDMI</v>
      </c>
      <c r="H369" cm="1">
        <f t="array" aca="1" ref="H369" ca="1">IF(
   $O$7="Desbloqueado",
   _xlfn.LET(
     _xlpm.saldo_atual, SUM(($C$2:$C368="Entrada")*($F$2:$F368=Tabela_Movimentacao_Geral[[#This Row],[ID Produto]])*($H$2:$H368) - ($C$2:$C368="Saida")*($F$2:$F368=Tabela_Movimentacao_Geral[[#This Row],[ID Produto]])*($H$2:$H368)),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369" s="5">
        <f ca="1">_xlfn.XLOOKUP(Tabela_Movimentacao_Geral[[#This Row],[ID Produto]], Tabela_Produtos[ID_Produto],Tabela_Produtos[Preco_Unitario_Venda])</f>
        <v>130</v>
      </c>
      <c r="J369" s="6">
        <f ca="1">Tabela_Movimentacao_Geral[[#This Row],[Quantidade]] * Tabela_Movimentacao_Geral[[#This Row],[Valor Unitário]]</f>
        <v>650</v>
      </c>
      <c r="K369" t="str">
        <f ca="1">IF(
   $O$7="Desbloqueado",
   CHOOSE(RANDBETWEEN(1,3),"Pago","Pendente","Atrasado"),
   Tabela_Movimentacao_Geral[[#This Row],[Status Financeiro]]
)</f>
        <v>Pendente</v>
      </c>
      <c r="L369" t="str">
        <f ca="1">IF(
   $O$7="Desbloqueado",
   CHOOSE(RANDBETWEEN(1,3),"Entregue","Em Rota","Aguardando"),
   Tabela_Movimentacao_Geral[[#This Row],[Status Logistico]]
)</f>
        <v>Em Rota</v>
      </c>
      <c r="M36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70" spans="1:13" x14ac:dyDescent="0.3">
      <c r="A370" t="str">
        <f t="shared" si="5"/>
        <v>T0369</v>
      </c>
      <c r="B370" s="1">
        <v>45837</v>
      </c>
      <c r="C370" t="str" cm="1">
        <f t="array" aca="1" ref="C370" ca="1">IF($O$7="Desbloqueado",
  _xlfn.LET(
    _xlpm.saldo_atual, SUM(($C$2:$C369="Entrada")*($F$2:$F369=Tabela_Movimentacao_Geral[[#This Row],[ID Produto]])*($H$2:$H369) - ($C$2:$C369="Saida")*($F$2:$F369=Tabela_Movimentacao_Geral[[#This Row],[ID Produto]])*($H$2:$H369)),
    IF(_xlpm.saldo_atual &gt; 0, IF(RANDBETWEEN(0,10)&gt;3,"Saida","Entrada"), "Entrada")
  ),
  Tabela_Movimentacao_Geral[[#This Row],[Tipo Fluxo]]
)</f>
        <v>Saida</v>
      </c>
      <c r="D3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3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370" t="str">
        <f ca="1">IF(
  $O$7="Desbloqueado",
  "PROD"&amp;TEXT(RANDBETWEEN(1,200),"000"),
  Tabela_Movimentacao_Geral[[#This Row],[ID Produto]]
)</f>
        <v>PROD077</v>
      </c>
      <c r="G370" t="str">
        <f ca="1">_xlfn.XLOOKUP(Tabela_Movimentacao_Geral[[#This Row],[ID Produto]], Tabela_Produtos[ID_Produto],Tabela_Produtos[Descricao_Produto],"Produto não encontrado")</f>
        <v>Lixeira de Escritorio 10L</v>
      </c>
      <c r="H370" cm="1">
        <f t="array" aca="1" ref="H370" ca="1">IF(
   $O$7="Desbloqueado",
   _xlfn.LET(
     _xlpm.saldo_atual, SUM(($C$2:$C369="Entrada")*($F$2:$F369=Tabela_Movimentacao_Geral[[#This Row],[ID Produto]])*($H$2:$H369) - ($C$2:$C369="Saida")*($F$2:$F369=Tabela_Movimentacao_Geral[[#This Row],[ID Produto]])*($H$2:$H369)),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370" s="5">
        <f ca="1">_xlfn.XLOOKUP(Tabela_Movimentacao_Geral[[#This Row],[ID Produto]], Tabela_Produtos[ID_Produto],Tabela_Produtos[Preco_Unitario_Venda])</f>
        <v>28</v>
      </c>
      <c r="J370" s="6">
        <f ca="1">Tabela_Movimentacao_Geral[[#This Row],[Quantidade]] * Tabela_Movimentacao_Geral[[#This Row],[Valor Unitário]]</f>
        <v>2436</v>
      </c>
      <c r="K370" t="str">
        <f ca="1">IF(
   $O$7="Desbloqueado",
   CHOOSE(RANDBETWEEN(1,3),"Pago","Pendente","Atrasado"),
   Tabela_Movimentacao_Geral[[#This Row],[Status Financeiro]]
)</f>
        <v>Atrasado</v>
      </c>
      <c r="L370" t="str">
        <f ca="1">IF(
   $O$7="Desbloqueado",
   CHOOSE(RANDBETWEEN(1,3),"Entregue","Em Rota","Aguardando"),
   Tabela_Movimentacao_Geral[[#This Row],[Status Logistico]]
)</f>
        <v>Em Rota</v>
      </c>
      <c r="M37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71" spans="1:13" x14ac:dyDescent="0.3">
      <c r="A371" t="str">
        <f t="shared" si="5"/>
        <v>T0370</v>
      </c>
      <c r="B371" s="1">
        <v>45837</v>
      </c>
      <c r="C371" t="str" cm="1">
        <f t="array" aca="1" ref="C371" ca="1">IF($O$7="Desbloqueado",
  _xlfn.LET(
    _xlpm.saldo_atual, SUM(($C$2:$C370="Entrada")*($F$2:$F370=Tabela_Movimentacao_Geral[[#This Row],[ID Produto]])*($H$2:$H370) - ($C$2:$C370="Saida")*($F$2:$F370=Tabela_Movimentacao_Geral[[#This Row],[ID Produto]])*($H$2:$H370)),
    IF(_xlpm.saldo_atual &gt; 0, IF(RANDBETWEEN(0,10)&gt;3,"Saida","Entrada"), "Entrada")
  ),
  Tabela_Movimentacao_Geral[[#This Row],[Tipo Fluxo]]
)</f>
        <v>Entrada</v>
      </c>
      <c r="D3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3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371" t="str">
        <f ca="1">IF(
  $O$7="Desbloqueado",
  "PROD"&amp;TEXT(RANDBETWEEN(1,200),"000"),
  Tabela_Movimentacao_Geral[[#This Row],[ID Produto]]
)</f>
        <v>PROD196</v>
      </c>
      <c r="G371" t="str">
        <f ca="1">_xlfn.XLOOKUP(Tabela_Movimentacao_Geral[[#This Row],[ID Produto]], Tabela_Produtos[ID_Produto],Tabela_Produtos[Descricao_Produto],"Produto não encontrado")</f>
        <v>Kit Chaves Precisao</v>
      </c>
      <c r="H371" cm="1">
        <f t="array" aca="1" ref="H371" ca="1">IF(
   $O$7="Desbloqueado",
   _xlfn.LET(
     _xlpm.saldo_atual, SUM(($C$2:$C370="Entrada")*($F$2:$F370=Tabela_Movimentacao_Geral[[#This Row],[ID Produto]])*($H$2:$H370) - ($C$2:$C370="Saida")*($F$2:$F370=Tabela_Movimentacao_Geral[[#This Row],[ID Produto]])*($H$2:$H370)),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92</v>
      </c>
      <c r="I371" s="5">
        <f ca="1">_xlfn.XLOOKUP(Tabela_Movimentacao_Geral[[#This Row],[ID Produto]], Tabela_Produtos[ID_Produto],Tabela_Produtos[Preco_Unitario_Venda])</f>
        <v>95</v>
      </c>
      <c r="J371" s="6">
        <f ca="1">Tabela_Movimentacao_Geral[[#This Row],[Quantidade]] * Tabela_Movimentacao_Geral[[#This Row],[Valor Unitário]]</f>
        <v>8740</v>
      </c>
      <c r="K371" t="str">
        <f ca="1">IF(
   $O$7="Desbloqueado",
   CHOOSE(RANDBETWEEN(1,3),"Pago","Pendente","Atrasado"),
   Tabela_Movimentacao_Geral[[#This Row],[Status Financeiro]]
)</f>
        <v>Atrasado</v>
      </c>
      <c r="L371" t="str">
        <f ca="1">IF(
   $O$7="Desbloqueado",
   CHOOSE(RANDBETWEEN(1,3),"Entregue","Em Rota","Aguardando"),
   Tabela_Movimentacao_Geral[[#This Row],[Status Logistico]]
)</f>
        <v>Entregue</v>
      </c>
      <c r="M3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45839</v>
      </c>
    </row>
    <row r="372" spans="1:13" x14ac:dyDescent="0.3">
      <c r="A372" t="str">
        <f t="shared" si="5"/>
        <v>T0371</v>
      </c>
      <c r="B372" s="1">
        <v>45839</v>
      </c>
      <c r="C372" t="str" cm="1">
        <f t="array" aca="1" ref="C372" ca="1">IF($O$7="Desbloqueado",
  _xlfn.LET(
    _xlpm.saldo_atual, SUM(($C$2:$C371="Entrada")*($F$2:$F371=Tabela_Movimentacao_Geral[[#This Row],[ID Produto]])*($H$2:$H371) - ($C$2:$C371="Saida")*($F$2:$F371=Tabela_Movimentacao_Geral[[#This Row],[ID Produto]])*($H$2:$H371)),
    IF(_xlpm.saldo_atual &gt; 0, IF(RANDBETWEEN(0,10)&gt;3,"Saida","Entrada"), "Entrada")
  ),
  Tabela_Movimentacao_Geral[[#This Row],[Tipo Fluxo]]
)</f>
        <v>Entrada</v>
      </c>
      <c r="D3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3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372" t="str">
        <f ca="1">IF(
  $O$7="Desbloqueado",
  "PROD"&amp;TEXT(RANDBETWEEN(1,200),"000"),
  Tabela_Movimentacao_Geral[[#This Row],[ID Produto]]
)</f>
        <v>PROD196</v>
      </c>
      <c r="G372" t="str">
        <f ca="1">_xlfn.XLOOKUP(Tabela_Movimentacao_Geral[[#This Row],[ID Produto]], Tabela_Produtos[ID_Produto],Tabela_Produtos[Descricao_Produto],"Produto não encontrado")</f>
        <v>Kit Chaves Precisao</v>
      </c>
      <c r="H372" cm="1">
        <f t="array" aca="1" ref="H372" ca="1">IF(
   $O$7="Desbloqueado",
   _xlfn.LET(
     _xlpm.saldo_atual, SUM(($C$2:$C371="Entrada")*($F$2:$F371=Tabela_Movimentacao_Geral[[#This Row],[ID Produto]])*($H$2:$H371) - ($C$2:$C371="Saida")*($F$2:$F371=Tabela_Movimentacao_Geral[[#This Row],[ID Produto]])*($H$2:$H371)),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51</v>
      </c>
      <c r="I372" s="5">
        <f ca="1">_xlfn.XLOOKUP(Tabela_Movimentacao_Geral[[#This Row],[ID Produto]], Tabela_Produtos[ID_Produto],Tabela_Produtos[Preco_Unitario_Venda])</f>
        <v>95</v>
      </c>
      <c r="J372" s="6">
        <f ca="1">Tabela_Movimentacao_Geral[[#This Row],[Quantidade]] * Tabela_Movimentacao_Geral[[#This Row],[Valor Unitário]]</f>
        <v>4845</v>
      </c>
      <c r="K372" t="str">
        <f ca="1">IF(
   $O$7="Desbloqueado",
   CHOOSE(RANDBETWEEN(1,3),"Pago","Pendente","Atrasado"),
   Tabela_Movimentacao_Geral[[#This Row],[Status Financeiro]]
)</f>
        <v>Pendente</v>
      </c>
      <c r="L372" t="str">
        <f ca="1">IF(
   $O$7="Desbloqueado",
   CHOOSE(RANDBETWEEN(1,3),"Entregue","Em Rota","Aguardando"),
   Tabela_Movimentacao_Geral[[#This Row],[Status Logistico]]
)</f>
        <v>Entregue</v>
      </c>
      <c r="M37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45842</v>
      </c>
    </row>
    <row r="373" spans="1:13" x14ac:dyDescent="0.3">
      <c r="A373" t="str">
        <f t="shared" si="5"/>
        <v>T0372</v>
      </c>
      <c r="B373" s="1">
        <v>45839</v>
      </c>
      <c r="C373" t="str" cm="1">
        <f t="array" aca="1" ref="C373" ca="1">IF($O$7="Desbloqueado",
  _xlfn.LET(
    _xlpm.saldo_atual, SUM(($C$2:$C372="Entrada")*($F$2:$F372=Tabela_Movimentacao_Geral[[#This Row],[ID Produto]])*($H$2:$H372) - ($C$2:$C372="Saida")*($F$2:$F372=Tabela_Movimentacao_Geral[[#This Row],[ID Produto]])*($H$2:$H372)),
    IF(_xlpm.saldo_atual &gt; 0, IF(RANDBETWEEN(0,10)&gt;3,"Saida","Entrada"), "Entrada")
  ),
  Tabela_Movimentacao_Geral[[#This Row],[Tipo Fluxo]]
)</f>
        <v>Entrada</v>
      </c>
      <c r="D3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3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373" t="str">
        <f ca="1">IF(
  $O$7="Desbloqueado",
  "PROD"&amp;TEXT(RANDBETWEEN(1,200),"000"),
  Tabela_Movimentacao_Geral[[#This Row],[ID Produto]]
)</f>
        <v>PROD186</v>
      </c>
      <c r="G373" t="str">
        <f ca="1">_xlfn.XLOOKUP(Tabela_Movimentacao_Geral[[#This Row],[ID Produto]], Tabela_Produtos[ID_Produto],Tabela_Produtos[Descricao_Produto],"Produto não encontrado")</f>
        <v>KVM Console Gaveta 17</v>
      </c>
      <c r="H373" cm="1">
        <f t="array" aca="1" ref="H373" ca="1">IF(
   $O$7="Desbloqueado",
   _xlfn.LET(
     _xlpm.saldo_atual, SUM(($C$2:$C372="Entrada")*($F$2:$F372=Tabela_Movimentacao_Geral[[#This Row],[ID Produto]])*($H$2:$H372) - ($C$2:$C372="Saida")*($F$2:$F372=Tabela_Movimentacao_Geral[[#This Row],[ID Produto]])*($H$2:$H372)),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373" s="5">
        <f ca="1">_xlfn.XLOOKUP(Tabela_Movimentacao_Geral[[#This Row],[ID Produto]], Tabela_Produtos[ID_Produto],Tabela_Produtos[Preco_Unitario_Venda])</f>
        <v>6800</v>
      </c>
      <c r="J373" s="6">
        <f ca="1">Tabela_Movimentacao_Geral[[#This Row],[Quantidade]] * Tabela_Movimentacao_Geral[[#This Row],[Valor Unitário]]</f>
        <v>496400</v>
      </c>
      <c r="K373" t="str">
        <f ca="1">IF(
   $O$7="Desbloqueado",
   CHOOSE(RANDBETWEEN(1,3),"Pago","Pendente","Atrasado"),
   Tabela_Movimentacao_Geral[[#This Row],[Status Financeiro]]
)</f>
        <v>Atrasado</v>
      </c>
      <c r="L373" t="str">
        <f ca="1">IF(
   $O$7="Desbloqueado",
   CHOOSE(RANDBETWEEN(1,3),"Entregue","Em Rota","Aguardando"),
   Tabela_Movimentacao_Geral[[#This Row],[Status Logistico]]
)</f>
        <v>Entregue</v>
      </c>
      <c r="M37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45846</v>
      </c>
    </row>
    <row r="374" spans="1:13" x14ac:dyDescent="0.3">
      <c r="A374" t="str">
        <f t="shared" si="5"/>
        <v>T0373</v>
      </c>
      <c r="B374" s="1">
        <v>45840</v>
      </c>
      <c r="C374" t="str" cm="1">
        <f t="array" aca="1" ref="C374" ca="1">IF($O$7="Desbloqueado",
  _xlfn.LET(
    _xlpm.saldo_atual, SUM(($C$2:$C373="Entrada")*($F$2:$F373=Tabela_Movimentacao_Geral[[#This Row],[ID Produto]])*($H$2:$H373) - ($C$2:$C373="Saida")*($F$2:$F373=Tabela_Movimentacao_Geral[[#This Row],[ID Produto]])*($H$2:$H373)),
    IF(_xlpm.saldo_atual &gt; 0, IF(RANDBETWEEN(0,10)&gt;3,"Saida","Entrada"), "Entrada")
  ),
  Tabela_Movimentacao_Geral[[#This Row],[Tipo Fluxo]]
)</f>
        <v>Entrada</v>
      </c>
      <c r="D3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3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374" t="str">
        <f ca="1">IF(
  $O$7="Desbloqueado",
  "PROD"&amp;TEXT(RANDBETWEEN(1,200),"000"),
  Tabela_Movimentacao_Geral[[#This Row],[ID Produto]]
)</f>
        <v>PROD162</v>
      </c>
      <c r="G374" t="str">
        <f ca="1">_xlfn.XLOOKUP(Tabela_Movimentacao_Geral[[#This Row],[ID Produto]], Tabela_Produtos[ID_Produto],Tabela_Produtos[Descricao_Produto],"Produto não encontrado")</f>
        <v>Organizador de Mesa Acril</v>
      </c>
      <c r="H374" cm="1">
        <f t="array" aca="1" ref="H374" ca="1">IF(
   $O$7="Desbloqueado",
   _xlfn.LET(
     _xlpm.saldo_atual, SUM(($C$2:$C373="Entrada")*($F$2:$F373=Tabela_Movimentacao_Geral[[#This Row],[ID Produto]])*($H$2:$H373) - ($C$2:$C373="Saida")*($F$2:$F373=Tabela_Movimentacao_Geral[[#This Row],[ID Produto]])*($H$2:$H373)),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120</v>
      </c>
      <c r="I374" s="5">
        <f ca="1">_xlfn.XLOOKUP(Tabela_Movimentacao_Geral[[#This Row],[ID Produto]], Tabela_Produtos[ID_Produto],Tabela_Produtos[Preco_Unitario_Venda])</f>
        <v>55</v>
      </c>
      <c r="J374" s="6">
        <f ca="1">Tabela_Movimentacao_Geral[[#This Row],[Quantidade]] * Tabela_Movimentacao_Geral[[#This Row],[Valor Unitário]]</f>
        <v>6600</v>
      </c>
      <c r="K374" t="str">
        <f ca="1">IF(
   $O$7="Desbloqueado",
   CHOOSE(RANDBETWEEN(1,3),"Pago","Pendente","Atrasado"),
   Tabela_Movimentacao_Geral[[#This Row],[Status Financeiro]]
)</f>
        <v>Pendente</v>
      </c>
      <c r="L374" t="str">
        <f ca="1">IF(
   $O$7="Desbloqueado",
   CHOOSE(RANDBETWEEN(1,3),"Entregue","Em Rota","Aguardando"),
   Tabela_Movimentacao_Geral[[#This Row],[Status Logistico]]
)</f>
        <v>Entregue</v>
      </c>
      <c r="M37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45842</v>
      </c>
    </row>
    <row r="375" spans="1:13" x14ac:dyDescent="0.3">
      <c r="A375" t="str">
        <f t="shared" si="5"/>
        <v>T0374</v>
      </c>
      <c r="B375" s="1">
        <v>45840</v>
      </c>
      <c r="C375" t="str" cm="1">
        <f t="array" aca="1" ref="C375" ca="1">IF($O$7="Desbloqueado",
  _xlfn.LET(
    _xlpm.saldo_atual, SUM(($C$2:$C374="Entrada")*($F$2:$F374=Tabela_Movimentacao_Geral[[#This Row],[ID Produto]])*($H$2:$H374) - ($C$2:$C374="Saida")*($F$2:$F374=Tabela_Movimentacao_Geral[[#This Row],[ID Produto]])*($H$2:$H374)),
    IF(_xlpm.saldo_atual &gt; 0, IF(RANDBETWEEN(0,10)&gt;3,"Saida","Entrada"), "Entrada")
  ),
  Tabela_Movimentacao_Geral[[#This Row],[Tipo Fluxo]]
)</f>
        <v>Saida</v>
      </c>
      <c r="D3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3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375" t="str">
        <f ca="1">IF(
  $O$7="Desbloqueado",
  "PROD"&amp;TEXT(RANDBETWEEN(1,200),"000"),
  Tabela_Movimentacao_Geral[[#This Row],[ID Produto]]
)</f>
        <v>PROD007</v>
      </c>
      <c r="G375" t="str">
        <f ca="1">_xlfn.XLOOKUP(Tabela_Movimentacao_Geral[[#This Row],[ID Produto]], Tabela_Produtos[ID_Produto],Tabela_Produtos[Descricao_Produto],"Produto não encontrado")</f>
        <v>Impressora Laser Color</v>
      </c>
      <c r="H375" cm="1">
        <f t="array" aca="1" ref="H375" ca="1">IF(
   $O$7="Desbloqueado",
   _xlfn.LET(
     _xlpm.saldo_atual, SUM(($C$2:$C374="Entrada")*($F$2:$F374=Tabela_Movimentacao_Geral[[#This Row],[ID Produto]])*($H$2:$H374) - ($C$2:$C374="Saida")*($F$2:$F374=Tabela_Movimentacao_Geral[[#This Row],[ID Produto]])*($H$2:$H374)),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375" s="5">
        <f ca="1">_xlfn.XLOOKUP(Tabela_Movimentacao_Geral[[#This Row],[ID Produto]], Tabela_Produtos[ID_Produto],Tabela_Produtos[Preco_Unitario_Venda])</f>
        <v>1800</v>
      </c>
      <c r="J375" s="6">
        <f ca="1">Tabela_Movimentacao_Geral[[#This Row],[Quantidade]] * Tabela_Movimentacao_Geral[[#This Row],[Valor Unitário]]</f>
        <v>9000</v>
      </c>
      <c r="K375" t="str">
        <f ca="1">IF(
   $O$7="Desbloqueado",
   CHOOSE(RANDBETWEEN(1,3),"Pago","Pendente","Atrasado"),
   Tabela_Movimentacao_Geral[[#This Row],[Status Financeiro]]
)</f>
        <v>Pago</v>
      </c>
      <c r="L375" t="str">
        <f ca="1">IF(
   $O$7="Desbloqueado",
   CHOOSE(RANDBETWEEN(1,3),"Entregue","Em Rota","Aguardando"),
   Tabela_Movimentacao_Geral[[#This Row],[Status Logistico]]
)</f>
        <v>Aguardando</v>
      </c>
      <c r="M37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76" spans="1:13" x14ac:dyDescent="0.3">
      <c r="A376" t="str">
        <f t="shared" si="5"/>
        <v>T0375</v>
      </c>
      <c r="B376" s="1">
        <v>45841</v>
      </c>
      <c r="C376" t="str" cm="1">
        <f t="array" aca="1" ref="C376" ca="1">IF($O$7="Desbloqueado",
  _xlfn.LET(
    _xlpm.saldo_atual, SUM(($C$2:$C375="Entrada")*($F$2:$F375=Tabela_Movimentacao_Geral[[#This Row],[ID Produto]])*($H$2:$H375) - ($C$2:$C375="Saida")*($F$2:$F375=Tabela_Movimentacao_Geral[[#This Row],[ID Produto]])*($H$2:$H375)),
    IF(_xlpm.saldo_atual &gt; 0, IF(RANDBETWEEN(0,10)&gt;3,"Saida","Entrada"), "Entrada")
  ),
  Tabela_Movimentacao_Geral[[#This Row],[Tipo Fluxo]]
)</f>
        <v>Saida</v>
      </c>
      <c r="D3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3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376" t="str">
        <f ca="1">IF(
  $O$7="Desbloqueado",
  "PROD"&amp;TEXT(RANDBETWEEN(1,200),"000"),
  Tabela_Movimentacao_Geral[[#This Row],[ID Produto]]
)</f>
        <v>PROD081</v>
      </c>
      <c r="G376" t="str">
        <f ca="1">_xlfn.XLOOKUP(Tabela_Movimentacao_Geral[[#This Row],[ID Produto]], Tabela_Produtos[ID_Produto],Tabela_Produtos[Descricao_Produto],"Produto não encontrado")</f>
        <v>Servidor Rack 1U</v>
      </c>
      <c r="H376" cm="1">
        <f t="array" aca="1" ref="H376" ca="1">IF(
   $O$7="Desbloqueado",
   _xlfn.LET(
     _xlpm.saldo_atual, SUM(($C$2:$C375="Entrada")*($F$2:$F375=Tabela_Movimentacao_Geral[[#This Row],[ID Produto]])*($H$2:$H375) - ($C$2:$C375="Saida")*($F$2:$F375=Tabela_Movimentacao_Geral[[#This Row],[ID Produto]])*($H$2:$H375)),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376" s="5">
        <f ca="1">_xlfn.XLOOKUP(Tabela_Movimentacao_Geral[[#This Row],[ID Produto]], Tabela_Produtos[ID_Produto],Tabela_Produtos[Preco_Unitario_Venda])</f>
        <v>12500</v>
      </c>
      <c r="J376" s="6">
        <f ca="1">Tabela_Movimentacao_Geral[[#This Row],[Quantidade]] * Tabela_Movimentacao_Geral[[#This Row],[Valor Unitário]]</f>
        <v>325000</v>
      </c>
      <c r="K376" t="str">
        <f ca="1">IF(
   $O$7="Desbloqueado",
   CHOOSE(RANDBETWEEN(1,3),"Pago","Pendente","Atrasado"),
   Tabela_Movimentacao_Geral[[#This Row],[Status Financeiro]]
)</f>
        <v>Pendente</v>
      </c>
      <c r="L376" t="str">
        <f ca="1">IF(
   $O$7="Desbloqueado",
   CHOOSE(RANDBETWEEN(1,3),"Entregue","Em Rota","Aguardando"),
   Tabela_Movimentacao_Geral[[#This Row],[Status Logistico]]
)</f>
        <v>Aguardando</v>
      </c>
      <c r="M37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77" spans="1:13" x14ac:dyDescent="0.3">
      <c r="A377" t="str">
        <f t="shared" si="5"/>
        <v>T0376</v>
      </c>
      <c r="B377" s="1">
        <v>45842</v>
      </c>
      <c r="C377" t="str" cm="1">
        <f t="array" aca="1" ref="C377" ca="1">IF($O$7="Desbloqueado",
  _xlfn.LET(
    _xlpm.saldo_atual, SUM(($C$2:$C376="Entrada")*($F$2:$F376=Tabela_Movimentacao_Geral[[#This Row],[ID Produto]])*($H$2:$H376) - ($C$2:$C376="Saida")*($F$2:$F376=Tabela_Movimentacao_Geral[[#This Row],[ID Produto]])*($H$2:$H376)),
    IF(_xlpm.saldo_atual &gt; 0, IF(RANDBETWEEN(0,10)&gt;3,"Saida","Entrada"), "Entrada")
  ),
  Tabela_Movimentacao_Geral[[#This Row],[Tipo Fluxo]]
)</f>
        <v>Saida</v>
      </c>
      <c r="D3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3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377" t="str">
        <f ca="1">IF(
  $O$7="Desbloqueado",
  "PROD"&amp;TEXT(RANDBETWEEN(1,200),"000"),
  Tabela_Movimentacao_Geral[[#This Row],[ID Produto]]
)</f>
        <v>PROD016</v>
      </c>
      <c r="G377" t="str">
        <f ca="1">_xlfn.XLOOKUP(Tabela_Movimentacao_Geral[[#This Row],[ID Produto]], Tabela_Produtos[ID_Produto],Tabela_Produtos[Descricao_Produto],"Produto não encontrado")</f>
        <v>Filtro de Linha 6 Tomadas</v>
      </c>
      <c r="H377" cm="1">
        <f t="array" aca="1" ref="H377" ca="1">IF(
   $O$7="Desbloqueado",
   _xlfn.LET(
     _xlpm.saldo_atual, SUM(($C$2:$C376="Entrada")*($F$2:$F376=Tabela_Movimentacao_Geral[[#This Row],[ID Produto]])*($H$2:$H376) - ($C$2:$C376="Saida")*($F$2:$F376=Tabela_Movimentacao_Geral[[#This Row],[ID Produto]])*($H$2:$H376)),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35</v>
      </c>
      <c r="I377" s="5">
        <f ca="1">_xlfn.XLOOKUP(Tabela_Movimentacao_Geral[[#This Row],[ID Produto]], Tabela_Produtos[ID_Produto],Tabela_Produtos[Preco_Unitario_Venda])</f>
        <v>55</v>
      </c>
      <c r="J377" s="6">
        <f ca="1">Tabela_Movimentacao_Geral[[#This Row],[Quantidade]] * Tabela_Movimentacao_Geral[[#This Row],[Valor Unitário]]</f>
        <v>1925</v>
      </c>
      <c r="K377" t="str">
        <f ca="1">IF(
   $O$7="Desbloqueado",
   CHOOSE(RANDBETWEEN(1,3),"Pago","Pendente","Atrasado"),
   Tabela_Movimentacao_Geral[[#This Row],[Status Financeiro]]
)</f>
        <v>Atrasado</v>
      </c>
      <c r="L377" t="str">
        <f ca="1">IF(
   $O$7="Desbloqueado",
   CHOOSE(RANDBETWEEN(1,3),"Entregue","Em Rota","Aguardando"),
   Tabela_Movimentacao_Geral[[#This Row],[Status Logistico]]
)</f>
        <v>Entregue</v>
      </c>
      <c r="M37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78" spans="1:13" x14ac:dyDescent="0.3">
      <c r="A378" t="str">
        <f t="shared" si="5"/>
        <v>T0377</v>
      </c>
      <c r="B378" s="1">
        <v>45842</v>
      </c>
      <c r="C378" t="str" cm="1">
        <f t="array" aca="1" ref="C378" ca="1">IF($O$7="Desbloqueado",
  _xlfn.LET(
    _xlpm.saldo_atual, SUM(($C$2:$C377="Entrada")*($F$2:$F377=Tabela_Movimentacao_Geral[[#This Row],[ID Produto]])*($H$2:$H377) - ($C$2:$C377="Saida")*($F$2:$F377=Tabela_Movimentacao_Geral[[#This Row],[ID Produto]])*($H$2:$H377)),
    IF(_xlpm.saldo_atual &gt; 0, IF(RANDBETWEEN(0,10)&gt;3,"Saida","Entrada"), "Entrada")
  ),
  Tabela_Movimentacao_Geral[[#This Row],[Tipo Fluxo]]
)</f>
        <v>Entrada</v>
      </c>
      <c r="D3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78" t="str">
        <f ca="1">IF(
  $O$7="Desbloqueado",
  "PROD"&amp;TEXT(RANDBETWEEN(1,200),"000"),
  Tabela_Movimentacao_Geral[[#This Row],[ID Produto]]
)</f>
        <v>PROD132</v>
      </c>
      <c r="G378" t="str">
        <f ca="1">_xlfn.XLOOKUP(Tabela_Movimentacao_Geral[[#This Row],[ID Produto]], Tabela_Produtos[ID_Produto],Tabela_Produtos[Descricao_Produto],"Produto não encontrado")</f>
        <v>Cooler para Gabinete 120mm</v>
      </c>
      <c r="H378" cm="1">
        <f t="array" aca="1" ref="H378" ca="1">IF(
   $O$7="Desbloqueado",
   _xlfn.LET(
     _xlpm.saldo_atual, SUM(($C$2:$C377="Entrada")*($F$2:$F377=Tabela_Movimentacao_Geral[[#This Row],[ID Produto]])*($H$2:$H377) - ($C$2:$C377="Saida")*($F$2:$F377=Tabela_Movimentacao_Geral[[#This Row],[ID Produto]])*($H$2:$H377)),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41</v>
      </c>
      <c r="I378" s="5">
        <f ca="1">_xlfn.XLOOKUP(Tabela_Movimentacao_Geral[[#This Row],[ID Produto]], Tabela_Produtos[ID_Produto],Tabela_Produtos[Preco_Unitario_Venda])</f>
        <v>45</v>
      </c>
      <c r="J378" s="6">
        <f ca="1">Tabela_Movimentacao_Geral[[#This Row],[Quantidade]] * Tabela_Movimentacao_Geral[[#This Row],[Valor Unitário]]</f>
        <v>1845</v>
      </c>
      <c r="K378" t="str">
        <f ca="1">IF(
   $O$7="Desbloqueado",
   CHOOSE(RANDBETWEEN(1,3),"Pago","Pendente","Atrasado"),
   Tabela_Movimentacao_Geral[[#This Row],[Status Financeiro]]
)</f>
        <v>Pago</v>
      </c>
      <c r="L378" t="str">
        <f ca="1">IF(
   $O$7="Desbloqueado",
   CHOOSE(RANDBETWEEN(1,3),"Entregue","Em Rota","Aguardando"),
   Tabela_Movimentacao_Geral[[#This Row],[Status Logistico]]
)</f>
        <v>Entregue</v>
      </c>
      <c r="M37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45845</v>
      </c>
    </row>
    <row r="379" spans="1:13" x14ac:dyDescent="0.3">
      <c r="A379" t="str">
        <f t="shared" si="5"/>
        <v>T0378</v>
      </c>
      <c r="B379" s="1">
        <v>45842</v>
      </c>
      <c r="C379" t="str" cm="1">
        <f t="array" aca="1" ref="C379" ca="1">IF($O$7="Desbloqueado",
  _xlfn.LET(
    _xlpm.saldo_atual, SUM(($C$2:$C378="Entrada")*($F$2:$F378=Tabela_Movimentacao_Geral[[#This Row],[ID Produto]])*($H$2:$H378) - ($C$2:$C378="Saida")*($F$2:$F378=Tabela_Movimentacao_Geral[[#This Row],[ID Produto]])*($H$2:$H378)),
    IF(_xlpm.saldo_atual &gt; 0, IF(RANDBETWEEN(0,10)&gt;3,"Saida","Entrada"), "Entrada")
  ),
  Tabela_Movimentacao_Geral[[#This Row],[Tipo Fluxo]]
)</f>
        <v>Entrada</v>
      </c>
      <c r="D3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3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379" t="str">
        <f ca="1">IF(
  $O$7="Desbloqueado",
  "PROD"&amp;TEXT(RANDBETWEEN(1,200),"000"),
  Tabela_Movimentacao_Geral[[#This Row],[ID Produto]]
)</f>
        <v>PROD182</v>
      </c>
      <c r="G379" t="str">
        <f ca="1">_xlfn.XLOOKUP(Tabela_Movimentacao_Geral[[#This Row],[ID Produto]], Tabela_Produtos[ID_Produto],Tabela_Produtos[Descricao_Produto],"Produto não encontrado")</f>
        <v>Fonte Redundante 750W</v>
      </c>
      <c r="H379" cm="1">
        <f t="array" aca="1" ref="H379" ca="1">IF(
   $O$7="Desbloqueado",
   _xlfn.LET(
     _xlpm.saldo_atual, SUM(($C$2:$C378="Entrada")*($F$2:$F378=Tabela_Movimentacao_Geral[[#This Row],[ID Produto]])*($H$2:$H378) - ($C$2:$C378="Saida")*($F$2:$F378=Tabela_Movimentacao_Geral[[#This Row],[ID Produto]])*($H$2:$H378)),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80</v>
      </c>
      <c r="I379" s="5">
        <f ca="1">_xlfn.XLOOKUP(Tabela_Movimentacao_Geral[[#This Row],[ID Produto]], Tabela_Produtos[ID_Produto],Tabela_Produtos[Preco_Unitario_Venda])</f>
        <v>1850</v>
      </c>
      <c r="J379" s="6">
        <f ca="1">Tabela_Movimentacao_Geral[[#This Row],[Quantidade]] * Tabela_Movimentacao_Geral[[#This Row],[Valor Unitário]]</f>
        <v>148000</v>
      </c>
      <c r="K379" t="str">
        <f ca="1">IF(
   $O$7="Desbloqueado",
   CHOOSE(RANDBETWEEN(1,3),"Pago","Pendente","Atrasado"),
   Tabela_Movimentacao_Geral[[#This Row],[Status Financeiro]]
)</f>
        <v>Pago</v>
      </c>
      <c r="L379" t="str">
        <f ca="1">IF(
   $O$7="Desbloqueado",
   CHOOSE(RANDBETWEEN(1,3),"Entregue","Em Rota","Aguardando"),
   Tabela_Movimentacao_Geral[[#This Row],[Status Logistico]]
)</f>
        <v>Entregue</v>
      </c>
      <c r="M37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45844</v>
      </c>
    </row>
    <row r="380" spans="1:13" x14ac:dyDescent="0.3">
      <c r="A380" t="str">
        <f t="shared" si="5"/>
        <v>T0379</v>
      </c>
      <c r="B380" s="1">
        <v>45843</v>
      </c>
      <c r="C380" t="str" cm="1">
        <f t="array" aca="1" ref="C380" ca="1">IF($O$7="Desbloqueado",
  _xlfn.LET(
    _xlpm.saldo_atual, SUM(($C$2:$C379="Entrada")*($F$2:$F379=Tabela_Movimentacao_Geral[[#This Row],[ID Produto]])*($H$2:$H379) - ($C$2:$C379="Saida")*($F$2:$F379=Tabela_Movimentacao_Geral[[#This Row],[ID Produto]])*($H$2:$H379)),
    IF(_xlpm.saldo_atual &gt; 0, IF(RANDBETWEEN(0,10)&gt;3,"Saida","Entrada"), "Entrada")
  ),
  Tabela_Movimentacao_Geral[[#This Row],[Tipo Fluxo]]
)</f>
        <v>Entrada</v>
      </c>
      <c r="D3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3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380" t="str">
        <f ca="1">IF(
  $O$7="Desbloqueado",
  "PROD"&amp;TEXT(RANDBETWEEN(1,200),"000"),
  Tabela_Movimentacao_Geral[[#This Row],[ID Produto]]
)</f>
        <v>PROD128</v>
      </c>
      <c r="G380" t="str">
        <f ca="1">_xlfn.XLOOKUP(Tabela_Movimentacao_Geral[[#This Row],[ID Produto]], Tabela_Produtos[ID_Produto],Tabela_Produtos[Descricao_Produto],"Produto não encontrado")</f>
        <v>Cabo de Rede Cat5e 5m</v>
      </c>
      <c r="H380" cm="1">
        <f t="array" aca="1" ref="H380" ca="1">IF(
   $O$7="Desbloqueado",
   _xlfn.LET(
     _xlpm.saldo_atual, SUM(($C$2:$C379="Entrada")*($F$2:$F379=Tabela_Movimentacao_Geral[[#This Row],[ID Produto]])*($H$2:$H379) - ($C$2:$C379="Saida")*($F$2:$F379=Tabela_Movimentacao_Geral[[#This Row],[ID Produto]])*($H$2:$H379)),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134</v>
      </c>
      <c r="I380" s="5">
        <f ca="1">_xlfn.XLOOKUP(Tabela_Movimentacao_Geral[[#This Row],[ID Produto]], Tabela_Produtos[ID_Produto],Tabela_Produtos[Preco_Unitario_Venda])</f>
        <v>18</v>
      </c>
      <c r="J380" s="6">
        <f ca="1">Tabela_Movimentacao_Geral[[#This Row],[Quantidade]] * Tabela_Movimentacao_Geral[[#This Row],[Valor Unitário]]</f>
        <v>2412</v>
      </c>
      <c r="K380" t="str">
        <f ca="1">IF(
   $O$7="Desbloqueado",
   CHOOSE(RANDBETWEEN(1,3),"Pago","Pendente","Atrasado"),
   Tabela_Movimentacao_Geral[[#This Row],[Status Financeiro]]
)</f>
        <v>Pago</v>
      </c>
      <c r="L380" t="str">
        <f ca="1">IF(
   $O$7="Desbloqueado",
   CHOOSE(RANDBETWEEN(1,3),"Entregue","Em Rota","Aguardando"),
   Tabela_Movimentacao_Geral[[#This Row],[Status Logistico]]
)</f>
        <v>Aguardando</v>
      </c>
      <c r="M3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45851</v>
      </c>
    </row>
    <row r="381" spans="1:13" x14ac:dyDescent="0.3">
      <c r="A381" t="str">
        <f t="shared" si="5"/>
        <v>T0380</v>
      </c>
      <c r="B381" s="1">
        <v>45843</v>
      </c>
      <c r="C381" t="str" cm="1">
        <f t="array" aca="1" ref="C381" ca="1">IF($O$7="Desbloqueado",
  _xlfn.LET(
    _xlpm.saldo_atual, SUM(($C$2:$C380="Entrada")*($F$2:$F380=Tabela_Movimentacao_Geral[[#This Row],[ID Produto]])*($H$2:$H380) - ($C$2:$C380="Saida")*($F$2:$F380=Tabela_Movimentacao_Geral[[#This Row],[ID Produto]])*($H$2:$H380)),
    IF(_xlpm.saldo_atual &gt; 0, IF(RANDBETWEEN(0,10)&gt;3,"Saida","Entrada"), "Entrada")
  ),
  Tabela_Movimentacao_Geral[[#This Row],[Tipo Fluxo]]
)</f>
        <v>Entrada</v>
      </c>
      <c r="D3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81" t="str">
        <f ca="1">IF(
  $O$7="Desbloqueado",
  "PROD"&amp;TEXT(RANDBETWEEN(1,200),"000"),
  Tabela_Movimentacao_Geral[[#This Row],[ID Produto]]
)</f>
        <v>PROD089</v>
      </c>
      <c r="G381" t="str">
        <f ca="1">_xlfn.XLOOKUP(Tabela_Movimentacao_Geral[[#This Row],[ID Produto]], Tabela_Produtos[ID_Produto],Tabela_Produtos[Descricao_Produto],"Produto não encontrado")</f>
        <v>Rack de Parede 9U</v>
      </c>
      <c r="H381" cm="1">
        <f t="array" aca="1" ref="H381" ca="1">IF(
   $O$7="Desbloqueado",
   _xlfn.LET(
     _xlpm.saldo_atual, SUM(($C$2:$C380="Entrada")*($F$2:$F380=Tabela_Movimentacao_Geral[[#This Row],[ID Produto]])*($H$2:$H380) - ($C$2:$C380="Saida")*($F$2:$F380=Tabela_Movimentacao_Geral[[#This Row],[ID Produto]])*($H$2:$H380)),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81</v>
      </c>
      <c r="I381" s="5">
        <f ca="1">_xlfn.XLOOKUP(Tabela_Movimentacao_Geral[[#This Row],[ID Produto]], Tabela_Produtos[ID_Produto],Tabela_Produtos[Preco_Unitario_Venda])</f>
        <v>850</v>
      </c>
      <c r="J381" s="6">
        <f ca="1">Tabela_Movimentacao_Geral[[#This Row],[Quantidade]] * Tabela_Movimentacao_Geral[[#This Row],[Valor Unitário]]</f>
        <v>68850</v>
      </c>
      <c r="K381" t="str">
        <f ca="1">IF(
   $O$7="Desbloqueado",
   CHOOSE(RANDBETWEEN(1,3),"Pago","Pendente","Atrasado"),
   Tabela_Movimentacao_Geral[[#This Row],[Status Financeiro]]
)</f>
        <v>Atrasado</v>
      </c>
      <c r="L381" t="str">
        <f ca="1">IF(
   $O$7="Desbloqueado",
   CHOOSE(RANDBETWEEN(1,3),"Entregue","Em Rota","Aguardando"),
   Tabela_Movimentacao_Geral[[#This Row],[Status Logistico]]
)</f>
        <v>Em Rota</v>
      </c>
      <c r="M38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45846</v>
      </c>
    </row>
    <row r="382" spans="1:13" x14ac:dyDescent="0.3">
      <c r="A382" t="str">
        <f t="shared" si="5"/>
        <v>T0381</v>
      </c>
      <c r="B382" s="1">
        <v>45845</v>
      </c>
      <c r="C382" t="str" cm="1">
        <f t="array" aca="1" ref="C382" ca="1">IF($O$7="Desbloqueado",
  _xlfn.LET(
    _xlpm.saldo_atual, SUM(($C$2:$C381="Entrada")*($F$2:$F381=Tabela_Movimentacao_Geral[[#This Row],[ID Produto]])*($H$2:$H381) - ($C$2:$C381="Saida")*($F$2:$F381=Tabela_Movimentacao_Geral[[#This Row],[ID Produto]])*($H$2:$H381)),
    IF(_xlpm.saldo_atual &gt; 0, IF(RANDBETWEEN(0,10)&gt;3,"Saida","Entrada"), "Entrada")
  ),
  Tabela_Movimentacao_Geral[[#This Row],[Tipo Fluxo]]
)</f>
        <v>Entrada</v>
      </c>
      <c r="D3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3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382" t="str">
        <f ca="1">IF(
  $O$7="Desbloqueado",
  "PROD"&amp;TEXT(RANDBETWEEN(1,200),"000"),
  Tabela_Movimentacao_Geral[[#This Row],[ID Produto]]
)</f>
        <v>PROD150</v>
      </c>
      <c r="G382" t="str">
        <f ca="1">_xlfn.XLOOKUP(Tabela_Movimentacao_Geral[[#This Row],[ID Produto]], Tabela_Produtos[ID_Produto],Tabela_Produtos[Descricao_Produto],"Produto não encontrado")</f>
        <v>Lanterna de Led Inspeção</v>
      </c>
      <c r="H382" cm="1">
        <f t="array" aca="1" ref="H382" ca="1">IF(
   $O$7="Desbloqueado",
   _xlfn.LET(
     _xlpm.saldo_atual, SUM(($C$2:$C381="Entrada")*($F$2:$F381=Tabela_Movimentacao_Geral[[#This Row],[ID Produto]])*($H$2:$H381) - ($C$2:$C381="Saida")*($F$2:$F381=Tabela_Movimentacao_Geral[[#This Row],[ID Produto]])*($H$2:$H381)),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382" s="5">
        <f ca="1">_xlfn.XLOOKUP(Tabela_Movimentacao_Geral[[#This Row],[ID Produto]], Tabela_Produtos[ID_Produto],Tabela_Produtos[Preco_Unitario_Venda])</f>
        <v>55</v>
      </c>
      <c r="J382" s="6">
        <f ca="1">Tabela_Movimentacao_Geral[[#This Row],[Quantidade]] * Tabela_Movimentacao_Geral[[#This Row],[Valor Unitário]]</f>
        <v>55</v>
      </c>
      <c r="K382" t="str">
        <f ca="1">IF(
   $O$7="Desbloqueado",
   CHOOSE(RANDBETWEEN(1,3),"Pago","Pendente","Atrasado"),
   Tabela_Movimentacao_Geral[[#This Row],[Status Financeiro]]
)</f>
        <v>Pago</v>
      </c>
      <c r="L382" t="str">
        <f ca="1">IF(
   $O$7="Desbloqueado",
   CHOOSE(RANDBETWEEN(1,3),"Entregue","Em Rota","Aguardando"),
   Tabela_Movimentacao_Geral[[#This Row],[Status Logistico]]
)</f>
        <v>Aguardando</v>
      </c>
      <c r="M38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45847</v>
      </c>
    </row>
    <row r="383" spans="1:13" x14ac:dyDescent="0.3">
      <c r="A383" t="str">
        <f t="shared" si="5"/>
        <v>T0382</v>
      </c>
      <c r="B383" s="1">
        <v>45846</v>
      </c>
      <c r="C383" t="str" cm="1">
        <f t="array" aca="1" ref="C383" ca="1">IF($O$7="Desbloqueado",
  _xlfn.LET(
    _xlpm.saldo_atual, SUM(($C$2:$C382="Entrada")*($F$2:$F382=Tabela_Movimentacao_Geral[[#This Row],[ID Produto]])*($H$2:$H382) - ($C$2:$C382="Saida")*($F$2:$F382=Tabela_Movimentacao_Geral[[#This Row],[ID Produto]])*($H$2:$H382)),
    IF(_xlpm.saldo_atual &gt; 0, IF(RANDBETWEEN(0,10)&gt;3,"Saida","Entrada"), "Entrada")
  ),
  Tabela_Movimentacao_Geral[[#This Row],[Tipo Fluxo]]
)</f>
        <v>Entrada</v>
      </c>
      <c r="D3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3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383" t="str">
        <f ca="1">IF(
  $O$7="Desbloqueado",
  "PROD"&amp;TEXT(RANDBETWEEN(1,200),"000"),
  Tabela_Movimentacao_Geral[[#This Row],[ID Produto]]
)</f>
        <v>PROD028</v>
      </c>
      <c r="G383" t="str">
        <f ca="1">_xlfn.XLOOKUP(Tabela_Movimentacao_Geral[[#This Row],[ID Produto]], Tabela_Produtos[ID_Produto],Tabela_Produtos[Descricao_Produto],"Produto não encontrado")</f>
        <v>Cabo de Rede Cat6 3m</v>
      </c>
      <c r="H383" cm="1">
        <f t="array" aca="1" ref="H383" ca="1">IF(
   $O$7="Desbloqueado",
   _xlfn.LET(
     _xlpm.saldo_atual, SUM(($C$2:$C382="Entrada")*($F$2:$F382=Tabela_Movimentacao_Geral[[#This Row],[ID Produto]])*($H$2:$H382) - ($C$2:$C382="Saida")*($F$2:$F382=Tabela_Movimentacao_Geral[[#This Row],[ID Produto]])*($H$2:$H382)),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77</v>
      </c>
      <c r="I383" s="5">
        <f ca="1">_xlfn.XLOOKUP(Tabela_Movimentacao_Geral[[#This Row],[ID Produto]], Tabela_Produtos[ID_Produto],Tabela_Produtos[Preco_Unitario_Venda])</f>
        <v>25</v>
      </c>
      <c r="J383" s="6">
        <f ca="1">Tabela_Movimentacao_Geral[[#This Row],[Quantidade]] * Tabela_Movimentacao_Geral[[#This Row],[Valor Unitário]]</f>
        <v>1925</v>
      </c>
      <c r="K383" t="str">
        <f ca="1">IF(
   $O$7="Desbloqueado",
   CHOOSE(RANDBETWEEN(1,3),"Pago","Pendente","Atrasado"),
   Tabela_Movimentacao_Geral[[#This Row],[Status Financeiro]]
)</f>
        <v>Atrasado</v>
      </c>
      <c r="L383" t="str">
        <f ca="1">IF(
   $O$7="Desbloqueado",
   CHOOSE(RANDBETWEEN(1,3),"Entregue","Em Rota","Aguardando"),
   Tabela_Movimentacao_Geral[[#This Row],[Status Logistico]]
)</f>
        <v>Em Rota</v>
      </c>
      <c r="M38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45849</v>
      </c>
    </row>
    <row r="384" spans="1:13" x14ac:dyDescent="0.3">
      <c r="A384" t="str">
        <f t="shared" si="5"/>
        <v>T0383</v>
      </c>
      <c r="B384" s="1">
        <v>45847</v>
      </c>
      <c r="C384" t="str" cm="1">
        <f t="array" aca="1" ref="C384" ca="1">IF($O$7="Desbloqueado",
  _xlfn.LET(
    _xlpm.saldo_atual, SUM(($C$2:$C383="Entrada")*($F$2:$F383=Tabela_Movimentacao_Geral[[#This Row],[ID Produto]])*($H$2:$H383) - ($C$2:$C383="Saida")*($F$2:$F383=Tabela_Movimentacao_Geral[[#This Row],[ID Produto]])*($H$2:$H383)),
    IF(_xlpm.saldo_atual &gt; 0, IF(RANDBETWEEN(0,10)&gt;3,"Saida","Entrada"), "Entrada")
  ),
  Tabela_Movimentacao_Geral[[#This Row],[Tipo Fluxo]]
)</f>
        <v>Entrada</v>
      </c>
      <c r="D3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3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384" t="str">
        <f ca="1">IF(
  $O$7="Desbloqueado",
  "PROD"&amp;TEXT(RANDBETWEEN(1,200),"000"),
  Tabela_Movimentacao_Geral[[#This Row],[ID Produto]]
)</f>
        <v>PROD151</v>
      </c>
      <c r="G384" t="str">
        <f ca="1">_xlfn.XLOOKUP(Tabela_Movimentacao_Geral[[#This Row],[ID Produto]], Tabela_Produtos[ID_Produto],Tabela_Produtos[Descricao_Produto],"Produto não encontrado")</f>
        <v>Papel Fotografico A4 20fls</v>
      </c>
      <c r="H384" cm="1">
        <f t="array" aca="1" ref="H384" ca="1">IF(
   $O$7="Desbloqueado",
   _xlfn.LET(
     _xlpm.saldo_atual, SUM(($C$2:$C383="Entrada")*($F$2:$F383=Tabela_Movimentacao_Geral[[#This Row],[ID Produto]])*($H$2:$H383) - ($C$2:$C383="Saida")*($F$2:$F383=Tabela_Movimentacao_Geral[[#This Row],[ID Produto]])*($H$2:$H383)),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384" s="5">
        <f ca="1">_xlfn.XLOOKUP(Tabela_Movimentacao_Geral[[#This Row],[ID Produto]], Tabela_Produtos[ID_Produto],Tabela_Produtos[Preco_Unitario_Venda])</f>
        <v>45</v>
      </c>
      <c r="J384" s="6">
        <f ca="1">Tabela_Movimentacao_Geral[[#This Row],[Quantidade]] * Tabela_Movimentacao_Geral[[#This Row],[Valor Unitário]]</f>
        <v>2745</v>
      </c>
      <c r="K384" t="str">
        <f ca="1">IF(
   $O$7="Desbloqueado",
   CHOOSE(RANDBETWEEN(1,3),"Pago","Pendente","Atrasado"),
   Tabela_Movimentacao_Geral[[#This Row],[Status Financeiro]]
)</f>
        <v>Pago</v>
      </c>
      <c r="L384" t="str">
        <f ca="1">IF(
   $O$7="Desbloqueado",
   CHOOSE(RANDBETWEEN(1,3),"Entregue","Em Rota","Aguardando"),
   Tabela_Movimentacao_Geral[[#This Row],[Status Logistico]]
)</f>
        <v>Entregue</v>
      </c>
      <c r="M38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45849</v>
      </c>
    </row>
    <row r="385" spans="1:13" x14ac:dyDescent="0.3">
      <c r="A385" t="str">
        <f t="shared" si="5"/>
        <v>T0384</v>
      </c>
      <c r="B385" s="1">
        <v>45847</v>
      </c>
      <c r="C385" t="str" cm="1">
        <f t="array" aca="1" ref="C385" ca="1">IF($O$7="Desbloqueado",
  _xlfn.LET(
    _xlpm.saldo_atual, SUM(($C$2:$C384="Entrada")*($F$2:$F384=Tabela_Movimentacao_Geral[[#This Row],[ID Produto]])*($H$2:$H384) - ($C$2:$C384="Saida")*($F$2:$F384=Tabela_Movimentacao_Geral[[#This Row],[ID Produto]])*($H$2:$H384)),
    IF(_xlpm.saldo_atual &gt; 0, IF(RANDBETWEEN(0,10)&gt;3,"Saida","Entrada"), "Entrada")
  ),
  Tabela_Movimentacao_Geral[[#This Row],[Tipo Fluxo]]
)</f>
        <v>Entrada</v>
      </c>
      <c r="D3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3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385" t="str">
        <f ca="1">IF(
  $O$7="Desbloqueado",
  "PROD"&amp;TEXT(RANDBETWEEN(1,200),"000"),
  Tabela_Movimentacao_Geral[[#This Row],[ID Produto]]
)</f>
        <v>PROD049</v>
      </c>
      <c r="G385" t="str">
        <f ca="1">_xlfn.XLOOKUP(Tabela_Movimentacao_Geral[[#This Row],[ID Produto]], Tabela_Produtos[ID_Produto],Tabela_Produtos[Descricao_Produto],"Produto não encontrado")</f>
        <v>Scanner de Documentos</v>
      </c>
      <c r="H385" cm="1">
        <f t="array" aca="1" ref="H385" ca="1">IF(
   $O$7="Desbloqueado",
   _xlfn.LET(
     _xlpm.saldo_atual, SUM(($C$2:$C384="Entrada")*($F$2:$F384=Tabela_Movimentacao_Geral[[#This Row],[ID Produto]])*($H$2:$H384) - ($C$2:$C384="Saida")*($F$2:$F384=Tabela_Movimentacao_Geral[[#This Row],[ID Produto]])*($H$2:$H384)),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89</v>
      </c>
      <c r="I385" s="5">
        <f ca="1">_xlfn.XLOOKUP(Tabela_Movimentacao_Geral[[#This Row],[ID Produto]], Tabela_Produtos[ID_Produto],Tabela_Produtos[Preco_Unitario_Venda])</f>
        <v>1550</v>
      </c>
      <c r="J385" s="6">
        <f ca="1">Tabela_Movimentacao_Geral[[#This Row],[Quantidade]] * Tabela_Movimentacao_Geral[[#This Row],[Valor Unitário]]</f>
        <v>137950</v>
      </c>
      <c r="K385" t="str">
        <f ca="1">IF(
   $O$7="Desbloqueado",
   CHOOSE(RANDBETWEEN(1,3),"Pago","Pendente","Atrasado"),
   Tabela_Movimentacao_Geral[[#This Row],[Status Financeiro]]
)</f>
        <v>Pago</v>
      </c>
      <c r="L385" t="str">
        <f ca="1">IF(
   $O$7="Desbloqueado",
   CHOOSE(RANDBETWEEN(1,3),"Entregue","Em Rota","Aguardando"),
   Tabela_Movimentacao_Geral[[#This Row],[Status Logistico]]
)</f>
        <v>Em Rota</v>
      </c>
      <c r="M38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45849</v>
      </c>
    </row>
    <row r="386" spans="1:13" x14ac:dyDescent="0.3">
      <c r="A386" t="str">
        <f t="shared" si="5"/>
        <v>T0385</v>
      </c>
      <c r="B386" s="1">
        <v>45847</v>
      </c>
      <c r="C386" t="str" cm="1">
        <f t="array" aca="1" ref="C386" ca="1">IF($O$7="Desbloqueado",
  _xlfn.LET(
    _xlpm.saldo_atual, SUM(($C$2:$C385="Entrada")*($F$2:$F385=Tabela_Movimentacao_Geral[[#This Row],[ID Produto]])*($H$2:$H385) - ($C$2:$C385="Saida")*($F$2:$F385=Tabela_Movimentacao_Geral[[#This Row],[ID Produto]])*($H$2:$H385)),
    IF(_xlpm.saldo_atual &gt; 0, IF(RANDBETWEEN(0,10)&gt;3,"Saida","Entrada"), "Entrada")
  ),
  Tabela_Movimentacao_Geral[[#This Row],[Tipo Fluxo]]
)</f>
        <v>Saida</v>
      </c>
      <c r="D3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3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386" t="str">
        <f ca="1">IF(
  $O$7="Desbloqueado",
  "PROD"&amp;TEXT(RANDBETWEEN(1,200),"000"),
  Tabela_Movimentacao_Geral[[#This Row],[ID Produto]]
)</f>
        <v>PROD195</v>
      </c>
      <c r="G386" t="str">
        <f ca="1">_xlfn.XLOOKUP(Tabela_Movimentacao_Geral[[#This Row],[ID Produto]], Tabela_Produtos[ID_Produto],Tabela_Produtos[Descricao_Produto],"Produto não encontrado")</f>
        <v>Terminador Optico</v>
      </c>
      <c r="H386" cm="1">
        <f t="array" aca="1" ref="H386" ca="1">IF(
   $O$7="Desbloqueado",
   _xlfn.LET(
     _xlpm.saldo_atual, SUM(($C$2:$C385="Entrada")*($F$2:$F385=Tabela_Movimentacao_Geral[[#This Row],[ID Produto]])*($H$2:$H385) - ($C$2:$C385="Saida")*($F$2:$F385=Tabela_Movimentacao_Geral[[#This Row],[ID Produto]])*($H$2:$H385)),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100</v>
      </c>
      <c r="I386" s="5">
        <f ca="1">_xlfn.XLOOKUP(Tabela_Movimentacao_Geral[[#This Row],[ID Produto]], Tabela_Produtos[ID_Produto],Tabela_Produtos[Preco_Unitario_Venda])</f>
        <v>120</v>
      </c>
      <c r="J386" s="6">
        <f ca="1">Tabela_Movimentacao_Geral[[#This Row],[Quantidade]] * Tabela_Movimentacao_Geral[[#This Row],[Valor Unitário]]</f>
        <v>12000</v>
      </c>
      <c r="K386" t="str">
        <f ca="1">IF(
   $O$7="Desbloqueado",
   CHOOSE(RANDBETWEEN(1,3),"Pago","Pendente","Atrasado"),
   Tabela_Movimentacao_Geral[[#This Row],[Status Financeiro]]
)</f>
        <v>Pendente</v>
      </c>
      <c r="L386" t="str">
        <f ca="1">IF(
   $O$7="Desbloqueado",
   CHOOSE(RANDBETWEEN(1,3),"Entregue","Em Rota","Aguardando"),
   Tabela_Movimentacao_Geral[[#This Row],[Status Logistico]]
)</f>
        <v>Aguardando</v>
      </c>
      <c r="M38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87" spans="1:13" x14ac:dyDescent="0.3">
      <c r="A387" t="str">
        <f t="shared" si="5"/>
        <v>T0386</v>
      </c>
      <c r="B387" s="1">
        <v>45847</v>
      </c>
      <c r="C387" t="str" cm="1">
        <f t="array" aca="1" ref="C387" ca="1">IF($O$7="Desbloqueado",
  _xlfn.LET(
    _xlpm.saldo_atual, SUM(($C$2:$C386="Entrada")*($F$2:$F386=Tabela_Movimentacao_Geral[[#This Row],[ID Produto]])*($H$2:$H386) - ($C$2:$C386="Saida")*($F$2:$F386=Tabela_Movimentacao_Geral[[#This Row],[ID Produto]])*($H$2:$H386)),
    IF(_xlpm.saldo_atual &gt; 0, IF(RANDBETWEEN(0,10)&gt;3,"Saida","Entrada"), "Entrada")
  ),
  Tabela_Movimentacao_Geral[[#This Row],[Tipo Fluxo]]
)</f>
        <v>Entrada</v>
      </c>
      <c r="D3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3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387" t="str">
        <f ca="1">IF(
  $O$7="Desbloqueado",
  "PROD"&amp;TEXT(RANDBETWEEN(1,200),"000"),
  Tabela_Movimentacao_Geral[[#This Row],[ID Produto]]
)</f>
        <v>PROD075</v>
      </c>
      <c r="G387" t="str">
        <f ca="1">_xlfn.XLOOKUP(Tabela_Movimentacao_Geral[[#This Row],[ID Produto]], Tabela_Produtos[ID_Produto],Tabela_Produtos[Descricao_Produto],"Produto não encontrado")</f>
        <v>Suporte de Pasta Acrilico</v>
      </c>
      <c r="H387" cm="1">
        <f t="array" aca="1" ref="H387" ca="1">IF(
   $O$7="Desbloqueado",
   _xlfn.LET(
     _xlpm.saldo_atual, SUM(($C$2:$C386="Entrada")*($F$2:$F386=Tabela_Movimentacao_Geral[[#This Row],[ID Produto]])*($H$2:$H386) - ($C$2:$C386="Saida")*($F$2:$F386=Tabela_Movimentacao_Geral[[#This Row],[ID Produto]])*($H$2:$H386)),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387" s="5">
        <f ca="1">_xlfn.XLOOKUP(Tabela_Movimentacao_Geral[[#This Row],[ID Produto]], Tabela_Produtos[ID_Produto],Tabela_Produtos[Preco_Unitario_Venda])</f>
        <v>38</v>
      </c>
      <c r="J387" s="6">
        <f ca="1">Tabela_Movimentacao_Geral[[#This Row],[Quantidade]] * Tabela_Movimentacao_Geral[[#This Row],[Valor Unitário]]</f>
        <v>950</v>
      </c>
      <c r="K387" t="str">
        <f ca="1">IF(
   $O$7="Desbloqueado",
   CHOOSE(RANDBETWEEN(1,3),"Pago","Pendente","Atrasado"),
   Tabela_Movimentacao_Geral[[#This Row],[Status Financeiro]]
)</f>
        <v>Pago</v>
      </c>
      <c r="L387" t="str">
        <f ca="1">IF(
   $O$7="Desbloqueado",
   CHOOSE(RANDBETWEEN(1,3),"Entregue","Em Rota","Aguardando"),
   Tabela_Movimentacao_Geral[[#This Row],[Status Logistico]]
)</f>
        <v>Entregue</v>
      </c>
      <c r="M38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45859</v>
      </c>
    </row>
    <row r="388" spans="1:13" x14ac:dyDescent="0.3">
      <c r="A388" t="str">
        <f t="shared" si="5"/>
        <v>T0387</v>
      </c>
      <c r="B388" s="1">
        <v>45848</v>
      </c>
      <c r="C388" t="str" cm="1">
        <f t="array" aca="1" ref="C388" ca="1">IF($O$7="Desbloqueado",
  _xlfn.LET(
    _xlpm.saldo_atual, SUM(($C$2:$C387="Entrada")*($F$2:$F387=Tabela_Movimentacao_Geral[[#This Row],[ID Produto]])*($H$2:$H387) - ($C$2:$C387="Saida")*($F$2:$F387=Tabela_Movimentacao_Geral[[#This Row],[ID Produto]])*($H$2:$H387)),
    IF(_xlpm.saldo_atual &gt; 0, IF(RANDBETWEEN(0,10)&gt;3,"Saida","Entrada"), "Entrada")
  ),
  Tabela_Movimentacao_Geral[[#This Row],[Tipo Fluxo]]
)</f>
        <v>Saida</v>
      </c>
      <c r="D3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3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388" t="str">
        <f ca="1">IF(
  $O$7="Desbloqueado",
  "PROD"&amp;TEXT(RANDBETWEEN(1,200),"000"),
  Tabela_Movimentacao_Geral[[#This Row],[ID Produto]]
)</f>
        <v>PROD008</v>
      </c>
      <c r="G388" t="str">
        <f ca="1">_xlfn.XLOOKUP(Tabela_Movimentacao_Geral[[#This Row],[ID Produto]], Tabela_Produtos[ID_Produto],Tabela_Produtos[Descricao_Produto],"Produto não encontrado")</f>
        <v>Toner Preto High Yield</v>
      </c>
      <c r="H388" cm="1">
        <f t="array" aca="1" ref="H388" ca="1">IF(
   $O$7="Desbloqueado",
   _xlfn.LET(
     _xlpm.saldo_atual, SUM(($C$2:$C387="Entrada")*($F$2:$F387=Tabela_Movimentacao_Geral[[#This Row],[ID Produto]])*($H$2:$H387) - ($C$2:$C387="Saida")*($F$2:$F387=Tabela_Movimentacao_Geral[[#This Row],[ID Produto]])*($H$2:$H387)),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388" s="5">
        <f ca="1">_xlfn.XLOOKUP(Tabela_Movimentacao_Geral[[#This Row],[ID Produto]], Tabela_Produtos[ID_Produto],Tabela_Produtos[Preco_Unitario_Venda])</f>
        <v>250</v>
      </c>
      <c r="J388" s="6">
        <f ca="1">Tabela_Movimentacao_Geral[[#This Row],[Quantidade]] * Tabela_Movimentacao_Geral[[#This Row],[Valor Unitário]]</f>
        <v>6500</v>
      </c>
      <c r="K388" t="str">
        <f ca="1">IF(
   $O$7="Desbloqueado",
   CHOOSE(RANDBETWEEN(1,3),"Pago","Pendente","Atrasado"),
   Tabela_Movimentacao_Geral[[#This Row],[Status Financeiro]]
)</f>
        <v>Pendente</v>
      </c>
      <c r="L388" t="str">
        <f ca="1">IF(
   $O$7="Desbloqueado",
   CHOOSE(RANDBETWEEN(1,3),"Entregue","Em Rota","Aguardando"),
   Tabela_Movimentacao_Geral[[#This Row],[Status Logistico]]
)</f>
        <v>Em Rota</v>
      </c>
      <c r="M38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89" spans="1:13" x14ac:dyDescent="0.3">
      <c r="A389" t="str">
        <f t="shared" si="5"/>
        <v>T0388</v>
      </c>
      <c r="B389" s="1">
        <v>45849</v>
      </c>
      <c r="C389" t="str" cm="1">
        <f t="array" aca="1" ref="C389" ca="1">IF($O$7="Desbloqueado",
  _xlfn.LET(
    _xlpm.saldo_atual, SUM(($C$2:$C388="Entrada")*($F$2:$F388=Tabela_Movimentacao_Geral[[#This Row],[ID Produto]])*($H$2:$H388) - ($C$2:$C388="Saida")*($F$2:$F388=Tabela_Movimentacao_Geral[[#This Row],[ID Produto]])*($H$2:$H388)),
    IF(_xlpm.saldo_atual &gt; 0, IF(RANDBETWEEN(0,10)&gt;3,"Saida","Entrada"), "Entrada")
  ),
  Tabela_Movimentacao_Geral[[#This Row],[Tipo Fluxo]]
)</f>
        <v>Saida</v>
      </c>
      <c r="D3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3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389" t="str">
        <f ca="1">IF(
  $O$7="Desbloqueado",
  "PROD"&amp;TEXT(RANDBETWEEN(1,200),"000"),
  Tabela_Movimentacao_Geral[[#This Row],[ID Produto]]
)</f>
        <v>PROD126</v>
      </c>
      <c r="G389" t="str">
        <f ca="1">_xlfn.XLOOKUP(Tabela_Movimentacao_Geral[[#This Row],[ID Produto]], Tabela_Produtos[ID_Produto],Tabela_Produtos[Descricao_Produto],"Produto não encontrado")</f>
        <v>Mouse Ergonomico Vertical</v>
      </c>
      <c r="H389" cm="1">
        <f t="array" aca="1" ref="H389" ca="1">IF(
   $O$7="Desbloqueado",
   _xlfn.LET(
     _xlpm.saldo_atual, SUM(($C$2:$C388="Entrada")*($F$2:$F388=Tabela_Movimentacao_Geral[[#This Row],[ID Produto]])*($H$2:$H388) - ($C$2:$C388="Saida")*($F$2:$F388=Tabela_Movimentacao_Geral[[#This Row],[ID Produto]])*($H$2:$H388)),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389" s="5">
        <f ca="1">_xlfn.XLOOKUP(Tabela_Movimentacao_Geral[[#This Row],[ID Produto]], Tabela_Produtos[ID_Produto],Tabela_Produtos[Preco_Unitario_Venda])</f>
        <v>280</v>
      </c>
      <c r="J389" s="6">
        <f ca="1">Tabela_Movimentacao_Geral[[#This Row],[Quantidade]] * Tabela_Movimentacao_Geral[[#This Row],[Valor Unitário]]</f>
        <v>4480</v>
      </c>
      <c r="K389" t="str">
        <f ca="1">IF(
   $O$7="Desbloqueado",
   CHOOSE(RANDBETWEEN(1,3),"Pago","Pendente","Atrasado"),
   Tabela_Movimentacao_Geral[[#This Row],[Status Financeiro]]
)</f>
        <v>Pendente</v>
      </c>
      <c r="L389" t="str">
        <f ca="1">IF(
   $O$7="Desbloqueado",
   CHOOSE(RANDBETWEEN(1,3),"Entregue","Em Rota","Aguardando"),
   Tabela_Movimentacao_Geral[[#This Row],[Status Logistico]]
)</f>
        <v>Em Rota</v>
      </c>
      <c r="M38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90" spans="1:13" x14ac:dyDescent="0.3">
      <c r="A390" t="str">
        <f t="shared" si="5"/>
        <v>T0389</v>
      </c>
      <c r="B390" s="1">
        <v>45849</v>
      </c>
      <c r="C390" t="str" cm="1">
        <f t="array" aca="1" ref="C390" ca="1">IF($O$7="Desbloqueado",
  _xlfn.LET(
    _xlpm.saldo_atual, SUM(($C$2:$C389="Entrada")*($F$2:$F389=Tabela_Movimentacao_Geral[[#This Row],[ID Produto]])*($H$2:$H389) - ($C$2:$C389="Saida")*($F$2:$F389=Tabela_Movimentacao_Geral[[#This Row],[ID Produto]])*($H$2:$H389)),
    IF(_xlpm.saldo_atual &gt; 0, IF(RANDBETWEEN(0,10)&gt;3,"Saida","Entrada"), "Entrada")
  ),
  Tabela_Movimentacao_Geral[[#This Row],[Tipo Fluxo]]
)</f>
        <v>Saida</v>
      </c>
      <c r="D3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3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390" t="str">
        <f ca="1">IF(
  $O$7="Desbloqueado",
  "PROD"&amp;TEXT(RANDBETWEEN(1,200),"000"),
  Tabela_Movimentacao_Geral[[#This Row],[ID Produto]]
)</f>
        <v>PROD040</v>
      </c>
      <c r="G390" t="str">
        <f ca="1">_xlfn.XLOOKUP(Tabela_Movimentacao_Geral[[#This Row],[ID Produto]], Tabela_Produtos[ID_Produto],Tabela_Produtos[Descricao_Produto],"Produto não encontrado")</f>
        <v>Bateria de CMOS CR2032</v>
      </c>
      <c r="H390" cm="1">
        <f t="array" aca="1" ref="H390" ca="1">IF(
   $O$7="Desbloqueado",
   _xlfn.LET(
     _xlpm.saldo_atual, SUM(($C$2:$C389="Entrada")*($F$2:$F389=Tabela_Movimentacao_Geral[[#This Row],[ID Produto]])*($H$2:$H389) - ($C$2:$C389="Saida")*($F$2:$F389=Tabela_Movimentacao_Geral[[#This Row],[ID Produto]])*($H$2:$H389)),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390" s="5">
        <f ca="1">_xlfn.XLOOKUP(Tabela_Movimentacao_Geral[[#This Row],[ID Produto]], Tabela_Produtos[ID_Produto],Tabela_Produtos[Preco_Unitario_Venda])</f>
        <v>5</v>
      </c>
      <c r="J390" s="6">
        <f ca="1">Tabela_Movimentacao_Geral[[#This Row],[Quantidade]] * Tabela_Movimentacao_Geral[[#This Row],[Valor Unitário]]</f>
        <v>65</v>
      </c>
      <c r="K390" t="str">
        <f ca="1">IF(
   $O$7="Desbloqueado",
   CHOOSE(RANDBETWEEN(1,3),"Pago","Pendente","Atrasado"),
   Tabela_Movimentacao_Geral[[#This Row],[Status Financeiro]]
)</f>
        <v>Atrasado</v>
      </c>
      <c r="L390" t="str">
        <f ca="1">IF(
   $O$7="Desbloqueado",
   CHOOSE(RANDBETWEEN(1,3),"Entregue","Em Rota","Aguardando"),
   Tabela_Movimentacao_Geral[[#This Row],[Status Logistico]]
)</f>
        <v>Em Rota</v>
      </c>
      <c r="M39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91" spans="1:13" x14ac:dyDescent="0.3">
      <c r="A391" t="str">
        <f t="shared" si="5"/>
        <v>T0390</v>
      </c>
      <c r="B391" s="1">
        <v>45851</v>
      </c>
      <c r="C391" t="str" cm="1">
        <f t="array" aca="1" ref="C391" ca="1">IF($O$7="Desbloqueado",
  _xlfn.LET(
    _xlpm.saldo_atual, SUM(($C$2:$C390="Entrada")*($F$2:$F390=Tabela_Movimentacao_Geral[[#This Row],[ID Produto]])*($H$2:$H390) - ($C$2:$C390="Saida")*($F$2:$F390=Tabela_Movimentacao_Geral[[#This Row],[ID Produto]])*($H$2:$H390)),
    IF(_xlpm.saldo_atual &gt; 0, IF(RANDBETWEEN(0,10)&gt;3,"Saida","Entrada"), "Entrada")
  ),
  Tabela_Movimentacao_Geral[[#This Row],[Tipo Fluxo]]
)</f>
        <v>Saida</v>
      </c>
      <c r="D3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3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391" t="str">
        <f ca="1">IF(
  $O$7="Desbloqueado",
  "PROD"&amp;TEXT(RANDBETWEEN(1,200),"000"),
  Tabela_Movimentacao_Geral[[#This Row],[ID Produto]]
)</f>
        <v>PROD024</v>
      </c>
      <c r="G391" t="str">
        <f ca="1">_xlfn.XLOOKUP(Tabela_Movimentacao_Geral[[#This Row],[ID Produto]], Tabela_Produtos[ID_Produto],Tabela_Produtos[Descricao_Produto],"Produto não encontrado")</f>
        <v>Assinatura Adobe CC Anual</v>
      </c>
      <c r="H391" cm="1">
        <f t="array" aca="1" ref="H391" ca="1">IF(
   $O$7="Desbloqueado",
   _xlfn.LET(
     _xlpm.saldo_atual, SUM(($C$2:$C390="Entrada")*($F$2:$F390=Tabela_Movimentacao_Geral[[#This Row],[ID Produto]])*($H$2:$H390) - ($C$2:$C390="Saida")*($F$2:$F390=Tabela_Movimentacao_Geral[[#This Row],[ID Produto]])*($H$2:$H390)),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134</v>
      </c>
      <c r="I391" s="5">
        <f ca="1">_xlfn.XLOOKUP(Tabela_Movimentacao_Geral[[#This Row],[ID Produto]], Tabela_Produtos[ID_Produto],Tabela_Produtos[Preco_Unitario_Venda])</f>
        <v>2400</v>
      </c>
      <c r="J391" s="6">
        <f ca="1">Tabela_Movimentacao_Geral[[#This Row],[Quantidade]] * Tabela_Movimentacao_Geral[[#This Row],[Valor Unitário]]</f>
        <v>321600</v>
      </c>
      <c r="K391" t="str">
        <f ca="1">IF(
   $O$7="Desbloqueado",
   CHOOSE(RANDBETWEEN(1,3),"Pago","Pendente","Atrasado"),
   Tabela_Movimentacao_Geral[[#This Row],[Status Financeiro]]
)</f>
        <v>Pago</v>
      </c>
      <c r="L391" t="str">
        <f ca="1">IF(
   $O$7="Desbloqueado",
   CHOOSE(RANDBETWEEN(1,3),"Entregue","Em Rota","Aguardando"),
   Tabela_Movimentacao_Geral[[#This Row],[Status Logistico]]
)</f>
        <v>Entregue</v>
      </c>
      <c r="M39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92" spans="1:13" x14ac:dyDescent="0.3">
      <c r="A392" t="str">
        <f t="shared" si="5"/>
        <v>T0391</v>
      </c>
      <c r="B392" s="1">
        <v>45851</v>
      </c>
      <c r="C392" t="str" cm="1">
        <f t="array" aca="1" ref="C392" ca="1">IF($O$7="Desbloqueado",
  _xlfn.LET(
    _xlpm.saldo_atual, SUM(($C$2:$C391="Entrada")*($F$2:$F391=Tabela_Movimentacao_Geral[[#This Row],[ID Produto]])*($H$2:$H391) - ($C$2:$C391="Saida")*($F$2:$F391=Tabela_Movimentacao_Geral[[#This Row],[ID Produto]])*($H$2:$H391)),
    IF(_xlpm.saldo_atual &gt; 0, IF(RANDBETWEEN(0,10)&gt;3,"Saida","Entrada"), "Entrada")
  ),
  Tabela_Movimentacao_Geral[[#This Row],[Tipo Fluxo]]
)</f>
        <v>Entrada</v>
      </c>
      <c r="D3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3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392" t="str">
        <f ca="1">IF(
  $O$7="Desbloqueado",
  "PROD"&amp;TEXT(RANDBETWEEN(1,200),"000"),
  Tabela_Movimentacao_Geral[[#This Row],[ID Produto]]
)</f>
        <v>PROD148</v>
      </c>
      <c r="G392" t="str">
        <f ca="1">_xlfn.XLOOKUP(Tabela_Movimentacao_Geral[[#This Row],[ID Produto]], Tabela_Produtos[ID_Produto],Tabela_Produtos[Descricao_Produto],"Produto não encontrado")</f>
        <v>Decapador de Cabos</v>
      </c>
      <c r="H392" cm="1">
        <f t="array" aca="1" ref="H392" ca="1">IF(
   $O$7="Desbloqueado",
   _xlfn.LET(
     _xlpm.saldo_atual, SUM(($C$2:$C391="Entrada")*($F$2:$F391=Tabela_Movimentacao_Geral[[#This Row],[ID Produto]])*($H$2:$H391) - ($C$2:$C391="Saida")*($F$2:$F391=Tabela_Movimentacao_Geral[[#This Row],[ID Produto]])*($H$2:$H391)),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392" s="5">
        <f ca="1">_xlfn.XLOOKUP(Tabela_Movimentacao_Geral[[#This Row],[ID Produto]], Tabela_Produtos[ID_Produto],Tabela_Produtos[Preco_Unitario_Venda])</f>
        <v>35</v>
      </c>
      <c r="J392" s="6">
        <f ca="1">Tabela_Movimentacao_Geral[[#This Row],[Quantidade]] * Tabela_Movimentacao_Geral[[#This Row],[Valor Unitário]]</f>
        <v>560</v>
      </c>
      <c r="K392" t="str">
        <f ca="1">IF(
   $O$7="Desbloqueado",
   CHOOSE(RANDBETWEEN(1,3),"Pago","Pendente","Atrasado"),
   Tabela_Movimentacao_Geral[[#This Row],[Status Financeiro]]
)</f>
        <v>Atrasado</v>
      </c>
      <c r="L392" t="str">
        <f ca="1">IF(
   $O$7="Desbloqueado",
   CHOOSE(RANDBETWEEN(1,3),"Entregue","Em Rota","Aguardando"),
   Tabela_Movimentacao_Geral[[#This Row],[Status Logistico]]
)</f>
        <v>Entregue</v>
      </c>
      <c r="M39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45853</v>
      </c>
    </row>
    <row r="393" spans="1:13" x14ac:dyDescent="0.3">
      <c r="A393" t="str">
        <f t="shared" si="5"/>
        <v>T0392</v>
      </c>
      <c r="B393" s="1">
        <v>45851</v>
      </c>
      <c r="C393" t="str" cm="1">
        <f t="array" aca="1" ref="C393" ca="1">IF($O$7="Desbloqueado",
  _xlfn.LET(
    _xlpm.saldo_atual, SUM(($C$2:$C392="Entrada")*($F$2:$F392=Tabela_Movimentacao_Geral[[#This Row],[ID Produto]])*($H$2:$H392) - ($C$2:$C392="Saida")*($F$2:$F392=Tabela_Movimentacao_Geral[[#This Row],[ID Produto]])*($H$2:$H392)),
    IF(_xlpm.saldo_atual &gt; 0, IF(RANDBETWEEN(0,10)&gt;3,"Saida","Entrada"), "Entrada")
  ),
  Tabela_Movimentacao_Geral[[#This Row],[Tipo Fluxo]]
)</f>
        <v>Entrada</v>
      </c>
      <c r="D3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3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393" t="str">
        <f ca="1">IF(
  $O$7="Desbloqueado",
  "PROD"&amp;TEXT(RANDBETWEEN(1,200),"000"),
  Tabela_Movimentacao_Geral[[#This Row],[ID Produto]]
)</f>
        <v>PROD176</v>
      </c>
      <c r="G393" t="str">
        <f ca="1">_xlfn.XLOOKUP(Tabela_Movimentacao_Geral[[#This Row],[ID Produto]], Tabela_Produtos[ID_Produto],Tabela_Produtos[Descricao_Produto],"Produto não encontrado")</f>
        <v>Envelope Bolha A4 10un</v>
      </c>
      <c r="H393" cm="1">
        <f t="array" aca="1" ref="H393" ca="1">IF(
   $O$7="Desbloqueado",
   _xlfn.LET(
     _xlpm.saldo_atual, SUM(($C$2:$C392="Entrada")*($F$2:$F392=Tabela_Movimentacao_Geral[[#This Row],[ID Produto]])*($H$2:$H392) - ($C$2:$C392="Saida")*($F$2:$F392=Tabela_Movimentacao_Geral[[#This Row],[ID Produto]])*($H$2:$H392)),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95</v>
      </c>
      <c r="I393" s="5">
        <f ca="1">_xlfn.XLOOKUP(Tabela_Movimentacao_Geral[[#This Row],[ID Produto]], Tabela_Produtos[ID_Produto],Tabela_Produtos[Preco_Unitario_Venda])</f>
        <v>35</v>
      </c>
      <c r="J393" s="6">
        <f ca="1">Tabela_Movimentacao_Geral[[#This Row],[Quantidade]] * Tabela_Movimentacao_Geral[[#This Row],[Valor Unitário]]</f>
        <v>3325</v>
      </c>
      <c r="K393" t="str">
        <f ca="1">IF(
   $O$7="Desbloqueado",
   CHOOSE(RANDBETWEEN(1,3),"Pago","Pendente","Atrasado"),
   Tabela_Movimentacao_Geral[[#This Row],[Status Financeiro]]
)</f>
        <v>Pago</v>
      </c>
      <c r="L393" t="str">
        <f ca="1">IF(
   $O$7="Desbloqueado",
   CHOOSE(RANDBETWEEN(1,3),"Entregue","Em Rota","Aguardando"),
   Tabela_Movimentacao_Geral[[#This Row],[Status Logistico]]
)</f>
        <v>Entregue</v>
      </c>
      <c r="M39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45861</v>
      </c>
    </row>
    <row r="394" spans="1:13" x14ac:dyDescent="0.3">
      <c r="A394" t="str">
        <f t="shared" si="5"/>
        <v>T0393</v>
      </c>
      <c r="B394" s="1">
        <v>45851</v>
      </c>
      <c r="C394" t="str" cm="1">
        <f t="array" aca="1" ref="C394" ca="1">IF($O$7="Desbloqueado",
  _xlfn.LET(
    _xlpm.saldo_atual, SUM(($C$2:$C393="Entrada")*($F$2:$F393=Tabela_Movimentacao_Geral[[#This Row],[ID Produto]])*($H$2:$H393) - ($C$2:$C393="Saida")*($F$2:$F393=Tabela_Movimentacao_Geral[[#This Row],[ID Produto]])*($H$2:$H393)),
    IF(_xlpm.saldo_atual &gt; 0, IF(RANDBETWEEN(0,10)&gt;3,"Saida","Entrada"), "Entrada")
  ),
  Tabela_Movimentacao_Geral[[#This Row],[Tipo Fluxo]]
)</f>
        <v>Saida</v>
      </c>
      <c r="D3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3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394" t="str">
        <f ca="1">IF(
  $O$7="Desbloqueado",
  "PROD"&amp;TEXT(RANDBETWEEN(1,200),"000"),
  Tabela_Movimentacao_Geral[[#This Row],[ID Produto]]
)</f>
        <v>PROD017</v>
      </c>
      <c r="G394" t="str">
        <f ca="1">_xlfn.XLOOKUP(Tabela_Movimentacao_Geral[[#This Row],[ID Produto]], Tabela_Produtos[ID_Produto],Tabela_Produtos[Descricao_Produto],"Produto não encontrado")</f>
        <v>Adaptador USB-C para HDMI</v>
      </c>
      <c r="H394" cm="1">
        <f t="array" aca="1" ref="H394" ca="1">IF(
   $O$7="Desbloqueado",
   _xlfn.LET(
     _xlpm.saldo_atual, SUM(($C$2:$C393="Entrada")*($F$2:$F393=Tabela_Movimentacao_Geral[[#This Row],[ID Produto]])*($H$2:$H393) - ($C$2:$C393="Saida")*($F$2:$F393=Tabela_Movimentacao_Geral[[#This Row],[ID Produto]])*($H$2:$H393)),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394" s="5">
        <f ca="1">_xlfn.XLOOKUP(Tabela_Movimentacao_Geral[[#This Row],[ID Produto]], Tabela_Produtos[ID_Produto],Tabela_Produtos[Preco_Unitario_Venda])</f>
        <v>130</v>
      </c>
      <c r="J394" s="6">
        <f ca="1">Tabela_Movimentacao_Geral[[#This Row],[Quantidade]] * Tabela_Movimentacao_Geral[[#This Row],[Valor Unitário]]</f>
        <v>260</v>
      </c>
      <c r="K394" t="str">
        <f ca="1">IF(
   $O$7="Desbloqueado",
   CHOOSE(RANDBETWEEN(1,3),"Pago","Pendente","Atrasado"),
   Tabela_Movimentacao_Geral[[#This Row],[Status Financeiro]]
)</f>
        <v>Atrasado</v>
      </c>
      <c r="L394" t="str">
        <f ca="1">IF(
   $O$7="Desbloqueado",
   CHOOSE(RANDBETWEEN(1,3),"Entregue","Em Rota","Aguardando"),
   Tabela_Movimentacao_Geral[[#This Row],[Status Logistico]]
)</f>
        <v>Entregue</v>
      </c>
      <c r="M39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95" spans="1:13" x14ac:dyDescent="0.3">
      <c r="A395" t="str">
        <f t="shared" si="5"/>
        <v>T0394</v>
      </c>
      <c r="B395" s="1">
        <v>45852</v>
      </c>
      <c r="C395" t="str" cm="1">
        <f t="array" aca="1" ref="C395" ca="1">IF($O$7="Desbloqueado",
  _xlfn.LET(
    _xlpm.saldo_atual, SUM(($C$2:$C394="Entrada")*($F$2:$F394=Tabela_Movimentacao_Geral[[#This Row],[ID Produto]])*($H$2:$H394) - ($C$2:$C394="Saida")*($F$2:$F394=Tabela_Movimentacao_Geral[[#This Row],[ID Produto]])*($H$2:$H394)),
    IF(_xlpm.saldo_atual &gt; 0, IF(RANDBETWEEN(0,10)&gt;3,"Saida","Entrada"), "Entrada")
  ),
  Tabela_Movimentacao_Geral[[#This Row],[Tipo Fluxo]]
)</f>
        <v>Entrada</v>
      </c>
      <c r="D3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3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395" t="str">
        <f ca="1">IF(
  $O$7="Desbloqueado",
  "PROD"&amp;TEXT(RANDBETWEEN(1,200),"000"),
  Tabela_Movimentacao_Geral[[#This Row],[ID Produto]]
)</f>
        <v>PROD075</v>
      </c>
      <c r="G395" t="str">
        <f ca="1">_xlfn.XLOOKUP(Tabela_Movimentacao_Geral[[#This Row],[ID Produto]], Tabela_Produtos[ID_Produto],Tabela_Produtos[Descricao_Produto],"Produto não encontrado")</f>
        <v>Suporte de Pasta Acrilico</v>
      </c>
      <c r="H395" cm="1">
        <f t="array" aca="1" ref="H395" ca="1">IF(
   $O$7="Desbloqueado",
   _xlfn.LET(
     _xlpm.saldo_atual, SUM(($C$2:$C394="Entrada")*($F$2:$F394=Tabela_Movimentacao_Geral[[#This Row],[ID Produto]])*($H$2:$H394) - ($C$2:$C394="Saida")*($F$2:$F394=Tabela_Movimentacao_Geral[[#This Row],[ID Produto]])*($H$2:$H394)),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395" s="5">
        <f ca="1">_xlfn.XLOOKUP(Tabela_Movimentacao_Geral[[#This Row],[ID Produto]], Tabela_Produtos[ID_Produto],Tabela_Produtos[Preco_Unitario_Venda])</f>
        <v>38</v>
      </c>
      <c r="J395" s="6">
        <f ca="1">Tabela_Movimentacao_Geral[[#This Row],[Quantidade]] * Tabela_Movimentacao_Geral[[#This Row],[Valor Unitário]]</f>
        <v>1596</v>
      </c>
      <c r="K395" t="str">
        <f ca="1">IF(
   $O$7="Desbloqueado",
   CHOOSE(RANDBETWEEN(1,3),"Pago","Pendente","Atrasado"),
   Tabela_Movimentacao_Geral[[#This Row],[Status Financeiro]]
)</f>
        <v>Pago</v>
      </c>
      <c r="L395" t="str">
        <f ca="1">IF(
   $O$7="Desbloqueado",
   CHOOSE(RANDBETWEEN(1,3),"Entregue","Em Rota","Aguardando"),
   Tabela_Movimentacao_Geral[[#This Row],[Status Logistico]]
)</f>
        <v>Em Rota</v>
      </c>
      <c r="M39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45853</v>
      </c>
    </row>
    <row r="396" spans="1:13" x14ac:dyDescent="0.3">
      <c r="A396" t="str">
        <f t="shared" si="5"/>
        <v>T0395</v>
      </c>
      <c r="B396" s="1">
        <v>45852</v>
      </c>
      <c r="C396" t="str" cm="1">
        <f t="array" aca="1" ref="C396" ca="1">IF($O$7="Desbloqueado",
  _xlfn.LET(
    _xlpm.saldo_atual, SUM(($C$2:$C395="Entrada")*($F$2:$F395=Tabela_Movimentacao_Geral[[#This Row],[ID Produto]])*($H$2:$H395) - ($C$2:$C395="Saida")*($F$2:$F395=Tabela_Movimentacao_Geral[[#This Row],[ID Produto]])*($H$2:$H395)),
    IF(_xlpm.saldo_atual &gt; 0, IF(RANDBETWEEN(0,10)&gt;3,"Saida","Entrada"), "Entrada")
  ),
  Tabela_Movimentacao_Geral[[#This Row],[Tipo Fluxo]]
)</f>
        <v>Entrada</v>
      </c>
      <c r="D3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3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396" t="str">
        <f ca="1">IF(
  $O$7="Desbloqueado",
  "PROD"&amp;TEXT(RANDBETWEEN(1,200),"000"),
  Tabela_Movimentacao_Geral[[#This Row],[ID Produto]]
)</f>
        <v>PROD105</v>
      </c>
      <c r="G396" t="str">
        <f ca="1">_xlfn.XLOOKUP(Tabela_Movimentacao_Geral[[#This Row],[ID Produto]], Tabela_Produtos[ID_Produto],Tabela_Produtos[Descricao_Produto],"Produto não encontrado")</f>
        <v>Notebook i3 8GB SSD</v>
      </c>
      <c r="H396" cm="1">
        <f t="array" aca="1" ref="H396" ca="1">IF(
   $O$7="Desbloqueado",
   _xlfn.LET(
     _xlpm.saldo_atual, SUM(($C$2:$C395="Entrada")*($F$2:$F395=Tabela_Movimentacao_Geral[[#This Row],[ID Produto]])*($H$2:$H395) - ($C$2:$C395="Saida")*($F$2:$F395=Tabela_Movimentacao_Geral[[#This Row],[ID Produto]])*($H$2:$H395)),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67</v>
      </c>
      <c r="I396" s="5">
        <f ca="1">_xlfn.XLOOKUP(Tabela_Movimentacao_Geral[[#This Row],[ID Produto]], Tabela_Produtos[ID_Produto],Tabela_Produtos[Preco_Unitario_Venda])</f>
        <v>2600</v>
      </c>
      <c r="J396" s="6">
        <f ca="1">Tabela_Movimentacao_Geral[[#This Row],[Quantidade]] * Tabela_Movimentacao_Geral[[#This Row],[Valor Unitário]]</f>
        <v>174200</v>
      </c>
      <c r="K396" t="str">
        <f ca="1">IF(
   $O$7="Desbloqueado",
   CHOOSE(RANDBETWEEN(1,3),"Pago","Pendente","Atrasado"),
   Tabela_Movimentacao_Geral[[#This Row],[Status Financeiro]]
)</f>
        <v>Atrasado</v>
      </c>
      <c r="L396" t="str">
        <f ca="1">IF(
   $O$7="Desbloqueado",
   CHOOSE(RANDBETWEEN(1,3),"Entregue","Em Rota","Aguardando"),
   Tabela_Movimentacao_Geral[[#This Row],[Status Logistico]]
)</f>
        <v>Entregue</v>
      </c>
      <c r="M39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45857</v>
      </c>
    </row>
    <row r="397" spans="1:13" x14ac:dyDescent="0.3">
      <c r="A397" t="str">
        <f t="shared" si="5"/>
        <v>T0396</v>
      </c>
      <c r="B397" s="1">
        <v>45853</v>
      </c>
      <c r="C397" t="str" cm="1">
        <f t="array" aca="1" ref="C397" ca="1">IF($O$7="Desbloqueado",
  _xlfn.LET(
    _xlpm.saldo_atual, SUM(($C$2:$C396="Entrada")*($F$2:$F396=Tabela_Movimentacao_Geral[[#This Row],[ID Produto]])*($H$2:$H396) - ($C$2:$C396="Saida")*($F$2:$F396=Tabela_Movimentacao_Geral[[#This Row],[ID Produto]])*($H$2:$H396)),
    IF(_xlpm.saldo_atual &gt; 0, IF(RANDBETWEEN(0,10)&gt;3,"Saida","Entrada"), "Entrada")
  ),
  Tabela_Movimentacao_Geral[[#This Row],[Tipo Fluxo]]
)</f>
        <v>Saida</v>
      </c>
      <c r="D3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3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397" t="str">
        <f ca="1">IF(
  $O$7="Desbloqueado",
  "PROD"&amp;TEXT(RANDBETWEEN(1,200),"000"),
  Tabela_Movimentacao_Geral[[#This Row],[ID Produto]]
)</f>
        <v>PROD129</v>
      </c>
      <c r="G397" t="str">
        <f ca="1">_xlfn.XLOOKUP(Tabela_Movimentacao_Geral[[#This Row],[ID Produto]], Tabela_Produtos[ID_Produto],Tabela_Produtos[Descricao_Produto],"Produto não encontrado")</f>
        <v>Mesa Digitalizadora Media</v>
      </c>
      <c r="H397" cm="1">
        <f t="array" aca="1" ref="H397" ca="1">IF(
   $O$7="Desbloqueado",
   _xlfn.LET(
     _xlpm.saldo_atual, SUM(($C$2:$C396="Entrada")*($F$2:$F396=Tabela_Movimentacao_Geral[[#This Row],[ID Produto]])*($H$2:$H396) - ($C$2:$C396="Saida")*($F$2:$F396=Tabela_Movimentacao_Geral[[#This Row],[ID Produto]])*($H$2:$H396)),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397" s="5">
        <f ca="1">_xlfn.XLOOKUP(Tabela_Movimentacao_Geral[[#This Row],[ID Produto]], Tabela_Produtos[ID_Produto],Tabela_Produtos[Preco_Unitario_Venda])</f>
        <v>650</v>
      </c>
      <c r="J397" s="6">
        <f ca="1">Tabela_Movimentacao_Geral[[#This Row],[Quantidade]] * Tabela_Movimentacao_Geral[[#This Row],[Valor Unitário]]</f>
        <v>5850</v>
      </c>
      <c r="K397" t="str">
        <f ca="1">IF(
   $O$7="Desbloqueado",
   CHOOSE(RANDBETWEEN(1,3),"Pago","Pendente","Atrasado"),
   Tabela_Movimentacao_Geral[[#This Row],[Status Financeiro]]
)</f>
        <v>Pendente</v>
      </c>
      <c r="L397" t="str">
        <f ca="1">IF(
   $O$7="Desbloqueado",
   CHOOSE(RANDBETWEEN(1,3),"Entregue","Em Rota","Aguardando"),
   Tabela_Movimentacao_Geral[[#This Row],[Status Logistico]]
)</f>
        <v>Em Rota</v>
      </c>
      <c r="M39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98" spans="1:13" x14ac:dyDescent="0.3">
      <c r="A398" t="str">
        <f t="shared" si="5"/>
        <v>T0397</v>
      </c>
      <c r="B398" s="1">
        <v>45853</v>
      </c>
      <c r="C398" t="str" cm="1">
        <f t="array" aca="1" ref="C398" ca="1">IF($O$7="Desbloqueado",
  _xlfn.LET(
    _xlpm.saldo_atual, SUM(($C$2:$C397="Entrada")*($F$2:$F397=Tabela_Movimentacao_Geral[[#This Row],[ID Produto]])*($H$2:$H397) - ($C$2:$C397="Saida")*($F$2:$F397=Tabela_Movimentacao_Geral[[#This Row],[ID Produto]])*($H$2:$H397)),
    IF(_xlpm.saldo_atual &gt; 0, IF(RANDBETWEEN(0,10)&gt;3,"Saida","Entrada"), "Entrada")
  ),
  Tabela_Movimentacao_Geral[[#This Row],[Tipo Fluxo]]
)</f>
        <v>Saida</v>
      </c>
      <c r="D3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3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398" t="str">
        <f ca="1">IF(
  $O$7="Desbloqueado",
  "PROD"&amp;TEXT(RANDBETWEEN(1,200),"000"),
  Tabela_Movimentacao_Geral[[#This Row],[ID Produto]]
)</f>
        <v>PROD052</v>
      </c>
      <c r="G398" t="str">
        <f ca="1">_xlfn.XLOOKUP(Tabela_Movimentacao_Geral[[#This Row],[ID Produto]], Tabela_Produtos[ID_Produto],Tabela_Produtos[Descricao_Produto],"Produto não encontrado")</f>
        <v>Clips Metalicos 33mm 100un</v>
      </c>
      <c r="H398" cm="1">
        <f t="array" aca="1" ref="H398" ca="1">IF(
   $O$7="Desbloqueado",
   _xlfn.LET(
     _xlpm.saldo_atual, SUM(($C$2:$C397="Entrada")*($F$2:$F397=Tabela_Movimentacao_Geral[[#This Row],[ID Produto]])*($H$2:$H397) - ($C$2:$C397="Saida")*($F$2:$F397=Tabela_Movimentacao_Geral[[#This Row],[ID Produto]])*($H$2:$H397)),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321</v>
      </c>
      <c r="I398" s="5">
        <f ca="1">_xlfn.XLOOKUP(Tabela_Movimentacao_Geral[[#This Row],[ID Produto]], Tabela_Produtos[ID_Produto],Tabela_Produtos[Preco_Unitario_Venda])</f>
        <v>6.5</v>
      </c>
      <c r="J398" s="6">
        <f ca="1">Tabela_Movimentacao_Geral[[#This Row],[Quantidade]] * Tabela_Movimentacao_Geral[[#This Row],[Valor Unitário]]</f>
        <v>2086.5</v>
      </c>
      <c r="K398" t="str">
        <f ca="1">IF(
   $O$7="Desbloqueado",
   CHOOSE(RANDBETWEEN(1,3),"Pago","Pendente","Atrasado"),
   Tabela_Movimentacao_Geral[[#This Row],[Status Financeiro]]
)</f>
        <v>Atrasado</v>
      </c>
      <c r="L398" t="str">
        <f ca="1">IF(
   $O$7="Desbloqueado",
   CHOOSE(RANDBETWEEN(1,3),"Entregue","Em Rota","Aguardando"),
   Tabela_Movimentacao_Geral[[#This Row],[Status Logistico]]
)</f>
        <v>Em Rota</v>
      </c>
      <c r="M39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399" spans="1:13" x14ac:dyDescent="0.3">
      <c r="A399" t="str">
        <f t="shared" si="5"/>
        <v>T0398</v>
      </c>
      <c r="B399" s="1">
        <v>45853</v>
      </c>
      <c r="C399" t="str" cm="1">
        <f t="array" aca="1" ref="C399" ca="1">IF($O$7="Desbloqueado",
  _xlfn.LET(
    _xlpm.saldo_atual, SUM(($C$2:$C398="Entrada")*($F$2:$F398=Tabela_Movimentacao_Geral[[#This Row],[ID Produto]])*($H$2:$H398) - ($C$2:$C398="Saida")*($F$2:$F398=Tabela_Movimentacao_Geral[[#This Row],[ID Produto]])*($H$2:$H398)),
    IF(_xlpm.saldo_atual &gt; 0, IF(RANDBETWEEN(0,10)&gt;3,"Saida","Entrada"), "Entrada")
  ),
  Tabela_Movimentacao_Geral[[#This Row],[Tipo Fluxo]]
)</f>
        <v>Saida</v>
      </c>
      <c r="D3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3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399" t="str">
        <f ca="1">IF(
  $O$7="Desbloqueado",
  "PROD"&amp;TEXT(RANDBETWEEN(1,200),"000"),
  Tabela_Movimentacao_Geral[[#This Row],[ID Produto]]
)</f>
        <v>PROD030</v>
      </c>
      <c r="G399" t="str">
        <f ca="1">_xlfn.XLOOKUP(Tabela_Movimentacao_Geral[[#This Row],[ID Produto]], Tabela_Produtos[ID_Produto],Tabela_Produtos[Descricao_Produto],"Produto não encontrado")</f>
        <v>Mochila para Notebook 15.6</v>
      </c>
      <c r="H399" cm="1">
        <f t="array" aca="1" ref="H399" ca="1">IF(
   $O$7="Desbloqueado",
   _xlfn.LET(
     _xlpm.saldo_atual, SUM(($C$2:$C398="Entrada")*($F$2:$F398=Tabela_Movimentacao_Geral[[#This Row],[ID Produto]])*($H$2:$H398) - ($C$2:$C398="Saida")*($F$2:$F398=Tabela_Movimentacao_Geral[[#This Row],[ID Produto]])*($H$2:$H398)),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46</v>
      </c>
      <c r="I399" s="5">
        <f ca="1">_xlfn.XLOOKUP(Tabela_Movimentacao_Geral[[#This Row],[ID Produto]], Tabela_Produtos[ID_Produto],Tabela_Produtos[Preco_Unitario_Venda])</f>
        <v>250</v>
      </c>
      <c r="J399" s="6">
        <f ca="1">Tabela_Movimentacao_Geral[[#This Row],[Quantidade]] * Tabela_Movimentacao_Geral[[#This Row],[Valor Unitário]]</f>
        <v>11500</v>
      </c>
      <c r="K399" t="str">
        <f ca="1">IF(
   $O$7="Desbloqueado",
   CHOOSE(RANDBETWEEN(1,3),"Pago","Pendente","Atrasado"),
   Tabela_Movimentacao_Geral[[#This Row],[Status Financeiro]]
)</f>
        <v>Pendente</v>
      </c>
      <c r="L399" t="str">
        <f ca="1">IF(
   $O$7="Desbloqueado",
   CHOOSE(RANDBETWEEN(1,3),"Entregue","Em Rota","Aguardando"),
   Tabela_Movimentacao_Geral[[#This Row],[Status Logistico]]
)</f>
        <v>Em Rota</v>
      </c>
      <c r="M39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0" spans="1:13" x14ac:dyDescent="0.3">
      <c r="A400" t="str">
        <f t="shared" si="5"/>
        <v>T0399</v>
      </c>
      <c r="B400" s="1">
        <v>45853</v>
      </c>
      <c r="C400" t="str" cm="1">
        <f t="array" aca="1" ref="C400" ca="1">IF($O$7="Desbloqueado",
  _xlfn.LET(
    _xlpm.saldo_atual, SUM(($C$2:$C399="Entrada")*($F$2:$F399=Tabela_Movimentacao_Geral[[#This Row],[ID Produto]])*($H$2:$H399) - ($C$2:$C399="Saida")*($F$2:$F399=Tabela_Movimentacao_Geral[[#This Row],[ID Produto]])*($H$2:$H399)),
    IF(_xlpm.saldo_atual &gt; 0, IF(RANDBETWEEN(0,10)&gt;3,"Saida","Entrada"), "Entrada")
  ),
  Tabela_Movimentacao_Geral[[#This Row],[Tipo Fluxo]]
)</f>
        <v>Saida</v>
      </c>
      <c r="D4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4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400" t="str">
        <f ca="1">IF(
  $O$7="Desbloqueado",
  "PROD"&amp;TEXT(RANDBETWEEN(1,200),"000"),
  Tabela_Movimentacao_Geral[[#This Row],[ID Produto]]
)</f>
        <v>PROD064</v>
      </c>
      <c r="G400" t="str">
        <f ca="1">_xlfn.XLOOKUP(Tabela_Movimentacao_Geral[[#This Row],[ID Produto]], Tabela_Produtos[ID_Produto],Tabela_Produtos[Descricao_Produto],"Produto não encontrado")</f>
        <v>Cola em Bastao 40g</v>
      </c>
      <c r="H400" cm="1">
        <f t="array" aca="1" ref="H400" ca="1">IF(
   $O$7="Desbloqueado",
   _xlfn.LET(
     _xlpm.saldo_atual, SUM(($C$2:$C399="Entrada")*($F$2:$F399=Tabela_Movimentacao_Geral[[#This Row],[ID Produto]])*($H$2:$H399) - ($C$2:$C399="Saida")*($F$2:$F399=Tabela_Movimentacao_Geral[[#This Row],[ID Produto]])*($H$2:$H399)),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400" s="5">
        <f ca="1">_xlfn.XLOOKUP(Tabela_Movimentacao_Geral[[#This Row],[ID Produto]], Tabela_Produtos[ID_Produto],Tabela_Produtos[Preco_Unitario_Venda])</f>
        <v>14</v>
      </c>
      <c r="J400" s="6">
        <f ca="1">Tabela_Movimentacao_Geral[[#This Row],[Quantidade]] * Tabela_Movimentacao_Geral[[#This Row],[Valor Unitário]]</f>
        <v>28</v>
      </c>
      <c r="K400" t="str">
        <f ca="1">IF(
   $O$7="Desbloqueado",
   CHOOSE(RANDBETWEEN(1,3),"Pago","Pendente","Atrasado"),
   Tabela_Movimentacao_Geral[[#This Row],[Status Financeiro]]
)</f>
        <v>Pago</v>
      </c>
      <c r="L400" t="str">
        <f ca="1">IF(
   $O$7="Desbloqueado",
   CHOOSE(RANDBETWEEN(1,3),"Entregue","Em Rota","Aguardando"),
   Tabela_Movimentacao_Geral[[#This Row],[Status Logistico]]
)</f>
        <v>Em Rota</v>
      </c>
      <c r="M40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1" spans="1:13" x14ac:dyDescent="0.3">
      <c r="A401" t="str">
        <f t="shared" si="5"/>
        <v>T0400</v>
      </c>
      <c r="B401" s="1">
        <v>45853</v>
      </c>
      <c r="C401" t="str" cm="1">
        <f t="array" aca="1" ref="C401" ca="1">IF($O$7="Desbloqueado",
  _xlfn.LET(
    _xlpm.saldo_atual, SUM(($C$2:$C400="Entrada")*($F$2:$F400=Tabela_Movimentacao_Geral[[#This Row],[ID Produto]])*($H$2:$H400) - ($C$2:$C400="Saida")*($F$2:$F400=Tabela_Movimentacao_Geral[[#This Row],[ID Produto]])*($H$2:$H400)),
    IF(_xlpm.saldo_atual &gt; 0, IF(RANDBETWEEN(0,10)&gt;3,"Saida","Entrada"), "Entrada")
  ),
  Tabela_Movimentacao_Geral[[#This Row],[Tipo Fluxo]]
)</f>
        <v>Entrada</v>
      </c>
      <c r="D4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4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401" t="str">
        <f ca="1">IF(
  $O$7="Desbloqueado",
  "PROD"&amp;TEXT(RANDBETWEEN(1,200),"000"),
  Tabela_Movimentacao_Geral[[#This Row],[ID Produto]]
)</f>
        <v>PROD164</v>
      </c>
      <c r="G401" t="str">
        <f ca="1">_xlfn.XLOOKUP(Tabela_Movimentacao_Geral[[#This Row],[ID Produto]], Tabela_Produtos[ID_Produto],Tabela_Produtos[Descricao_Produto],"Produto não encontrado")</f>
        <v>Carimbo Datador Autom</v>
      </c>
      <c r="H401" cm="1">
        <f t="array" aca="1" ref="H401" ca="1">IF(
   $O$7="Desbloqueado",
   _xlfn.LET(
     _xlpm.saldo_atual, SUM(($C$2:$C400="Entrada")*($F$2:$F400=Tabela_Movimentacao_Geral[[#This Row],[ID Produto]])*($H$2:$H400) - ($C$2:$C400="Saida")*($F$2:$F400=Tabela_Movimentacao_Geral[[#This Row],[ID Produto]])*($H$2:$H400)),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401" s="5">
        <f ca="1">_xlfn.XLOOKUP(Tabela_Movimentacao_Geral[[#This Row],[ID Produto]], Tabela_Produtos[ID_Produto],Tabela_Produtos[Preco_Unitario_Venda])</f>
        <v>65</v>
      </c>
      <c r="J401" s="6">
        <f ca="1">Tabela_Movimentacao_Geral[[#This Row],[Quantidade]] * Tabela_Movimentacao_Geral[[#This Row],[Valor Unitário]]</f>
        <v>975</v>
      </c>
      <c r="K401" t="str">
        <f ca="1">IF(
   $O$7="Desbloqueado",
   CHOOSE(RANDBETWEEN(1,3),"Pago","Pendente","Atrasado"),
   Tabela_Movimentacao_Geral[[#This Row],[Status Financeiro]]
)</f>
        <v>Pago</v>
      </c>
      <c r="L401" t="str">
        <f ca="1">IF(
   $O$7="Desbloqueado",
   CHOOSE(RANDBETWEEN(1,3),"Entregue","Em Rota","Aguardando"),
   Tabela_Movimentacao_Geral[[#This Row],[Status Logistico]]
)</f>
        <v>Aguardando</v>
      </c>
      <c r="M4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45855</v>
      </c>
    </row>
    <row r="402" spans="1:13" x14ac:dyDescent="0.3">
      <c r="A402" t="str">
        <f t="shared" si="5"/>
        <v>T0401</v>
      </c>
      <c r="B402" s="1">
        <v>45853</v>
      </c>
      <c r="C402" t="str" cm="1">
        <f t="array" aca="1" ref="C402" ca="1">IF($O$7="Desbloqueado",
  _xlfn.LET(
    _xlpm.saldo_atual, SUM(($C$2:$C401="Entrada")*($F$2:$F401=Tabela_Movimentacao_Geral[[#This Row],[ID Produto]])*($H$2:$H401) - ($C$2:$C401="Saida")*($F$2:$F401=Tabela_Movimentacao_Geral[[#This Row],[ID Produto]])*($H$2:$H401)),
    IF(_xlpm.saldo_atual &gt; 0, IF(RANDBETWEEN(0,10)&gt;3,"Saida","Entrada"), "Entrada")
  ),
  Tabela_Movimentacao_Geral[[#This Row],[Tipo Fluxo]]
)</f>
        <v>Entrada</v>
      </c>
      <c r="D4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4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402" t="str">
        <f ca="1">IF(
  $O$7="Desbloqueado",
  "PROD"&amp;TEXT(RANDBETWEEN(1,200),"000"),
  Tabela_Movimentacao_Geral[[#This Row],[ID Produto]]
)</f>
        <v>PROD073</v>
      </c>
      <c r="G402" t="str">
        <f ca="1">_xlfn.XLOOKUP(Tabela_Movimentacao_Geral[[#This Row],[ID Produto]], Tabela_Produtos[ID_Produto],Tabela_Produtos[Descricao_Produto],"Produto não encontrado")</f>
        <v>Cracha de Identificacao</v>
      </c>
      <c r="H402" cm="1">
        <f t="array" aca="1" ref="H402" ca="1">IF(
   $O$7="Desbloqueado",
   _xlfn.LET(
     _xlpm.saldo_atual, SUM(($C$2:$C401="Entrada")*($F$2:$F401=Tabela_Movimentacao_Geral[[#This Row],[ID Produto]])*($H$2:$H401) - ($C$2:$C401="Saida")*($F$2:$F401=Tabela_Movimentacao_Geral[[#This Row],[ID Produto]])*($H$2:$H401)),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98</v>
      </c>
      <c r="I402" s="5">
        <f ca="1">_xlfn.XLOOKUP(Tabela_Movimentacao_Geral[[#This Row],[ID Produto]], Tabela_Produtos[ID_Produto],Tabela_Produtos[Preco_Unitario_Venda])</f>
        <v>2.5</v>
      </c>
      <c r="J402" s="6">
        <f ca="1">Tabela_Movimentacao_Geral[[#This Row],[Quantidade]] * Tabela_Movimentacao_Geral[[#This Row],[Valor Unitário]]</f>
        <v>245</v>
      </c>
      <c r="K402" t="str">
        <f ca="1">IF(
   $O$7="Desbloqueado",
   CHOOSE(RANDBETWEEN(1,3),"Pago","Pendente","Atrasado"),
   Tabela_Movimentacao_Geral[[#This Row],[Status Financeiro]]
)</f>
        <v>Pendente</v>
      </c>
      <c r="L402" t="str">
        <f ca="1">IF(
   $O$7="Desbloqueado",
   CHOOSE(RANDBETWEEN(1,3),"Entregue","Em Rota","Aguardando"),
   Tabela_Movimentacao_Geral[[#This Row],[Status Logistico]]
)</f>
        <v>Aguardando</v>
      </c>
      <c r="M40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45855</v>
      </c>
    </row>
    <row r="403" spans="1:13" x14ac:dyDescent="0.3">
      <c r="A403" t="str">
        <f t="shared" si="5"/>
        <v>T0402</v>
      </c>
      <c r="B403" s="1">
        <v>45854</v>
      </c>
      <c r="C403" t="str" cm="1">
        <f t="array" aca="1" ref="C403" ca="1">IF($O$7="Desbloqueado",
  _xlfn.LET(
    _xlpm.saldo_atual, SUM(($C$2:$C402="Entrada")*($F$2:$F402=Tabela_Movimentacao_Geral[[#This Row],[ID Produto]])*($H$2:$H402) - ($C$2:$C402="Saida")*($F$2:$F402=Tabela_Movimentacao_Geral[[#This Row],[ID Produto]])*($H$2:$H402)),
    IF(_xlpm.saldo_atual &gt; 0, IF(RANDBETWEEN(0,10)&gt;3,"Saida","Entrada"), "Entrada")
  ),
  Tabela_Movimentacao_Geral[[#This Row],[Tipo Fluxo]]
)</f>
        <v>Entrada</v>
      </c>
      <c r="D4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4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403" t="str">
        <f ca="1">IF(
  $O$7="Desbloqueado",
  "PROD"&amp;TEXT(RANDBETWEEN(1,200),"000"),
  Tabela_Movimentacao_Geral[[#This Row],[ID Produto]]
)</f>
        <v>PROD159</v>
      </c>
      <c r="G403" t="str">
        <f ca="1">_xlfn.XLOOKUP(Tabela_Movimentacao_Geral[[#This Row],[ID Produto]], Tabela_Produtos[ID_Produto],Tabela_Produtos[Descricao_Produto],"Produto não encontrado")</f>
        <v>Elastico de Borracha 100g</v>
      </c>
      <c r="H403" cm="1">
        <f t="array" aca="1" ref="H403" ca="1">IF(
   $O$7="Desbloqueado",
   _xlfn.LET(
     _xlpm.saldo_atual, SUM(($C$2:$C402="Entrada")*($F$2:$F402=Tabela_Movimentacao_Geral[[#This Row],[ID Produto]])*($H$2:$H402) - ($C$2:$C402="Saida")*($F$2:$F402=Tabela_Movimentacao_Geral[[#This Row],[ID Produto]])*($H$2:$H402)),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131</v>
      </c>
      <c r="I403" s="5">
        <f ca="1">_xlfn.XLOOKUP(Tabela_Movimentacao_Geral[[#This Row],[ID Produto]], Tabela_Produtos[ID_Produto],Tabela_Produtos[Preco_Unitario_Venda])</f>
        <v>12</v>
      </c>
      <c r="J403" s="6">
        <f ca="1">Tabela_Movimentacao_Geral[[#This Row],[Quantidade]] * Tabela_Movimentacao_Geral[[#This Row],[Valor Unitário]]</f>
        <v>1572</v>
      </c>
      <c r="K403" t="str">
        <f ca="1">IF(
   $O$7="Desbloqueado",
   CHOOSE(RANDBETWEEN(1,3),"Pago","Pendente","Atrasado"),
   Tabela_Movimentacao_Geral[[#This Row],[Status Financeiro]]
)</f>
        <v>Pago</v>
      </c>
      <c r="L403" t="str">
        <f ca="1">IF(
   $O$7="Desbloqueado",
   CHOOSE(RANDBETWEEN(1,3),"Entregue","Em Rota","Aguardando"),
   Tabela_Movimentacao_Geral[[#This Row],[Status Logistico]]
)</f>
        <v>Em Rota</v>
      </c>
      <c r="M40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45855</v>
      </c>
    </row>
    <row r="404" spans="1:13" x14ac:dyDescent="0.3">
      <c r="A404" t="str">
        <f t="shared" si="5"/>
        <v>T0403</v>
      </c>
      <c r="B404" s="1">
        <v>45855</v>
      </c>
      <c r="C404" t="str" cm="1">
        <f t="array" aca="1" ref="C404" ca="1">IF($O$7="Desbloqueado",
  _xlfn.LET(
    _xlpm.saldo_atual, SUM(($C$2:$C403="Entrada")*($F$2:$F403=Tabela_Movimentacao_Geral[[#This Row],[ID Produto]])*($H$2:$H403) - ($C$2:$C403="Saida")*($F$2:$F403=Tabela_Movimentacao_Geral[[#This Row],[ID Produto]])*($H$2:$H403)),
    IF(_xlpm.saldo_atual &gt; 0, IF(RANDBETWEEN(0,10)&gt;3,"Saida","Entrada"), "Entrada")
  ),
  Tabela_Movimentacao_Geral[[#This Row],[Tipo Fluxo]]
)</f>
        <v>Saida</v>
      </c>
      <c r="D4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4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404" t="str">
        <f ca="1">IF(
  $O$7="Desbloqueado",
  "PROD"&amp;TEXT(RANDBETWEEN(1,200),"000"),
  Tabela_Movimentacao_Geral[[#This Row],[ID Produto]]
)</f>
        <v>PROD090</v>
      </c>
      <c r="G404" t="str">
        <f ca="1">_xlfn.XLOOKUP(Tabela_Movimentacao_Geral[[#This Row],[ID Produto]], Tabela_Produtos[ID_Produto],Tabela_Produtos[Descricao_Produto],"Produto não encontrado")</f>
        <v>Bandeja Fixa para Rack</v>
      </c>
      <c r="H404" cm="1">
        <f t="array" aca="1" ref="H404" ca="1">IF(
   $O$7="Desbloqueado",
   _xlfn.LET(
     _xlpm.saldo_atual, SUM(($C$2:$C403="Entrada")*($F$2:$F403=Tabela_Movimentacao_Geral[[#This Row],[ID Produto]])*($H$2:$H403) - ($C$2:$C403="Saida")*($F$2:$F403=Tabela_Movimentacao_Geral[[#This Row],[ID Produto]])*($H$2:$H403)),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67</v>
      </c>
      <c r="I404" s="5">
        <f ca="1">_xlfn.XLOOKUP(Tabela_Movimentacao_Geral[[#This Row],[ID Produto]], Tabela_Produtos[ID_Produto],Tabela_Produtos[Preco_Unitario_Venda])</f>
        <v>140</v>
      </c>
      <c r="J404" s="6">
        <f ca="1">Tabela_Movimentacao_Geral[[#This Row],[Quantidade]] * Tabela_Movimentacao_Geral[[#This Row],[Valor Unitário]]</f>
        <v>9380</v>
      </c>
      <c r="K404" t="str">
        <f ca="1">IF(
   $O$7="Desbloqueado",
   CHOOSE(RANDBETWEEN(1,3),"Pago","Pendente","Atrasado"),
   Tabela_Movimentacao_Geral[[#This Row],[Status Financeiro]]
)</f>
        <v>Pendente</v>
      </c>
      <c r="L404" t="str">
        <f ca="1">IF(
   $O$7="Desbloqueado",
   CHOOSE(RANDBETWEEN(1,3),"Entregue","Em Rota","Aguardando"),
   Tabela_Movimentacao_Geral[[#This Row],[Status Logistico]]
)</f>
        <v>Aguardando</v>
      </c>
      <c r="M40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5" spans="1:13" x14ac:dyDescent="0.3">
      <c r="A405" t="str">
        <f t="shared" si="5"/>
        <v>T0404</v>
      </c>
      <c r="B405" s="1">
        <v>45855</v>
      </c>
      <c r="C405" t="str" cm="1">
        <f t="array" aca="1" ref="C405" ca="1">IF($O$7="Desbloqueado",
  _xlfn.LET(
    _xlpm.saldo_atual, SUM(($C$2:$C404="Entrada")*($F$2:$F404=Tabela_Movimentacao_Geral[[#This Row],[ID Produto]])*($H$2:$H404) - ($C$2:$C404="Saida")*($F$2:$F404=Tabela_Movimentacao_Geral[[#This Row],[ID Produto]])*($H$2:$H404)),
    IF(_xlpm.saldo_atual &gt; 0, IF(RANDBETWEEN(0,10)&gt;3,"Saida","Entrada"), "Entrada")
  ),
  Tabela_Movimentacao_Geral[[#This Row],[Tipo Fluxo]]
)</f>
        <v>Saida</v>
      </c>
      <c r="D4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4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405" t="str">
        <f ca="1">IF(
  $O$7="Desbloqueado",
  "PROD"&amp;TEXT(RANDBETWEEN(1,200),"000"),
  Tabela_Movimentacao_Geral[[#This Row],[ID Produto]]
)</f>
        <v>PROD047</v>
      </c>
      <c r="G405" t="str">
        <f ca="1">_xlfn.XLOOKUP(Tabela_Movimentacao_Geral[[#This Row],[ID Produto]], Tabela_Produtos[ID_Produto],Tabela_Produtos[Descricao_Produto],"Produto não encontrado")</f>
        <v>Etiquetadora Termica</v>
      </c>
      <c r="H405" cm="1">
        <f t="array" aca="1" ref="H405" ca="1">IF(
   $O$7="Desbloqueado",
   _xlfn.LET(
     _xlpm.saldo_atual, SUM(($C$2:$C404="Entrada")*($F$2:$F404=Tabela_Movimentacao_Geral[[#This Row],[ID Produto]])*($H$2:$H404) - ($C$2:$C404="Saida")*($F$2:$F404=Tabela_Movimentacao_Geral[[#This Row],[ID Produto]])*($H$2:$H404)),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405" s="5">
        <f ca="1">_xlfn.XLOOKUP(Tabela_Movimentacao_Geral[[#This Row],[ID Produto]], Tabela_Produtos[ID_Produto],Tabela_Produtos[Preco_Unitario_Venda])</f>
        <v>420</v>
      </c>
      <c r="J405" s="6">
        <f ca="1">Tabela_Movimentacao_Geral[[#This Row],[Quantidade]] * Tabela_Movimentacao_Geral[[#This Row],[Valor Unitário]]</f>
        <v>2100</v>
      </c>
      <c r="K405" t="str">
        <f ca="1">IF(
   $O$7="Desbloqueado",
   CHOOSE(RANDBETWEEN(1,3),"Pago","Pendente","Atrasado"),
   Tabela_Movimentacao_Geral[[#This Row],[Status Financeiro]]
)</f>
        <v>Atrasado</v>
      </c>
      <c r="L405" t="str">
        <f ca="1">IF(
   $O$7="Desbloqueado",
   CHOOSE(RANDBETWEEN(1,3),"Entregue","Em Rota","Aguardando"),
   Tabela_Movimentacao_Geral[[#This Row],[Status Logistico]]
)</f>
        <v>Entregue</v>
      </c>
      <c r="M40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6" spans="1:13" x14ac:dyDescent="0.3">
      <c r="A406" t="str">
        <f t="shared" si="5"/>
        <v>T0405</v>
      </c>
      <c r="B406" s="1">
        <v>45856</v>
      </c>
      <c r="C406" t="str" cm="1">
        <f t="array" aca="1" ref="C406" ca="1">IF($O$7="Desbloqueado",
  _xlfn.LET(
    _xlpm.saldo_atual, SUM(($C$2:$C405="Entrada")*($F$2:$F405=Tabela_Movimentacao_Geral[[#This Row],[ID Produto]])*($H$2:$H405) - ($C$2:$C405="Saida")*($F$2:$F405=Tabela_Movimentacao_Geral[[#This Row],[ID Produto]])*($H$2:$H405)),
    IF(_xlpm.saldo_atual &gt; 0, IF(RANDBETWEEN(0,10)&gt;3,"Saida","Entrada"), "Entrada")
  ),
  Tabela_Movimentacao_Geral[[#This Row],[Tipo Fluxo]]
)</f>
        <v>Saida</v>
      </c>
      <c r="D4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4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406" t="str">
        <f ca="1">IF(
  $O$7="Desbloqueado",
  "PROD"&amp;TEXT(RANDBETWEEN(1,200),"000"),
  Tabela_Movimentacao_Geral[[#This Row],[ID Produto]]
)</f>
        <v>PROD022</v>
      </c>
      <c r="G406" t="str">
        <f ca="1">_xlfn.XLOOKUP(Tabela_Movimentacao_Geral[[#This Row],[ID Produto]], Tabela_Produtos[ID_Produto],Tabela_Produtos[Descricao_Produto],"Produto não encontrado")</f>
        <v>Licenca Windows 11 Pro</v>
      </c>
      <c r="H406" cm="1">
        <f t="array" aca="1" ref="H406" ca="1">IF(
   $O$7="Desbloqueado",
   _xlfn.LET(
     _xlpm.saldo_atual, SUM(($C$2:$C405="Entrada")*($F$2:$F405=Tabela_Movimentacao_Geral[[#This Row],[ID Produto]])*($H$2:$H405) - ($C$2:$C405="Saida")*($F$2:$F405=Tabela_Movimentacao_Geral[[#This Row],[ID Produto]])*($H$2:$H405)),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406" s="5">
        <f ca="1">_xlfn.XLOOKUP(Tabela_Movimentacao_Geral[[#This Row],[ID Produto]], Tabela_Produtos[ID_Produto],Tabela_Produtos[Preco_Unitario_Venda])</f>
        <v>980</v>
      </c>
      <c r="J406" s="6">
        <f ca="1">Tabela_Movimentacao_Geral[[#This Row],[Quantidade]] * Tabela_Movimentacao_Geral[[#This Row],[Valor Unitário]]</f>
        <v>980</v>
      </c>
      <c r="K406" t="str">
        <f ca="1">IF(
   $O$7="Desbloqueado",
   CHOOSE(RANDBETWEEN(1,3),"Pago","Pendente","Atrasado"),
   Tabela_Movimentacao_Geral[[#This Row],[Status Financeiro]]
)</f>
        <v>Pendente</v>
      </c>
      <c r="L406" t="str">
        <f ca="1">IF(
   $O$7="Desbloqueado",
   CHOOSE(RANDBETWEEN(1,3),"Entregue","Em Rota","Aguardando"),
   Tabela_Movimentacao_Geral[[#This Row],[Status Logistico]]
)</f>
        <v>Aguardando</v>
      </c>
      <c r="M40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7" spans="1:13" x14ac:dyDescent="0.3">
      <c r="A407" t="str">
        <f t="shared" ref="A407:A470" si="6">"T"&amp;TEXT(ROW(A407)-1,"0000")</f>
        <v>T0406</v>
      </c>
      <c r="B407" s="1">
        <v>45856</v>
      </c>
      <c r="C407" t="str" cm="1">
        <f t="array" aca="1" ref="C407" ca="1">IF($O$7="Desbloqueado",
  _xlfn.LET(
    _xlpm.saldo_atual, SUM(($C$2:$C406="Entrada")*($F$2:$F406=Tabela_Movimentacao_Geral[[#This Row],[ID Produto]])*($H$2:$H406) - ($C$2:$C406="Saida")*($F$2:$F406=Tabela_Movimentacao_Geral[[#This Row],[ID Produto]])*($H$2:$H406)),
    IF(_xlpm.saldo_atual &gt; 0, IF(RANDBETWEEN(0,10)&gt;3,"Saida","Entrada"), "Entrada")
  ),
  Tabela_Movimentacao_Geral[[#This Row],[Tipo Fluxo]]
)</f>
        <v>Saida</v>
      </c>
      <c r="D4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07" t="str">
        <f ca="1">IF(
  $O$7="Desbloqueado",
  "PROD"&amp;TEXT(RANDBETWEEN(1,200),"000"),
  Tabela_Movimentacao_Geral[[#This Row],[ID Produto]]
)</f>
        <v>PROD086</v>
      </c>
      <c r="G407" t="str">
        <f ca="1">_xlfn.XLOOKUP(Tabela_Movimentacao_Geral[[#This Row],[ID Produto]], Tabela_Produtos[ID_Produto],Tabela_Produtos[Descricao_Produto],"Produto não encontrado")</f>
        <v>Transceiver SFP+ 10G</v>
      </c>
      <c r="H407" cm="1">
        <f t="array" aca="1" ref="H407" ca="1">IF(
   $O$7="Desbloqueado",
   _xlfn.LET(
     _xlpm.saldo_atual, SUM(($C$2:$C406="Entrada")*($F$2:$F406=Tabela_Movimentacao_Geral[[#This Row],[ID Produto]])*($H$2:$H406) - ($C$2:$C406="Saida")*($F$2:$F406=Tabela_Movimentacao_Geral[[#This Row],[ID Produto]])*($H$2:$H406)),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407" s="5">
        <f ca="1">_xlfn.XLOOKUP(Tabela_Movimentacao_Geral[[#This Row],[ID Produto]], Tabela_Produtos[ID_Produto],Tabela_Produtos[Preco_Unitario_Venda])</f>
        <v>320</v>
      </c>
      <c r="J407" s="6">
        <f ca="1">Tabela_Movimentacao_Geral[[#This Row],[Quantidade]] * Tabela_Movimentacao_Geral[[#This Row],[Valor Unitário]]</f>
        <v>3200</v>
      </c>
      <c r="K407" t="str">
        <f ca="1">IF(
   $O$7="Desbloqueado",
   CHOOSE(RANDBETWEEN(1,3),"Pago","Pendente","Atrasado"),
   Tabela_Movimentacao_Geral[[#This Row],[Status Financeiro]]
)</f>
        <v>Pago</v>
      </c>
      <c r="L407" t="str">
        <f ca="1">IF(
   $O$7="Desbloqueado",
   CHOOSE(RANDBETWEEN(1,3),"Entregue","Em Rota","Aguardando"),
   Tabela_Movimentacao_Geral[[#This Row],[Status Logistico]]
)</f>
        <v>Entregue</v>
      </c>
      <c r="M40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8" spans="1:13" x14ac:dyDescent="0.3">
      <c r="A408" t="str">
        <f t="shared" si="6"/>
        <v>T0407</v>
      </c>
      <c r="B408" s="1">
        <v>45858</v>
      </c>
      <c r="C408" t="str" cm="1">
        <f t="array" aca="1" ref="C408" ca="1">IF($O$7="Desbloqueado",
  _xlfn.LET(
    _xlpm.saldo_atual, SUM(($C$2:$C407="Entrada")*($F$2:$F407=Tabela_Movimentacao_Geral[[#This Row],[ID Produto]])*($H$2:$H407) - ($C$2:$C407="Saida")*($F$2:$F407=Tabela_Movimentacao_Geral[[#This Row],[ID Produto]])*($H$2:$H407)),
    IF(_xlpm.saldo_atual &gt; 0, IF(RANDBETWEEN(0,10)&gt;3,"Saida","Entrada"), "Entrada")
  ),
  Tabela_Movimentacao_Geral[[#This Row],[Tipo Fluxo]]
)</f>
        <v>Saida</v>
      </c>
      <c r="D4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4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408" t="str">
        <f ca="1">IF(
  $O$7="Desbloqueado",
  "PROD"&amp;TEXT(RANDBETWEEN(1,200),"000"),
  Tabela_Movimentacao_Geral[[#This Row],[ID Produto]]
)</f>
        <v>PROD005</v>
      </c>
      <c r="G408" t="str">
        <f ca="1">_xlfn.XLOOKUP(Tabela_Movimentacao_Geral[[#This Row],[ID Produto]], Tabela_Produtos[ID_Produto],Tabela_Produtos[Descricao_Produto],"Produto não encontrado")</f>
        <v>Notebook i5 8GB 256GB SSD</v>
      </c>
      <c r="H408" cm="1">
        <f t="array" aca="1" ref="H408" ca="1">IF(
   $O$7="Desbloqueado",
   _xlfn.LET(
     _xlpm.saldo_atual, SUM(($C$2:$C407="Entrada")*($F$2:$F407=Tabela_Movimentacao_Geral[[#This Row],[ID Produto]])*($H$2:$H407) - ($C$2:$C407="Saida")*($F$2:$F407=Tabela_Movimentacao_Geral[[#This Row],[ID Produto]])*($H$2:$H407)),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408" s="5">
        <f ca="1">_xlfn.XLOOKUP(Tabela_Movimentacao_Geral[[#This Row],[ID Produto]], Tabela_Produtos[ID_Produto],Tabela_Produtos[Preco_Unitario_Venda])</f>
        <v>3500</v>
      </c>
      <c r="J408" s="6">
        <f ca="1">Tabela_Movimentacao_Geral[[#This Row],[Quantidade]] * Tabela_Movimentacao_Geral[[#This Row],[Valor Unitário]]</f>
        <v>7000</v>
      </c>
      <c r="K408" t="str">
        <f ca="1">IF(
   $O$7="Desbloqueado",
   CHOOSE(RANDBETWEEN(1,3),"Pago","Pendente","Atrasado"),
   Tabela_Movimentacao_Geral[[#This Row],[Status Financeiro]]
)</f>
        <v>Pendente</v>
      </c>
      <c r="L408" t="str">
        <f ca="1">IF(
   $O$7="Desbloqueado",
   CHOOSE(RANDBETWEEN(1,3),"Entregue","Em Rota","Aguardando"),
   Tabela_Movimentacao_Geral[[#This Row],[Status Logistico]]
)</f>
        <v>Entregue</v>
      </c>
      <c r="M40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09" spans="1:13" x14ac:dyDescent="0.3">
      <c r="A409" t="str">
        <f t="shared" si="6"/>
        <v>T0408</v>
      </c>
      <c r="B409" s="1">
        <v>45858</v>
      </c>
      <c r="C409" t="str" cm="1">
        <f t="array" aca="1" ref="C409" ca="1">IF($O$7="Desbloqueado",
  _xlfn.LET(
    _xlpm.saldo_atual, SUM(($C$2:$C408="Entrada")*($F$2:$F408=Tabela_Movimentacao_Geral[[#This Row],[ID Produto]])*($H$2:$H408) - ($C$2:$C408="Saida")*($F$2:$F408=Tabela_Movimentacao_Geral[[#This Row],[ID Produto]])*($H$2:$H408)),
    IF(_xlpm.saldo_atual &gt; 0, IF(RANDBETWEEN(0,10)&gt;3,"Saida","Entrada"), "Entrada")
  ),
  Tabela_Movimentacao_Geral[[#This Row],[Tipo Fluxo]]
)</f>
        <v>Saida</v>
      </c>
      <c r="D4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4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409" t="str">
        <f ca="1">IF(
  $O$7="Desbloqueado",
  "PROD"&amp;TEXT(RANDBETWEEN(1,200),"000"),
  Tabela_Movimentacao_Geral[[#This Row],[ID Produto]]
)</f>
        <v>PROD012</v>
      </c>
      <c r="G409" t="str">
        <f ca="1">_xlfn.XLOOKUP(Tabela_Movimentacao_Geral[[#This Row],[ID Produto]], Tabela_Produtos[ID_Produto],Tabela_Produtos[Descricao_Produto],"Produto não encontrado")</f>
        <v>Webcam 1080p Business</v>
      </c>
      <c r="H409" cm="1">
        <f t="array" aca="1" ref="H409" ca="1">IF(
   $O$7="Desbloqueado",
   _xlfn.LET(
     _xlpm.saldo_atual, SUM(($C$2:$C408="Entrada")*($F$2:$F408=Tabela_Movimentacao_Geral[[#This Row],[ID Produto]])*($H$2:$H408) - ($C$2:$C408="Saida")*($F$2:$F408=Tabela_Movimentacao_Geral[[#This Row],[ID Produto]])*($H$2:$H408)),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409" s="5">
        <f ca="1">_xlfn.XLOOKUP(Tabela_Movimentacao_Geral[[#This Row],[ID Produto]], Tabela_Produtos[ID_Produto],Tabela_Produtos[Preco_Unitario_Venda])</f>
        <v>450</v>
      </c>
      <c r="J409" s="6">
        <f ca="1">Tabela_Movimentacao_Geral[[#This Row],[Quantidade]] * Tabela_Movimentacao_Geral[[#This Row],[Valor Unitário]]</f>
        <v>3150</v>
      </c>
      <c r="K409" t="str">
        <f ca="1">IF(
   $O$7="Desbloqueado",
   CHOOSE(RANDBETWEEN(1,3),"Pago","Pendente","Atrasado"),
   Tabela_Movimentacao_Geral[[#This Row],[Status Financeiro]]
)</f>
        <v>Atrasado</v>
      </c>
      <c r="L409" t="str">
        <f ca="1">IF(
   $O$7="Desbloqueado",
   CHOOSE(RANDBETWEEN(1,3),"Entregue","Em Rota","Aguardando"),
   Tabela_Movimentacao_Geral[[#This Row],[Status Logistico]]
)</f>
        <v>Em Rota</v>
      </c>
      <c r="M40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10" spans="1:13" x14ac:dyDescent="0.3">
      <c r="A410" t="str">
        <f t="shared" si="6"/>
        <v>T0409</v>
      </c>
      <c r="B410" s="1">
        <v>45859</v>
      </c>
      <c r="C410" t="str" cm="1">
        <f t="array" aca="1" ref="C410" ca="1">IF($O$7="Desbloqueado",
  _xlfn.LET(
    _xlpm.saldo_atual, SUM(($C$2:$C409="Entrada")*($F$2:$F409=Tabela_Movimentacao_Geral[[#This Row],[ID Produto]])*($H$2:$H409) - ($C$2:$C409="Saida")*($F$2:$F409=Tabela_Movimentacao_Geral[[#This Row],[ID Produto]])*($H$2:$H409)),
    IF(_xlpm.saldo_atual &gt; 0, IF(RANDBETWEEN(0,10)&gt;3,"Saida","Entrada"), "Entrada")
  ),
  Tabela_Movimentacao_Geral[[#This Row],[Tipo Fluxo]]
)</f>
        <v>Entrada</v>
      </c>
      <c r="D4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4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410" t="str">
        <f ca="1">IF(
  $O$7="Desbloqueado",
  "PROD"&amp;TEXT(RANDBETWEEN(1,200),"000"),
  Tabela_Movimentacao_Geral[[#This Row],[ID Produto]]
)</f>
        <v>PROD123</v>
      </c>
      <c r="G410" t="str">
        <f ca="1">_xlfn.XLOOKUP(Tabela_Movimentacao_Geral[[#This Row],[ID Produto]], Tabela_Produtos[ID_Produto],Tabela_Produtos[Descricao_Produto],"Produto não encontrado")</f>
        <v>Assinatura Zoom Business</v>
      </c>
      <c r="H410" cm="1">
        <f t="array" aca="1" ref="H410" ca="1">IF(
   $O$7="Desbloqueado",
   _xlfn.LET(
     _xlpm.saldo_atual, SUM(($C$2:$C409="Entrada")*($F$2:$F409=Tabela_Movimentacao_Geral[[#This Row],[ID Produto]])*($H$2:$H409) - ($C$2:$C409="Saida")*($F$2:$F409=Tabela_Movimentacao_Geral[[#This Row],[ID Produto]])*($H$2:$H409)),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63</v>
      </c>
      <c r="I410" s="5">
        <f ca="1">_xlfn.XLOOKUP(Tabela_Movimentacao_Geral[[#This Row],[ID Produto]], Tabela_Produtos[ID_Produto],Tabela_Produtos[Preco_Unitario_Venda])</f>
        <v>950</v>
      </c>
      <c r="J410" s="6">
        <f ca="1">Tabela_Movimentacao_Geral[[#This Row],[Quantidade]] * Tabela_Movimentacao_Geral[[#This Row],[Valor Unitário]]</f>
        <v>59850</v>
      </c>
      <c r="K410" t="str">
        <f ca="1">IF(
   $O$7="Desbloqueado",
   CHOOSE(RANDBETWEEN(1,3),"Pago","Pendente","Atrasado"),
   Tabela_Movimentacao_Geral[[#This Row],[Status Financeiro]]
)</f>
        <v>Pendente</v>
      </c>
      <c r="L410" t="str">
        <f ca="1">IF(
   $O$7="Desbloqueado",
   CHOOSE(RANDBETWEEN(1,3),"Entregue","Em Rota","Aguardando"),
   Tabela_Movimentacao_Geral[[#This Row],[Status Logistico]]
)</f>
        <v>Em Rota</v>
      </c>
      <c r="M41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45864</v>
      </c>
    </row>
    <row r="411" spans="1:13" x14ac:dyDescent="0.3">
      <c r="A411" t="str">
        <f t="shared" si="6"/>
        <v>T0410</v>
      </c>
      <c r="B411" s="1">
        <v>45859</v>
      </c>
      <c r="C411" t="str" cm="1">
        <f t="array" aca="1" ref="C411" ca="1">IF($O$7="Desbloqueado",
  _xlfn.LET(
    _xlpm.saldo_atual, SUM(($C$2:$C410="Entrada")*($F$2:$F410=Tabela_Movimentacao_Geral[[#This Row],[ID Produto]])*($H$2:$H410) - ($C$2:$C410="Saida")*($F$2:$F410=Tabela_Movimentacao_Geral[[#This Row],[ID Produto]])*($H$2:$H410)),
    IF(_xlpm.saldo_atual &gt; 0, IF(RANDBETWEEN(0,10)&gt;3,"Saida","Entrada"), "Entrada")
  ),
  Tabela_Movimentacao_Geral[[#This Row],[Tipo Fluxo]]
)</f>
        <v>Entrada</v>
      </c>
      <c r="D4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4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411" t="str">
        <f ca="1">IF(
  $O$7="Desbloqueado",
  "PROD"&amp;TEXT(RANDBETWEEN(1,200),"000"),
  Tabela_Movimentacao_Geral[[#This Row],[ID Produto]]
)</f>
        <v>PROD016</v>
      </c>
      <c r="G411" t="str">
        <f ca="1">_xlfn.XLOOKUP(Tabela_Movimentacao_Geral[[#This Row],[ID Produto]], Tabela_Produtos[ID_Produto],Tabela_Produtos[Descricao_Produto],"Produto não encontrado")</f>
        <v>Filtro de Linha 6 Tomadas</v>
      </c>
      <c r="H411" cm="1">
        <f t="array" aca="1" ref="H411" ca="1">IF(
   $O$7="Desbloqueado",
   _xlfn.LET(
     _xlpm.saldo_atual, SUM(($C$2:$C410="Entrada")*($F$2:$F410=Tabela_Movimentacao_Geral[[#This Row],[ID Produto]])*($H$2:$H410) - ($C$2:$C410="Saida")*($F$2:$F410=Tabela_Movimentacao_Geral[[#This Row],[ID Produto]])*($H$2:$H410)),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411" s="5">
        <f ca="1">_xlfn.XLOOKUP(Tabela_Movimentacao_Geral[[#This Row],[ID Produto]], Tabela_Produtos[ID_Produto],Tabela_Produtos[Preco_Unitario_Venda])</f>
        <v>55</v>
      </c>
      <c r="J411" s="6">
        <f ca="1">Tabela_Movimentacao_Geral[[#This Row],[Quantidade]] * Tabela_Movimentacao_Geral[[#This Row],[Valor Unitário]]</f>
        <v>1430</v>
      </c>
      <c r="K411" t="str">
        <f ca="1">IF(
   $O$7="Desbloqueado",
   CHOOSE(RANDBETWEEN(1,3),"Pago","Pendente","Atrasado"),
   Tabela_Movimentacao_Geral[[#This Row],[Status Financeiro]]
)</f>
        <v>Atrasado</v>
      </c>
      <c r="L411" t="str">
        <f ca="1">IF(
   $O$7="Desbloqueado",
   CHOOSE(RANDBETWEEN(1,3),"Entregue","Em Rota","Aguardando"),
   Tabela_Movimentacao_Geral[[#This Row],[Status Logistico]]
)</f>
        <v>Entregue</v>
      </c>
      <c r="M41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45861</v>
      </c>
    </row>
    <row r="412" spans="1:13" x14ac:dyDescent="0.3">
      <c r="A412" t="str">
        <f t="shared" si="6"/>
        <v>T0411</v>
      </c>
      <c r="B412" s="1">
        <v>45860</v>
      </c>
      <c r="C412" t="str" cm="1">
        <f t="array" aca="1" ref="C412" ca="1">IF($O$7="Desbloqueado",
  _xlfn.LET(
    _xlpm.saldo_atual, SUM(($C$2:$C411="Entrada")*($F$2:$F411=Tabela_Movimentacao_Geral[[#This Row],[ID Produto]])*($H$2:$H411) - ($C$2:$C411="Saida")*($F$2:$F411=Tabela_Movimentacao_Geral[[#This Row],[ID Produto]])*($H$2:$H411)),
    IF(_xlpm.saldo_atual &gt; 0, IF(RANDBETWEEN(0,10)&gt;3,"Saida","Entrada"), "Entrada")
  ),
  Tabela_Movimentacao_Geral[[#This Row],[Tipo Fluxo]]
)</f>
        <v>Saida</v>
      </c>
      <c r="D4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12" t="str">
        <f ca="1">IF(
  $O$7="Desbloqueado",
  "PROD"&amp;TEXT(RANDBETWEEN(1,200),"000"),
  Tabela_Movimentacao_Geral[[#This Row],[ID Produto]]
)</f>
        <v>PROD011</v>
      </c>
      <c r="G412" t="str">
        <f ca="1">_xlfn.XLOOKUP(Tabela_Movimentacao_Geral[[#This Row],[ID Produto]], Tabela_Produtos[ID_Produto],Tabela_Produtos[Descricao_Produto],"Produto não encontrado")</f>
        <v>Memoria RAM 8GB DDR4</v>
      </c>
      <c r="H412" cm="1">
        <f t="array" aca="1" ref="H412" ca="1">IF(
   $O$7="Desbloqueado",
   _xlfn.LET(
     _xlpm.saldo_atual, SUM(($C$2:$C411="Entrada")*($F$2:$F411=Tabela_Movimentacao_Geral[[#This Row],[ID Produto]])*($H$2:$H411) - ($C$2:$C411="Saida")*($F$2:$F411=Tabela_Movimentacao_Geral[[#This Row],[ID Produto]])*($H$2:$H411)),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412" s="5">
        <f ca="1">_xlfn.XLOOKUP(Tabela_Movimentacao_Geral[[#This Row],[ID Produto]], Tabela_Produtos[ID_Produto],Tabela_Produtos[Preco_Unitario_Venda])</f>
        <v>280</v>
      </c>
      <c r="J412" s="6">
        <f ca="1">Tabela_Movimentacao_Geral[[#This Row],[Quantidade]] * Tabela_Movimentacao_Geral[[#This Row],[Valor Unitário]]</f>
        <v>5040</v>
      </c>
      <c r="K412" t="str">
        <f ca="1">IF(
   $O$7="Desbloqueado",
   CHOOSE(RANDBETWEEN(1,3),"Pago","Pendente","Atrasado"),
   Tabela_Movimentacao_Geral[[#This Row],[Status Financeiro]]
)</f>
        <v>Pendente</v>
      </c>
      <c r="L412" t="str">
        <f ca="1">IF(
   $O$7="Desbloqueado",
   CHOOSE(RANDBETWEEN(1,3),"Entregue","Em Rota","Aguardando"),
   Tabela_Movimentacao_Geral[[#This Row],[Status Logistico]]
)</f>
        <v>Entregue</v>
      </c>
      <c r="M41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13" spans="1:13" x14ac:dyDescent="0.3">
      <c r="A413" t="str">
        <f t="shared" si="6"/>
        <v>T0412</v>
      </c>
      <c r="B413" s="1">
        <v>45862</v>
      </c>
      <c r="C413" t="str" cm="1">
        <f t="array" aca="1" ref="C413" ca="1">IF($O$7="Desbloqueado",
  _xlfn.LET(
    _xlpm.saldo_atual, SUM(($C$2:$C412="Entrada")*($F$2:$F412=Tabela_Movimentacao_Geral[[#This Row],[ID Produto]])*($H$2:$H412) - ($C$2:$C412="Saida")*($F$2:$F412=Tabela_Movimentacao_Geral[[#This Row],[ID Produto]])*($H$2:$H412)),
    IF(_xlpm.saldo_atual &gt; 0, IF(RANDBETWEEN(0,10)&gt;3,"Saida","Entrada"), "Entrada")
  ),
  Tabela_Movimentacao_Geral[[#This Row],[Tipo Fluxo]]
)</f>
        <v>Saida</v>
      </c>
      <c r="D4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4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413" t="str">
        <f ca="1">IF(
  $O$7="Desbloqueado",
  "PROD"&amp;TEXT(RANDBETWEEN(1,200),"000"),
  Tabela_Movimentacao_Geral[[#This Row],[ID Produto]]
)</f>
        <v>PROD018</v>
      </c>
      <c r="G413" t="str">
        <f ca="1">_xlfn.XLOOKUP(Tabela_Movimentacao_Geral[[#This Row],[ID Produto]], Tabela_Produtos[ID_Produto],Tabela_Produtos[Descricao_Produto],"Produto não encontrado")</f>
        <v>HD Externo 1TB</v>
      </c>
      <c r="H413" cm="1">
        <f t="array" aca="1" ref="H413" ca="1">IF(
   $O$7="Desbloqueado",
   _xlfn.LET(
     _xlpm.saldo_atual, SUM(($C$2:$C412="Entrada")*($F$2:$F412=Tabela_Movimentacao_Geral[[#This Row],[ID Produto]])*($H$2:$H412) - ($C$2:$C412="Saida")*($F$2:$F412=Tabela_Movimentacao_Geral[[#This Row],[ID Produto]])*($H$2:$H412)),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413" s="5">
        <f ca="1">_xlfn.XLOOKUP(Tabela_Movimentacao_Geral[[#This Row],[ID Produto]], Tabela_Produtos[ID_Produto],Tabela_Produtos[Preco_Unitario_Venda])</f>
        <v>380</v>
      </c>
      <c r="J413" s="6">
        <f ca="1">Tabela_Movimentacao_Geral[[#This Row],[Quantidade]] * Tabela_Movimentacao_Geral[[#This Row],[Valor Unitário]]</f>
        <v>32300</v>
      </c>
      <c r="K413" t="str">
        <f ca="1">IF(
   $O$7="Desbloqueado",
   CHOOSE(RANDBETWEEN(1,3),"Pago","Pendente","Atrasado"),
   Tabela_Movimentacao_Geral[[#This Row],[Status Financeiro]]
)</f>
        <v>Atrasado</v>
      </c>
      <c r="L413" t="str">
        <f ca="1">IF(
   $O$7="Desbloqueado",
   CHOOSE(RANDBETWEEN(1,3),"Entregue","Em Rota","Aguardando"),
   Tabela_Movimentacao_Geral[[#This Row],[Status Logistico]]
)</f>
        <v>Aguardando</v>
      </c>
      <c r="M41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14" spans="1:13" x14ac:dyDescent="0.3">
      <c r="A414" t="str">
        <f t="shared" si="6"/>
        <v>T0413</v>
      </c>
      <c r="B414" s="1">
        <v>45862</v>
      </c>
      <c r="C414" t="str" cm="1">
        <f t="array" aca="1" ref="C414" ca="1">IF($O$7="Desbloqueado",
  _xlfn.LET(
    _xlpm.saldo_atual, SUM(($C$2:$C413="Entrada")*($F$2:$F413=Tabela_Movimentacao_Geral[[#This Row],[ID Produto]])*($H$2:$H413) - ($C$2:$C413="Saida")*($F$2:$F413=Tabela_Movimentacao_Geral[[#This Row],[ID Produto]])*($H$2:$H413)),
    IF(_xlpm.saldo_atual &gt; 0, IF(RANDBETWEEN(0,10)&gt;3,"Saida","Entrada"), "Entrada")
  ),
  Tabela_Movimentacao_Geral[[#This Row],[Tipo Fluxo]]
)</f>
        <v>Entrada</v>
      </c>
      <c r="D4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4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414" t="str">
        <f ca="1">IF(
  $O$7="Desbloqueado",
  "PROD"&amp;TEXT(RANDBETWEEN(1,200),"000"),
  Tabela_Movimentacao_Geral[[#This Row],[ID Produto]]
)</f>
        <v>PROD082</v>
      </c>
      <c r="G414" t="str">
        <f ca="1">_xlfn.XLOOKUP(Tabela_Movimentacao_Geral[[#This Row],[ID Produto]], Tabela_Produtos[ID_Produto],Tabela_Produtos[Descricao_Produto],"Produto não encontrado")</f>
        <v>HD SAS 600GB 15K</v>
      </c>
      <c r="H414" cm="1">
        <f t="array" aca="1" ref="H414" ca="1">IF(
   $O$7="Desbloqueado",
   _xlfn.LET(
     _xlpm.saldo_atual, SUM(($C$2:$C413="Entrada")*($F$2:$F413=Tabela_Movimentacao_Geral[[#This Row],[ID Produto]])*($H$2:$H413) - ($C$2:$C413="Saida")*($F$2:$F413=Tabela_Movimentacao_Geral[[#This Row],[ID Produto]])*($H$2:$H413)),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</v>
      </c>
      <c r="I414" s="5">
        <f ca="1">_xlfn.XLOOKUP(Tabela_Movimentacao_Geral[[#This Row],[ID Produto]], Tabela_Produtos[ID_Produto],Tabela_Produtos[Preco_Unitario_Venda])</f>
        <v>1800</v>
      </c>
      <c r="J414" s="6">
        <f ca="1">Tabela_Movimentacao_Geral[[#This Row],[Quantidade]] * Tabela_Movimentacao_Geral[[#This Row],[Valor Unitário]]</f>
        <v>90000</v>
      </c>
      <c r="K414" t="str">
        <f ca="1">IF(
   $O$7="Desbloqueado",
   CHOOSE(RANDBETWEEN(1,3),"Pago","Pendente","Atrasado"),
   Tabela_Movimentacao_Geral[[#This Row],[Status Financeiro]]
)</f>
        <v>Atrasado</v>
      </c>
      <c r="L414" t="str">
        <f ca="1">IF(
   $O$7="Desbloqueado",
   CHOOSE(RANDBETWEEN(1,3),"Entregue","Em Rota","Aguardando"),
   Tabela_Movimentacao_Geral[[#This Row],[Status Logistico]]
)</f>
        <v>Aguardando</v>
      </c>
      <c r="M41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45865</v>
      </c>
    </row>
    <row r="415" spans="1:13" x14ac:dyDescent="0.3">
      <c r="A415" t="str">
        <f t="shared" si="6"/>
        <v>T0414</v>
      </c>
      <c r="B415" s="1">
        <v>45862</v>
      </c>
      <c r="C415" t="str" cm="1">
        <f t="array" aca="1" ref="C415" ca="1">IF($O$7="Desbloqueado",
  _xlfn.LET(
    _xlpm.saldo_atual, SUM(($C$2:$C414="Entrada")*($F$2:$F414=Tabela_Movimentacao_Geral[[#This Row],[ID Produto]])*($H$2:$H414) - ($C$2:$C414="Saida")*($F$2:$F414=Tabela_Movimentacao_Geral[[#This Row],[ID Produto]])*($H$2:$H414)),
    IF(_xlpm.saldo_atual &gt; 0, IF(RANDBETWEEN(0,10)&gt;3,"Saida","Entrada"), "Entrada")
  ),
  Tabela_Movimentacao_Geral[[#This Row],[Tipo Fluxo]]
)</f>
        <v>Saida</v>
      </c>
      <c r="D4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4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415" t="str">
        <f ca="1">IF(
  $O$7="Desbloqueado",
  "PROD"&amp;TEXT(RANDBETWEEN(1,200),"000"),
  Tabela_Movimentacao_Geral[[#This Row],[ID Produto]]
)</f>
        <v>PROD099</v>
      </c>
      <c r="G415" t="str">
        <f ca="1">_xlfn.XLOOKUP(Tabela_Movimentacao_Geral[[#This Row],[ID Produto]], Tabela_Produtos[ID_Produto],Tabela_Produtos[Descricao_Produto],"Produto não encontrado")</f>
        <v>HD SkyHawk 4TB (CFTV)</v>
      </c>
      <c r="H415" cm="1">
        <f t="array" aca="1" ref="H415" ca="1">IF(
   $O$7="Desbloqueado",
   _xlfn.LET(
     _xlpm.saldo_atual, SUM(($C$2:$C414="Entrada")*($F$2:$F414=Tabela_Movimentacao_Geral[[#This Row],[ID Produto]])*($H$2:$H414) - ($C$2:$C414="Saida")*($F$2:$F414=Tabela_Movimentacao_Geral[[#This Row],[ID Produto]])*($H$2:$H414)),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415" s="5">
        <f ca="1">_xlfn.XLOOKUP(Tabela_Movimentacao_Geral[[#This Row],[ID Produto]], Tabela_Produtos[ID_Produto],Tabela_Produtos[Preco_Unitario_Venda])</f>
        <v>750</v>
      </c>
      <c r="J415" s="6">
        <f ca="1">Tabela_Movimentacao_Geral[[#This Row],[Quantidade]] * Tabela_Movimentacao_Geral[[#This Row],[Valor Unitário]]</f>
        <v>15750</v>
      </c>
      <c r="K415" t="str">
        <f ca="1">IF(
   $O$7="Desbloqueado",
   CHOOSE(RANDBETWEEN(1,3),"Pago","Pendente","Atrasado"),
   Tabela_Movimentacao_Geral[[#This Row],[Status Financeiro]]
)</f>
        <v>Atrasado</v>
      </c>
      <c r="L415" t="str">
        <f ca="1">IF(
   $O$7="Desbloqueado",
   CHOOSE(RANDBETWEEN(1,3),"Entregue","Em Rota","Aguardando"),
   Tabela_Movimentacao_Geral[[#This Row],[Status Logistico]]
)</f>
        <v>Em Rota</v>
      </c>
      <c r="M41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16" spans="1:13" x14ac:dyDescent="0.3">
      <c r="A416" t="str">
        <f t="shared" si="6"/>
        <v>T0415</v>
      </c>
      <c r="B416" s="1">
        <v>45863</v>
      </c>
      <c r="C416" t="str" cm="1">
        <f t="array" aca="1" ref="C416" ca="1">IF($O$7="Desbloqueado",
  _xlfn.LET(
    _xlpm.saldo_atual, SUM(($C$2:$C415="Entrada")*($F$2:$F415=Tabela_Movimentacao_Geral[[#This Row],[ID Produto]])*($H$2:$H415) - ($C$2:$C415="Saida")*($F$2:$F415=Tabela_Movimentacao_Geral[[#This Row],[ID Produto]])*($H$2:$H415)),
    IF(_xlpm.saldo_atual &gt; 0, IF(RANDBETWEEN(0,10)&gt;3,"Saida","Entrada"), "Entrada")
  ),
  Tabela_Movimentacao_Geral[[#This Row],[Tipo Fluxo]]
)</f>
        <v>Entrada</v>
      </c>
      <c r="D4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4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416" t="str">
        <f ca="1">IF(
  $O$7="Desbloqueado",
  "PROD"&amp;TEXT(RANDBETWEEN(1,200),"000"),
  Tabela_Movimentacao_Geral[[#This Row],[ID Produto]]
)</f>
        <v>PROD035</v>
      </c>
      <c r="G416" t="str">
        <f ca="1">_xlfn.XLOOKUP(Tabela_Movimentacao_Geral[[#This Row],[ID Produto]], Tabela_Produtos[ID_Produto],Tabela_Produtos[Descricao_Produto],"Produto não encontrado")</f>
        <v>Tela de Projecao 100 pol</v>
      </c>
      <c r="H416" cm="1">
        <f t="array" aca="1" ref="H416" ca="1">IF(
   $O$7="Desbloqueado",
   _xlfn.LET(
     _xlpm.saldo_atual, SUM(($C$2:$C415="Entrada")*($F$2:$F415=Tabela_Movimentacao_Geral[[#This Row],[ID Produto]])*($H$2:$H415) - ($C$2:$C415="Saida")*($F$2:$F415=Tabela_Movimentacao_Geral[[#This Row],[ID Produto]])*($H$2:$H415)),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46</v>
      </c>
      <c r="I416" s="5">
        <f ca="1">_xlfn.XLOOKUP(Tabela_Movimentacao_Geral[[#This Row],[ID Produto]], Tabela_Produtos[ID_Produto],Tabela_Produtos[Preco_Unitario_Venda])</f>
        <v>600</v>
      </c>
      <c r="J416" s="6">
        <f ca="1">Tabela_Movimentacao_Geral[[#This Row],[Quantidade]] * Tabela_Movimentacao_Geral[[#This Row],[Valor Unitário]]</f>
        <v>27600</v>
      </c>
      <c r="K416" t="str">
        <f ca="1">IF(
   $O$7="Desbloqueado",
   CHOOSE(RANDBETWEEN(1,3),"Pago","Pendente","Atrasado"),
   Tabela_Movimentacao_Geral[[#This Row],[Status Financeiro]]
)</f>
        <v>Pago</v>
      </c>
      <c r="L416" t="str">
        <f ca="1">IF(
   $O$7="Desbloqueado",
   CHOOSE(RANDBETWEEN(1,3),"Entregue","Em Rota","Aguardando"),
   Tabela_Movimentacao_Geral[[#This Row],[Status Logistico]]
)</f>
        <v>Entregue</v>
      </c>
      <c r="M41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45866</v>
      </c>
    </row>
    <row r="417" spans="1:13" x14ac:dyDescent="0.3">
      <c r="A417" t="str">
        <f t="shared" si="6"/>
        <v>T0416</v>
      </c>
      <c r="B417" s="1">
        <v>45863</v>
      </c>
      <c r="C417" t="str" cm="1">
        <f t="array" aca="1" ref="C417" ca="1">IF($O$7="Desbloqueado",
  _xlfn.LET(
    _xlpm.saldo_atual, SUM(($C$2:$C416="Entrada")*($F$2:$F416=Tabela_Movimentacao_Geral[[#This Row],[ID Produto]])*($H$2:$H416) - ($C$2:$C416="Saida")*($F$2:$F416=Tabela_Movimentacao_Geral[[#This Row],[ID Produto]])*($H$2:$H416)),
    IF(_xlpm.saldo_atual &gt; 0, IF(RANDBETWEEN(0,10)&gt;3,"Saida","Entrada"), "Entrada")
  ),
  Tabela_Movimentacao_Geral[[#This Row],[Tipo Fluxo]]
)</f>
        <v>Saida</v>
      </c>
      <c r="D4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4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417" t="str">
        <f ca="1">IF(
  $O$7="Desbloqueado",
  "PROD"&amp;TEXT(RANDBETWEEN(1,200),"000"),
  Tabela_Movimentacao_Geral[[#This Row],[ID Produto]]
)</f>
        <v>PROD174</v>
      </c>
      <c r="G417" t="str">
        <f ca="1">_xlfn.XLOOKUP(Tabela_Movimentacao_Geral[[#This Row],[ID Produto]], Tabela_Produtos[ID_Produto],Tabela_Produtos[Descricao_Produto],"Produto não encontrado")</f>
        <v>Filme Stretch Manual 50cm</v>
      </c>
      <c r="H417" cm="1">
        <f t="array" aca="1" ref="H417" ca="1">IF(
   $O$7="Desbloqueado",
   _xlfn.LET(
     _xlpm.saldo_atual, SUM(($C$2:$C416="Entrada")*($F$2:$F416=Tabela_Movimentacao_Geral[[#This Row],[ID Produto]])*($H$2:$H416) - ($C$2:$C416="Saida")*($F$2:$F416=Tabela_Movimentacao_Geral[[#This Row],[ID Produto]])*($H$2:$H416)),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158</v>
      </c>
      <c r="I417" s="5">
        <f ca="1">_xlfn.XLOOKUP(Tabela_Movimentacao_Geral[[#This Row],[ID Produto]], Tabela_Produtos[ID_Produto],Tabela_Produtos[Preco_Unitario_Venda])</f>
        <v>65</v>
      </c>
      <c r="J417" s="6">
        <f ca="1">Tabela_Movimentacao_Geral[[#This Row],[Quantidade]] * Tabela_Movimentacao_Geral[[#This Row],[Valor Unitário]]</f>
        <v>10270</v>
      </c>
      <c r="K417" t="str">
        <f ca="1">IF(
   $O$7="Desbloqueado",
   CHOOSE(RANDBETWEEN(1,3),"Pago","Pendente","Atrasado"),
   Tabela_Movimentacao_Geral[[#This Row],[Status Financeiro]]
)</f>
        <v>Pago</v>
      </c>
      <c r="L417" t="str">
        <f ca="1">IF(
   $O$7="Desbloqueado",
   CHOOSE(RANDBETWEEN(1,3),"Entregue","Em Rota","Aguardando"),
   Tabela_Movimentacao_Geral[[#This Row],[Status Logistico]]
)</f>
        <v>Em Rota</v>
      </c>
      <c r="M41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18" spans="1:13" x14ac:dyDescent="0.3">
      <c r="A418" t="str">
        <f t="shared" si="6"/>
        <v>T0417</v>
      </c>
      <c r="B418" s="1">
        <v>45863</v>
      </c>
      <c r="C418" t="str" cm="1">
        <f t="array" aca="1" ref="C418" ca="1">IF($O$7="Desbloqueado",
  _xlfn.LET(
    _xlpm.saldo_atual, SUM(($C$2:$C417="Entrada")*($F$2:$F417=Tabela_Movimentacao_Geral[[#This Row],[ID Produto]])*($H$2:$H417) - ($C$2:$C417="Saida")*($F$2:$F417=Tabela_Movimentacao_Geral[[#This Row],[ID Produto]])*($H$2:$H417)),
    IF(_xlpm.saldo_atual &gt; 0, IF(RANDBETWEEN(0,10)&gt;3,"Saida","Entrada"), "Entrada")
  ),
  Tabela_Movimentacao_Geral[[#This Row],[Tipo Fluxo]]
)</f>
        <v>Saida</v>
      </c>
      <c r="D4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4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418" t="str">
        <f ca="1">IF(
  $O$7="Desbloqueado",
  "PROD"&amp;TEXT(RANDBETWEEN(1,200),"000"),
  Tabela_Movimentacao_Geral[[#This Row],[ID Produto]]
)</f>
        <v>PROD168</v>
      </c>
      <c r="G418" t="str">
        <f ca="1">_xlfn.XLOOKUP(Tabela_Movimentacao_Geral[[#This Row],[ID Produto]], Tabela_Produtos[ID_Produto],Tabela_Produtos[Descricao_Produto],"Produto não encontrado")</f>
        <v>Pasta Catalogo 50 Envelopes</v>
      </c>
      <c r="H418" cm="1">
        <f t="array" aca="1" ref="H418" ca="1">IF(
   $O$7="Desbloqueado",
   _xlfn.LET(
     _xlpm.saldo_atual, SUM(($C$2:$C417="Entrada")*($F$2:$F417=Tabela_Movimentacao_Geral[[#This Row],[ID Produto]])*($H$2:$H417) - ($C$2:$C417="Saida")*($F$2:$F417=Tabela_Movimentacao_Geral[[#This Row],[ID Produto]])*($H$2:$H417)),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418" s="5">
        <f ca="1">_xlfn.XLOOKUP(Tabela_Movimentacao_Geral[[#This Row],[ID Produto]], Tabela_Produtos[ID_Produto],Tabela_Produtos[Preco_Unitario_Venda])</f>
        <v>45</v>
      </c>
      <c r="J418" s="6">
        <f ca="1">Tabela_Movimentacao_Geral[[#This Row],[Quantidade]] * Tabela_Movimentacao_Geral[[#This Row],[Valor Unitário]]</f>
        <v>855</v>
      </c>
      <c r="K418" t="str">
        <f ca="1">IF(
   $O$7="Desbloqueado",
   CHOOSE(RANDBETWEEN(1,3),"Pago","Pendente","Atrasado"),
   Tabela_Movimentacao_Geral[[#This Row],[Status Financeiro]]
)</f>
        <v>Pago</v>
      </c>
      <c r="L418" t="str">
        <f ca="1">IF(
   $O$7="Desbloqueado",
   CHOOSE(RANDBETWEEN(1,3),"Entregue","Em Rota","Aguardando"),
   Tabela_Movimentacao_Geral[[#This Row],[Status Logistico]]
)</f>
        <v>Aguardando</v>
      </c>
      <c r="M41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19" spans="1:13" x14ac:dyDescent="0.3">
      <c r="A419" t="str">
        <f t="shared" si="6"/>
        <v>T0418</v>
      </c>
      <c r="B419" s="1">
        <v>45864</v>
      </c>
      <c r="C419" t="str" cm="1">
        <f t="array" aca="1" ref="C419" ca="1">IF($O$7="Desbloqueado",
  _xlfn.LET(
    _xlpm.saldo_atual, SUM(($C$2:$C418="Entrada")*($F$2:$F418=Tabela_Movimentacao_Geral[[#This Row],[ID Produto]])*($H$2:$H418) - ($C$2:$C418="Saida")*($F$2:$F418=Tabela_Movimentacao_Geral[[#This Row],[ID Produto]])*($H$2:$H418)),
    IF(_xlpm.saldo_atual &gt; 0, IF(RANDBETWEEN(0,10)&gt;3,"Saida","Entrada"), "Entrada")
  ),
  Tabela_Movimentacao_Geral[[#This Row],[Tipo Fluxo]]
)</f>
        <v>Saida</v>
      </c>
      <c r="D4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4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419" t="str">
        <f ca="1">IF(
  $O$7="Desbloqueado",
  "PROD"&amp;TEXT(RANDBETWEEN(1,200),"000"),
  Tabela_Movimentacao_Geral[[#This Row],[ID Produto]]
)</f>
        <v>PROD069</v>
      </c>
      <c r="G419" t="str">
        <f ca="1">_xlfn.XLOOKUP(Tabela_Movimentacao_Geral[[#This Row],[ID Produto]], Tabela_Produtos[ID_Produto],Tabela_Produtos[Descricao_Produto],"Produto não encontrado")</f>
        <v>Apagador para Quadro</v>
      </c>
      <c r="H419" cm="1">
        <f t="array" aca="1" ref="H419" ca="1">IF(
   $O$7="Desbloqueado",
   _xlfn.LET(
     _xlpm.saldo_atual, SUM(($C$2:$C418="Entrada")*($F$2:$F418=Tabela_Movimentacao_Geral[[#This Row],[ID Produto]])*($H$2:$H418) - ($C$2:$C418="Saida")*($F$2:$F418=Tabela_Movimentacao_Geral[[#This Row],[ID Produto]])*($H$2:$H418)),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419" s="5">
        <f ca="1">_xlfn.XLOOKUP(Tabela_Movimentacao_Geral[[#This Row],[ID Produto]], Tabela_Produtos[ID_Produto],Tabela_Produtos[Preco_Unitario_Venda])</f>
        <v>15</v>
      </c>
      <c r="J419" s="6">
        <f ca="1">Tabela_Movimentacao_Geral[[#This Row],[Quantidade]] * Tabela_Movimentacao_Geral[[#This Row],[Valor Unitário]]</f>
        <v>150</v>
      </c>
      <c r="K419" t="str">
        <f ca="1">IF(
   $O$7="Desbloqueado",
   CHOOSE(RANDBETWEEN(1,3),"Pago","Pendente","Atrasado"),
   Tabela_Movimentacao_Geral[[#This Row],[Status Financeiro]]
)</f>
        <v>Pendente</v>
      </c>
      <c r="L419" t="str">
        <f ca="1">IF(
   $O$7="Desbloqueado",
   CHOOSE(RANDBETWEEN(1,3),"Entregue","Em Rota","Aguardando"),
   Tabela_Movimentacao_Geral[[#This Row],[Status Logistico]]
)</f>
        <v>Aguardando</v>
      </c>
      <c r="M41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20" spans="1:13" x14ac:dyDescent="0.3">
      <c r="A420" t="str">
        <f t="shared" si="6"/>
        <v>T0419</v>
      </c>
      <c r="B420" s="1">
        <v>45865</v>
      </c>
      <c r="C420" t="str" cm="1">
        <f t="array" aca="1" ref="C420" ca="1">IF($O$7="Desbloqueado",
  _xlfn.LET(
    _xlpm.saldo_atual, SUM(($C$2:$C419="Entrada")*($F$2:$F419=Tabela_Movimentacao_Geral[[#This Row],[ID Produto]])*($H$2:$H419) - ($C$2:$C419="Saida")*($F$2:$F419=Tabela_Movimentacao_Geral[[#This Row],[ID Produto]])*($H$2:$H419)),
    IF(_xlpm.saldo_atual &gt; 0, IF(RANDBETWEEN(0,10)&gt;3,"Saida","Entrada"), "Entrada")
  ),
  Tabela_Movimentacao_Geral[[#This Row],[Tipo Fluxo]]
)</f>
        <v>Saida</v>
      </c>
      <c r="D4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4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420" t="str">
        <f ca="1">IF(
  $O$7="Desbloqueado",
  "PROD"&amp;TEXT(RANDBETWEEN(1,200),"000"),
  Tabela_Movimentacao_Geral[[#This Row],[ID Produto]]
)</f>
        <v>PROD197</v>
      </c>
      <c r="G420" t="str">
        <f ca="1">_xlfn.XLOOKUP(Tabela_Movimentacao_Geral[[#This Row],[ID Produto]], Tabela_Produtos[ID_Produto],Tabela_Produtos[Descricao_Produto],"Produto não encontrado")</f>
        <v>Soprador Térmico 1800W</v>
      </c>
      <c r="H420" cm="1">
        <f t="array" aca="1" ref="H420" ca="1">IF(
   $O$7="Desbloqueado",
   _xlfn.LET(
     _xlpm.saldo_atual, SUM(($C$2:$C419="Entrada")*($F$2:$F419=Tabela_Movimentacao_Geral[[#This Row],[ID Produto]])*($H$2:$H419) - ($C$2:$C419="Saida")*($F$2:$F419=Tabela_Movimentacao_Geral[[#This Row],[ID Produto]])*($H$2:$H419)),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420" s="5">
        <f ca="1">_xlfn.XLOOKUP(Tabela_Movimentacao_Geral[[#This Row],[ID Produto]], Tabela_Produtos[ID_Produto],Tabela_Produtos[Preco_Unitario_Venda])</f>
        <v>280</v>
      </c>
      <c r="J420" s="6">
        <f ca="1">Tabela_Movimentacao_Geral[[#This Row],[Quantidade]] * Tabela_Movimentacao_Geral[[#This Row],[Valor Unitário]]</f>
        <v>3920</v>
      </c>
      <c r="K420" t="str">
        <f ca="1">IF(
   $O$7="Desbloqueado",
   CHOOSE(RANDBETWEEN(1,3),"Pago","Pendente","Atrasado"),
   Tabela_Movimentacao_Geral[[#This Row],[Status Financeiro]]
)</f>
        <v>Pago</v>
      </c>
      <c r="L420" t="str">
        <f ca="1">IF(
   $O$7="Desbloqueado",
   CHOOSE(RANDBETWEEN(1,3),"Entregue","Em Rota","Aguardando"),
   Tabela_Movimentacao_Geral[[#This Row],[Status Logistico]]
)</f>
        <v>Aguardando</v>
      </c>
      <c r="M42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21" spans="1:13" x14ac:dyDescent="0.3">
      <c r="A421" t="str">
        <f t="shared" si="6"/>
        <v>T0420</v>
      </c>
      <c r="B421" s="1">
        <v>45865</v>
      </c>
      <c r="C421" t="str" cm="1">
        <f t="array" aca="1" ref="C421" ca="1">IF($O$7="Desbloqueado",
  _xlfn.LET(
    _xlpm.saldo_atual, SUM(($C$2:$C420="Entrada")*($F$2:$F420=Tabela_Movimentacao_Geral[[#This Row],[ID Produto]])*($H$2:$H420) - ($C$2:$C420="Saida")*($F$2:$F420=Tabela_Movimentacao_Geral[[#This Row],[ID Produto]])*($H$2:$H420)),
    IF(_xlpm.saldo_atual &gt; 0, IF(RANDBETWEEN(0,10)&gt;3,"Saida","Entrada"), "Entrada")
  ),
  Tabela_Movimentacao_Geral[[#This Row],[Tipo Fluxo]]
)</f>
        <v>Entrada</v>
      </c>
      <c r="D4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4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421" t="str">
        <f ca="1">IF(
  $O$7="Desbloqueado",
  "PROD"&amp;TEXT(RANDBETWEEN(1,200),"000"),
  Tabela_Movimentacao_Geral[[#This Row],[ID Produto]]
)</f>
        <v>PROD060</v>
      </c>
      <c r="G421" t="str">
        <f ca="1">_xlfn.XLOOKUP(Tabela_Movimentacao_Geral[[#This Row],[ID Produto]], Tabela_Produtos[ID_Produto],Tabela_Produtos[Descricao_Produto],"Produto não encontrado")</f>
        <v>Grafite 0.7mm HB</v>
      </c>
      <c r="H421" cm="1">
        <f t="array" aca="1" ref="H421" ca="1">IF(
   $O$7="Desbloqueado",
   _xlfn.LET(
     _xlpm.saldo_atual, SUM(($C$2:$C420="Entrada")*($F$2:$F420=Tabela_Movimentacao_Geral[[#This Row],[ID Produto]])*($H$2:$H420) - ($C$2:$C420="Saida")*($F$2:$F420=Tabela_Movimentacao_Geral[[#This Row],[ID Produto]])*($H$2:$H420)),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421" s="5">
        <f ca="1">_xlfn.XLOOKUP(Tabela_Movimentacao_Geral[[#This Row],[ID Produto]], Tabela_Produtos[ID_Produto],Tabela_Produtos[Preco_Unitario_Venda])</f>
        <v>5</v>
      </c>
      <c r="J421" s="6">
        <f ca="1">Tabela_Movimentacao_Geral[[#This Row],[Quantidade]] * Tabela_Movimentacao_Geral[[#This Row],[Valor Unitário]]</f>
        <v>395</v>
      </c>
      <c r="K421" t="str">
        <f ca="1">IF(
   $O$7="Desbloqueado",
   CHOOSE(RANDBETWEEN(1,3),"Pago","Pendente","Atrasado"),
   Tabela_Movimentacao_Geral[[#This Row],[Status Financeiro]]
)</f>
        <v>Pendente</v>
      </c>
      <c r="L421" t="str">
        <f ca="1">IF(
   $O$7="Desbloqueado",
   CHOOSE(RANDBETWEEN(1,3),"Entregue","Em Rota","Aguardando"),
   Tabela_Movimentacao_Geral[[#This Row],[Status Logistico]]
)</f>
        <v>Entregue</v>
      </c>
      <c r="M42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45868</v>
      </c>
    </row>
    <row r="422" spans="1:13" x14ac:dyDescent="0.3">
      <c r="A422" t="str">
        <f t="shared" si="6"/>
        <v>T0421</v>
      </c>
      <c r="B422" s="1">
        <v>45865</v>
      </c>
      <c r="C422" t="str" cm="1">
        <f t="array" aca="1" ref="C422" ca="1">IF($O$7="Desbloqueado",
  _xlfn.LET(
    _xlpm.saldo_atual, SUM(($C$2:$C421="Entrada")*($F$2:$F421=Tabela_Movimentacao_Geral[[#This Row],[ID Produto]])*($H$2:$H421) - ($C$2:$C421="Saida")*($F$2:$F421=Tabela_Movimentacao_Geral[[#This Row],[ID Produto]])*($H$2:$H421)),
    IF(_xlpm.saldo_atual &gt; 0, IF(RANDBETWEEN(0,10)&gt;3,"Saida","Entrada"), "Entrada")
  ),
  Tabela_Movimentacao_Geral[[#This Row],[Tipo Fluxo]]
)</f>
        <v>Entrada</v>
      </c>
      <c r="D4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4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422" t="str">
        <f ca="1">IF(
  $O$7="Desbloqueado",
  "PROD"&amp;TEXT(RANDBETWEEN(1,200),"000"),
  Tabela_Movimentacao_Geral[[#This Row],[ID Produto]]
)</f>
        <v>PROD049</v>
      </c>
      <c r="G422" t="str">
        <f ca="1">_xlfn.XLOOKUP(Tabela_Movimentacao_Geral[[#This Row],[ID Produto]], Tabela_Produtos[ID_Produto],Tabela_Produtos[Descricao_Produto],"Produto não encontrado")</f>
        <v>Scanner de Documentos</v>
      </c>
      <c r="H422" cm="1">
        <f t="array" aca="1" ref="H422" ca="1">IF(
   $O$7="Desbloqueado",
   _xlfn.LET(
     _xlpm.saldo_atual, SUM(($C$2:$C421="Entrada")*($F$2:$F421=Tabela_Movimentacao_Geral[[#This Row],[ID Produto]])*($H$2:$H421) - ($C$2:$C421="Saida")*($F$2:$F421=Tabela_Movimentacao_Geral[[#This Row],[ID Produto]])*($H$2:$H421)),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36</v>
      </c>
      <c r="I422" s="5">
        <f ca="1">_xlfn.XLOOKUP(Tabela_Movimentacao_Geral[[#This Row],[ID Produto]], Tabela_Produtos[ID_Produto],Tabela_Produtos[Preco_Unitario_Venda])</f>
        <v>1550</v>
      </c>
      <c r="J422" s="6">
        <f ca="1">Tabela_Movimentacao_Geral[[#This Row],[Quantidade]] * Tabela_Movimentacao_Geral[[#This Row],[Valor Unitário]]</f>
        <v>55800</v>
      </c>
      <c r="K422" t="str">
        <f ca="1">IF(
   $O$7="Desbloqueado",
   CHOOSE(RANDBETWEEN(1,3),"Pago","Pendente","Atrasado"),
   Tabela_Movimentacao_Geral[[#This Row],[Status Financeiro]]
)</f>
        <v>Atrasado</v>
      </c>
      <c r="L422" t="str">
        <f ca="1">IF(
   $O$7="Desbloqueado",
   CHOOSE(RANDBETWEEN(1,3),"Entregue","Em Rota","Aguardando"),
   Tabela_Movimentacao_Geral[[#This Row],[Status Logistico]]
)</f>
        <v>Aguardando</v>
      </c>
      <c r="M42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45868</v>
      </c>
    </row>
    <row r="423" spans="1:13" x14ac:dyDescent="0.3">
      <c r="A423" t="str">
        <f t="shared" si="6"/>
        <v>T0422</v>
      </c>
      <c r="B423" s="1">
        <v>45865</v>
      </c>
      <c r="C423" t="str" cm="1">
        <f t="array" aca="1" ref="C423" ca="1">IF($O$7="Desbloqueado",
  _xlfn.LET(
    _xlpm.saldo_atual, SUM(($C$2:$C422="Entrada")*($F$2:$F422=Tabela_Movimentacao_Geral[[#This Row],[ID Produto]])*($H$2:$H422) - ($C$2:$C422="Saida")*($F$2:$F422=Tabela_Movimentacao_Geral[[#This Row],[ID Produto]])*($H$2:$H422)),
    IF(_xlpm.saldo_atual &gt; 0, IF(RANDBETWEEN(0,10)&gt;3,"Saida","Entrada"), "Entrada")
  ),
  Tabela_Movimentacao_Geral[[#This Row],[Tipo Fluxo]]
)</f>
        <v>Entrada</v>
      </c>
      <c r="D4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4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423" t="str">
        <f ca="1">IF(
  $O$7="Desbloqueado",
  "PROD"&amp;TEXT(RANDBETWEEN(1,200),"000"),
  Tabela_Movimentacao_Geral[[#This Row],[ID Produto]]
)</f>
        <v>PROD157</v>
      </c>
      <c r="G423" t="str">
        <f ca="1">_xlfn.XLOOKUP(Tabela_Movimentacao_Geral[[#This Row],[ID Produto]], Tabela_Produtos[ID_Produto],Tabela_Produtos[Descricao_Produto],"Produto não encontrado")</f>
        <v>Fita Dupla Face 3M</v>
      </c>
      <c r="H423" cm="1">
        <f t="array" aca="1" ref="H423" ca="1">IF(
   $O$7="Desbloqueado",
   _xlfn.LET(
     _xlpm.saldo_atual, SUM(($C$2:$C422="Entrada")*($F$2:$F422=Tabela_Movimentacao_Geral[[#This Row],[ID Produto]])*($H$2:$H422) - ($C$2:$C422="Saida")*($F$2:$F422=Tabela_Movimentacao_Geral[[#This Row],[ID Produto]])*($H$2:$H422)),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423" s="5">
        <f ca="1">_xlfn.XLOOKUP(Tabela_Movimentacao_Geral[[#This Row],[ID Produto]], Tabela_Produtos[ID_Produto],Tabela_Produtos[Preco_Unitario_Venda])</f>
        <v>28</v>
      </c>
      <c r="J423" s="6">
        <f ca="1">Tabela_Movimentacao_Geral[[#This Row],[Quantidade]] * Tabela_Movimentacao_Geral[[#This Row],[Valor Unitário]]</f>
        <v>2352</v>
      </c>
      <c r="K423" t="str">
        <f ca="1">IF(
   $O$7="Desbloqueado",
   CHOOSE(RANDBETWEEN(1,3),"Pago","Pendente","Atrasado"),
   Tabela_Movimentacao_Geral[[#This Row],[Status Financeiro]]
)</f>
        <v>Atrasado</v>
      </c>
      <c r="L423" t="str">
        <f ca="1">IF(
   $O$7="Desbloqueado",
   CHOOSE(RANDBETWEEN(1,3),"Entregue","Em Rota","Aguardando"),
   Tabela_Movimentacao_Geral[[#This Row],[Status Logistico]]
)</f>
        <v>Aguardando</v>
      </c>
      <c r="M42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45866</v>
      </c>
    </row>
    <row r="424" spans="1:13" x14ac:dyDescent="0.3">
      <c r="A424" t="str">
        <f t="shared" si="6"/>
        <v>T0423</v>
      </c>
      <c r="B424" s="1">
        <v>45866</v>
      </c>
      <c r="C424" t="str" cm="1">
        <f t="array" aca="1" ref="C424" ca="1">IF($O$7="Desbloqueado",
  _xlfn.LET(
    _xlpm.saldo_atual, SUM(($C$2:$C423="Entrada")*($F$2:$F423=Tabela_Movimentacao_Geral[[#This Row],[ID Produto]])*($H$2:$H423) - ($C$2:$C423="Saida")*($F$2:$F423=Tabela_Movimentacao_Geral[[#This Row],[ID Produto]])*($H$2:$H423)),
    IF(_xlpm.saldo_atual &gt; 0, IF(RANDBETWEEN(0,10)&gt;3,"Saida","Entrada"), "Entrada")
  ),
  Tabela_Movimentacao_Geral[[#This Row],[Tipo Fluxo]]
)</f>
        <v>Saida</v>
      </c>
      <c r="D4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24" t="str">
        <f ca="1">IF(
  $O$7="Desbloqueado",
  "PROD"&amp;TEXT(RANDBETWEEN(1,200),"000"),
  Tabela_Movimentacao_Geral[[#This Row],[ID Produto]]
)</f>
        <v>PROD158</v>
      </c>
      <c r="G424" t="str">
        <f ca="1">_xlfn.XLOOKUP(Tabela_Movimentacao_Geral[[#This Row],[ID Produto]], Tabela_Produtos[ID_Produto],Tabela_Produtos[Descricao_Produto],"Produto não encontrado")</f>
        <v>Extrator de Grampos</v>
      </c>
      <c r="H424" cm="1">
        <f t="array" aca="1" ref="H424" ca="1">IF(
   $O$7="Desbloqueado",
   _xlfn.LET(
     _xlpm.saldo_atual, SUM(($C$2:$C423="Entrada")*($F$2:$F423=Tabela_Movimentacao_Geral[[#This Row],[ID Produto]])*($H$2:$H423) - ($C$2:$C423="Saida")*($F$2:$F423=Tabela_Movimentacao_Geral[[#This Row],[ID Produto]])*($H$2:$H423)),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64</v>
      </c>
      <c r="I424" s="5">
        <f ca="1">_xlfn.XLOOKUP(Tabela_Movimentacao_Geral[[#This Row],[ID Produto]], Tabela_Produtos[ID_Produto],Tabela_Produtos[Preco_Unitario_Venda])</f>
        <v>7</v>
      </c>
      <c r="J424" s="6">
        <f ca="1">Tabela_Movimentacao_Geral[[#This Row],[Quantidade]] * Tabela_Movimentacao_Geral[[#This Row],[Valor Unitário]]</f>
        <v>448</v>
      </c>
      <c r="K424" t="str">
        <f ca="1">IF(
   $O$7="Desbloqueado",
   CHOOSE(RANDBETWEEN(1,3),"Pago","Pendente","Atrasado"),
   Tabela_Movimentacao_Geral[[#This Row],[Status Financeiro]]
)</f>
        <v>Pago</v>
      </c>
      <c r="L424" t="str">
        <f ca="1">IF(
   $O$7="Desbloqueado",
   CHOOSE(RANDBETWEEN(1,3),"Entregue","Em Rota","Aguardando"),
   Tabela_Movimentacao_Geral[[#This Row],[Status Logistico]]
)</f>
        <v>Em Rota</v>
      </c>
      <c r="M42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25" spans="1:13" x14ac:dyDescent="0.3">
      <c r="A425" t="str">
        <f t="shared" si="6"/>
        <v>T0424</v>
      </c>
      <c r="B425" s="1">
        <v>45866</v>
      </c>
      <c r="C425" t="str" cm="1">
        <f t="array" aca="1" ref="C425" ca="1">IF($O$7="Desbloqueado",
  _xlfn.LET(
    _xlpm.saldo_atual, SUM(($C$2:$C424="Entrada")*($F$2:$F424=Tabela_Movimentacao_Geral[[#This Row],[ID Produto]])*($H$2:$H424) - ($C$2:$C424="Saida")*($F$2:$F424=Tabela_Movimentacao_Geral[[#This Row],[ID Produto]])*($H$2:$H424)),
    IF(_xlpm.saldo_atual &gt; 0, IF(RANDBETWEEN(0,10)&gt;3,"Saida","Entrada"), "Entrada")
  ),
  Tabela_Movimentacao_Geral[[#This Row],[Tipo Fluxo]]
)</f>
        <v>Entrada</v>
      </c>
      <c r="D4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4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425" t="str">
        <f ca="1">IF(
  $O$7="Desbloqueado",
  "PROD"&amp;TEXT(RANDBETWEEN(1,200),"000"),
  Tabela_Movimentacao_Geral[[#This Row],[ID Produto]]
)</f>
        <v>PROD009</v>
      </c>
      <c r="G425" t="str">
        <f ca="1">_xlfn.XLOOKUP(Tabela_Movimentacao_Geral[[#This Row],[ID Produto]], Tabela_Produtos[ID_Produto],Tabela_Produtos[Descricao_Produto],"Produto não encontrado")</f>
        <v>Cabo HDMI 2.0 2m</v>
      </c>
      <c r="H425" cm="1">
        <f t="array" aca="1" ref="H425" ca="1">IF(
   $O$7="Desbloqueado",
   _xlfn.LET(
     _xlpm.saldo_atual, SUM(($C$2:$C424="Entrada")*($F$2:$F424=Tabela_Movimentacao_Geral[[#This Row],[ID Produto]])*($H$2:$H424) - ($C$2:$C424="Saida")*($F$2:$F424=Tabela_Movimentacao_Geral[[#This Row],[ID Produto]])*($H$2:$H424)),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154</v>
      </c>
      <c r="I425" s="5">
        <f ca="1">_xlfn.XLOOKUP(Tabela_Movimentacao_Geral[[#This Row],[ID Produto]], Tabela_Produtos[ID_Produto],Tabela_Produtos[Preco_Unitario_Venda])</f>
        <v>45</v>
      </c>
      <c r="J425" s="6">
        <f ca="1">Tabela_Movimentacao_Geral[[#This Row],[Quantidade]] * Tabela_Movimentacao_Geral[[#This Row],[Valor Unitário]]</f>
        <v>6930</v>
      </c>
      <c r="K425" t="str">
        <f ca="1">IF(
   $O$7="Desbloqueado",
   CHOOSE(RANDBETWEEN(1,3),"Pago","Pendente","Atrasado"),
   Tabela_Movimentacao_Geral[[#This Row],[Status Financeiro]]
)</f>
        <v>Pago</v>
      </c>
      <c r="L425" t="str">
        <f ca="1">IF(
   $O$7="Desbloqueado",
   CHOOSE(RANDBETWEEN(1,3),"Entregue","Em Rota","Aguardando"),
   Tabela_Movimentacao_Geral[[#This Row],[Status Logistico]]
)</f>
        <v>Aguardando</v>
      </c>
      <c r="M42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45867</v>
      </c>
    </row>
    <row r="426" spans="1:13" x14ac:dyDescent="0.3">
      <c r="A426" t="str">
        <f t="shared" si="6"/>
        <v>T0425</v>
      </c>
      <c r="B426" s="1">
        <v>45867</v>
      </c>
      <c r="C426" t="str" cm="1">
        <f t="array" aca="1" ref="C426" ca="1">IF($O$7="Desbloqueado",
  _xlfn.LET(
    _xlpm.saldo_atual, SUM(($C$2:$C425="Entrada")*($F$2:$F425=Tabela_Movimentacao_Geral[[#This Row],[ID Produto]])*($H$2:$H425) - ($C$2:$C425="Saida")*($F$2:$F425=Tabela_Movimentacao_Geral[[#This Row],[ID Produto]])*($H$2:$H425)),
    IF(_xlpm.saldo_atual &gt; 0, IF(RANDBETWEEN(0,10)&gt;3,"Saida","Entrada"), "Entrada")
  ),
  Tabela_Movimentacao_Geral[[#This Row],[Tipo Fluxo]]
)</f>
        <v>Saida</v>
      </c>
      <c r="D4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4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426" t="str">
        <f ca="1">IF(
  $O$7="Desbloqueado",
  "PROD"&amp;TEXT(RANDBETWEEN(1,200),"000"),
  Tabela_Movimentacao_Geral[[#This Row],[ID Produto]]
)</f>
        <v>PROD081</v>
      </c>
      <c r="G426" t="str">
        <f ca="1">_xlfn.XLOOKUP(Tabela_Movimentacao_Geral[[#This Row],[ID Produto]], Tabela_Produtos[ID_Produto],Tabela_Produtos[Descricao_Produto],"Produto não encontrado")</f>
        <v>Servidor Rack 1U</v>
      </c>
      <c r="H426" cm="1">
        <f t="array" aca="1" ref="H426" ca="1">IF(
   $O$7="Desbloqueado",
   _xlfn.LET(
     _xlpm.saldo_atual, SUM(($C$2:$C425="Entrada")*($F$2:$F425=Tabela_Movimentacao_Geral[[#This Row],[ID Produto]])*($H$2:$H425) - ($C$2:$C425="Saida")*($F$2:$F425=Tabela_Movimentacao_Geral[[#This Row],[ID Produto]])*($H$2:$H425)),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426" s="5">
        <f ca="1">_xlfn.XLOOKUP(Tabela_Movimentacao_Geral[[#This Row],[ID Produto]], Tabela_Produtos[ID_Produto],Tabela_Produtos[Preco_Unitario_Venda])</f>
        <v>12500</v>
      </c>
      <c r="J426" s="6">
        <f ca="1">Tabela_Movimentacao_Geral[[#This Row],[Quantidade]] * Tabela_Movimentacao_Geral[[#This Row],[Valor Unitário]]</f>
        <v>200000</v>
      </c>
      <c r="K426" t="str">
        <f ca="1">IF(
   $O$7="Desbloqueado",
   CHOOSE(RANDBETWEEN(1,3),"Pago","Pendente","Atrasado"),
   Tabela_Movimentacao_Geral[[#This Row],[Status Financeiro]]
)</f>
        <v>Pendente</v>
      </c>
      <c r="L426" t="str">
        <f ca="1">IF(
   $O$7="Desbloqueado",
   CHOOSE(RANDBETWEEN(1,3),"Entregue","Em Rota","Aguardando"),
   Tabela_Movimentacao_Geral[[#This Row],[Status Logistico]]
)</f>
        <v>Aguardando</v>
      </c>
      <c r="M42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27" spans="1:13" x14ac:dyDescent="0.3">
      <c r="A427" t="str">
        <f t="shared" si="6"/>
        <v>T0426</v>
      </c>
      <c r="B427" s="1">
        <v>45868</v>
      </c>
      <c r="C427" t="str" cm="1">
        <f t="array" aca="1" ref="C427" ca="1">IF($O$7="Desbloqueado",
  _xlfn.LET(
    _xlpm.saldo_atual, SUM(($C$2:$C426="Entrada")*($F$2:$F426=Tabela_Movimentacao_Geral[[#This Row],[ID Produto]])*($H$2:$H426) - ($C$2:$C426="Saida")*($F$2:$F426=Tabela_Movimentacao_Geral[[#This Row],[ID Produto]])*($H$2:$H426)),
    IF(_xlpm.saldo_atual &gt; 0, IF(RANDBETWEEN(0,10)&gt;3,"Saida","Entrada"), "Entrada")
  ),
  Tabela_Movimentacao_Geral[[#This Row],[Tipo Fluxo]]
)</f>
        <v>Saida</v>
      </c>
      <c r="D4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4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427" t="str">
        <f ca="1">IF(
  $O$7="Desbloqueado",
  "PROD"&amp;TEXT(RANDBETWEEN(1,200),"000"),
  Tabela_Movimentacao_Geral[[#This Row],[ID Produto]]
)</f>
        <v>PROD103</v>
      </c>
      <c r="G427" t="str">
        <f ca="1">_xlfn.XLOOKUP(Tabela_Movimentacao_Geral[[#This Row],[ID Produto]], Tabela_Produtos[ID_Produto],Tabela_Produtos[Descricao_Produto],"Produto não encontrado")</f>
        <v>Mouse Gamer 12000 DPI</v>
      </c>
      <c r="H427" cm="1">
        <f t="array" aca="1" ref="H427" ca="1">IF(
   $O$7="Desbloqueado",
   _xlfn.LET(
     _xlpm.saldo_atual, SUM(($C$2:$C426="Entrada")*($F$2:$F426=Tabela_Movimentacao_Geral[[#This Row],[ID Produto]])*($H$2:$H426) - ($C$2:$C426="Saida")*($F$2:$F426=Tabela_Movimentacao_Geral[[#This Row],[ID Produto]])*($H$2:$H426)),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427" s="5">
        <f ca="1">_xlfn.XLOOKUP(Tabela_Movimentacao_Geral[[#This Row],[ID Produto]], Tabela_Produtos[ID_Produto],Tabela_Produtos[Preco_Unitario_Venda])</f>
        <v>240</v>
      </c>
      <c r="J427" s="6">
        <f ca="1">Tabela_Movimentacao_Geral[[#This Row],[Quantidade]] * Tabela_Movimentacao_Geral[[#This Row],[Valor Unitário]]</f>
        <v>9120</v>
      </c>
      <c r="K427" t="str">
        <f ca="1">IF(
   $O$7="Desbloqueado",
   CHOOSE(RANDBETWEEN(1,3),"Pago","Pendente","Atrasado"),
   Tabela_Movimentacao_Geral[[#This Row],[Status Financeiro]]
)</f>
        <v>Pendente</v>
      </c>
      <c r="L427" t="str">
        <f ca="1">IF(
   $O$7="Desbloqueado",
   CHOOSE(RANDBETWEEN(1,3),"Entregue","Em Rota","Aguardando"),
   Tabela_Movimentacao_Geral[[#This Row],[Status Logistico]]
)</f>
        <v>Entregue</v>
      </c>
      <c r="M42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28" spans="1:13" x14ac:dyDescent="0.3">
      <c r="A428" t="str">
        <f t="shared" si="6"/>
        <v>T0427</v>
      </c>
      <c r="B428" s="1">
        <v>45868</v>
      </c>
      <c r="C428" t="str" cm="1">
        <f t="array" aca="1" ref="C428" ca="1">IF($O$7="Desbloqueado",
  _xlfn.LET(
    _xlpm.saldo_atual, SUM(($C$2:$C427="Entrada")*($F$2:$F427=Tabela_Movimentacao_Geral[[#This Row],[ID Produto]])*($H$2:$H427) - ($C$2:$C427="Saida")*($F$2:$F427=Tabela_Movimentacao_Geral[[#This Row],[ID Produto]])*($H$2:$H427)),
    IF(_xlpm.saldo_atual &gt; 0, IF(RANDBETWEEN(0,10)&gt;3,"Saida","Entrada"), "Entrada")
  ),
  Tabela_Movimentacao_Geral[[#This Row],[Tipo Fluxo]]
)</f>
        <v>Entrada</v>
      </c>
      <c r="D4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4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428" t="str">
        <f ca="1">IF(
  $O$7="Desbloqueado",
  "PROD"&amp;TEXT(RANDBETWEEN(1,200),"000"),
  Tabela_Movimentacao_Geral[[#This Row],[ID Produto]]
)</f>
        <v>PROD088</v>
      </c>
      <c r="G428" t="str">
        <f ca="1">_xlfn.XLOOKUP(Tabela_Movimentacao_Geral[[#This Row],[ID Produto]], Tabela_Produtos[ID_Produto],Tabela_Produtos[Descricao_Produto],"Produto não encontrado")</f>
        <v>Guia de Cabos Horizontal</v>
      </c>
      <c r="H428" cm="1">
        <f t="array" aca="1" ref="H428" ca="1">IF(
   $O$7="Desbloqueado",
   _xlfn.LET(
     _xlpm.saldo_atual, SUM(($C$2:$C427="Entrada")*($F$2:$F427=Tabela_Movimentacao_Geral[[#This Row],[ID Produto]])*($H$2:$H427) - ($C$2:$C427="Saida")*($F$2:$F427=Tabela_Movimentacao_Geral[[#This Row],[ID Produto]])*($H$2:$H427)),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90</v>
      </c>
      <c r="I428" s="5">
        <f ca="1">_xlfn.XLOOKUP(Tabela_Movimentacao_Geral[[#This Row],[ID Produto]], Tabela_Produtos[ID_Produto],Tabela_Produtos[Preco_Unitario_Venda])</f>
        <v>65</v>
      </c>
      <c r="J428" s="6">
        <f ca="1">Tabela_Movimentacao_Geral[[#This Row],[Quantidade]] * Tabela_Movimentacao_Geral[[#This Row],[Valor Unitário]]</f>
        <v>5850</v>
      </c>
      <c r="K428" t="str">
        <f ca="1">IF(
   $O$7="Desbloqueado",
   CHOOSE(RANDBETWEEN(1,3),"Pago","Pendente","Atrasado"),
   Tabela_Movimentacao_Geral[[#This Row],[Status Financeiro]]
)</f>
        <v>Pendente</v>
      </c>
      <c r="L428" t="str">
        <f ca="1">IF(
   $O$7="Desbloqueado",
   CHOOSE(RANDBETWEEN(1,3),"Entregue","Em Rota","Aguardando"),
   Tabela_Movimentacao_Geral[[#This Row],[Status Logistico]]
)</f>
        <v>Em Rota</v>
      </c>
      <c r="M42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45871</v>
      </c>
    </row>
    <row r="429" spans="1:13" x14ac:dyDescent="0.3">
      <c r="A429" t="str">
        <f t="shared" si="6"/>
        <v>T0428</v>
      </c>
      <c r="B429" s="1">
        <v>45869</v>
      </c>
      <c r="C429" t="str" cm="1">
        <f t="array" aca="1" ref="C429" ca="1">IF($O$7="Desbloqueado",
  _xlfn.LET(
    _xlpm.saldo_atual, SUM(($C$2:$C428="Entrada")*($F$2:$F428=Tabela_Movimentacao_Geral[[#This Row],[ID Produto]])*($H$2:$H428) - ($C$2:$C428="Saida")*($F$2:$F428=Tabela_Movimentacao_Geral[[#This Row],[ID Produto]])*($H$2:$H428)),
    IF(_xlpm.saldo_atual &gt; 0, IF(RANDBETWEEN(0,10)&gt;3,"Saida","Entrada"), "Entrada")
  ),
  Tabela_Movimentacao_Geral[[#This Row],[Tipo Fluxo]]
)</f>
        <v>Saida</v>
      </c>
      <c r="D4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29" t="str">
        <f ca="1">IF(
  $O$7="Desbloqueado",
  "PROD"&amp;TEXT(RANDBETWEEN(1,200),"000"),
  Tabela_Movimentacao_Geral[[#This Row],[ID Produto]]
)</f>
        <v>PROD003</v>
      </c>
      <c r="G429" t="str">
        <f ca="1">_xlfn.XLOOKUP(Tabela_Movimentacao_Geral[[#This Row],[ID Produto]], Tabela_Produtos[ID_Produto],Tabela_Produtos[Descricao_Produto],"Produto não encontrado")</f>
        <v>Mouse Sem Fio Optico</v>
      </c>
      <c r="H429" cm="1">
        <f t="array" aca="1" ref="H429" ca="1">IF(
   $O$7="Desbloqueado",
   _xlfn.LET(
     _xlpm.saldo_atual, SUM(($C$2:$C428="Entrada")*($F$2:$F428=Tabela_Movimentacao_Geral[[#This Row],[ID Produto]])*($H$2:$H428) - ($C$2:$C428="Saida")*($F$2:$F428=Tabela_Movimentacao_Geral[[#This Row],[ID Produto]])*($H$2:$H428)),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429" s="5">
        <f ca="1">_xlfn.XLOOKUP(Tabela_Movimentacao_Geral[[#This Row],[ID Produto]], Tabela_Produtos[ID_Produto],Tabela_Produtos[Preco_Unitario_Venda])</f>
        <v>120</v>
      </c>
      <c r="J429" s="6">
        <f ca="1">Tabela_Movimentacao_Geral[[#This Row],[Quantidade]] * Tabela_Movimentacao_Geral[[#This Row],[Valor Unitário]]</f>
        <v>1920</v>
      </c>
      <c r="K429" t="str">
        <f ca="1">IF(
   $O$7="Desbloqueado",
   CHOOSE(RANDBETWEEN(1,3),"Pago","Pendente","Atrasado"),
   Tabela_Movimentacao_Geral[[#This Row],[Status Financeiro]]
)</f>
        <v>Pendente</v>
      </c>
      <c r="L429" t="str">
        <f ca="1">IF(
   $O$7="Desbloqueado",
   CHOOSE(RANDBETWEEN(1,3),"Entregue","Em Rota","Aguardando"),
   Tabela_Movimentacao_Geral[[#This Row],[Status Logistico]]
)</f>
        <v>Aguardando</v>
      </c>
      <c r="M42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30" spans="1:13" x14ac:dyDescent="0.3">
      <c r="A430" t="str">
        <f t="shared" si="6"/>
        <v>T0429</v>
      </c>
      <c r="B430" s="1">
        <v>45869</v>
      </c>
      <c r="C430" t="str" cm="1">
        <f t="array" aca="1" ref="C430" ca="1">IF($O$7="Desbloqueado",
  _xlfn.LET(
    _xlpm.saldo_atual, SUM(($C$2:$C429="Entrada")*($F$2:$F429=Tabela_Movimentacao_Geral[[#This Row],[ID Produto]])*($H$2:$H429) - ($C$2:$C429="Saida")*($F$2:$F429=Tabela_Movimentacao_Geral[[#This Row],[ID Produto]])*($H$2:$H429)),
    IF(_xlpm.saldo_atual &gt; 0, IF(RANDBETWEEN(0,10)&gt;3,"Saida","Entrada"), "Entrada")
  ),
  Tabela_Movimentacao_Geral[[#This Row],[Tipo Fluxo]]
)</f>
        <v>Entrada</v>
      </c>
      <c r="D4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4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430" t="str">
        <f ca="1">IF(
  $O$7="Desbloqueado",
  "PROD"&amp;TEXT(RANDBETWEEN(1,200),"000"),
  Tabela_Movimentacao_Geral[[#This Row],[ID Produto]]
)</f>
        <v>PROD149</v>
      </c>
      <c r="G430" t="str">
        <f ca="1">_xlfn.XLOOKUP(Tabela_Movimentacao_Geral[[#This Row],[ID Produto]], Tabela_Produtos[ID_Produto],Tabela_Produtos[Descricao_Produto],"Produto não encontrado")</f>
        <v>Multimetro Digital</v>
      </c>
      <c r="H430" cm="1">
        <f t="array" aca="1" ref="H430" ca="1">IF(
   $O$7="Desbloqueado",
   _xlfn.LET(
     _xlpm.saldo_atual, SUM(($C$2:$C429="Entrada")*($F$2:$F429=Tabela_Movimentacao_Geral[[#This Row],[ID Produto]])*($H$2:$H429) - ($C$2:$C429="Saida")*($F$2:$F429=Tabela_Movimentacao_Geral[[#This Row],[ID Produto]])*($H$2:$H429)),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105</v>
      </c>
      <c r="I430" s="5">
        <f ca="1">_xlfn.XLOOKUP(Tabela_Movimentacao_Geral[[#This Row],[ID Produto]], Tabela_Produtos[ID_Produto],Tabela_Produtos[Preco_Unitario_Venda])</f>
        <v>145</v>
      </c>
      <c r="J430" s="6">
        <f ca="1">Tabela_Movimentacao_Geral[[#This Row],[Quantidade]] * Tabela_Movimentacao_Geral[[#This Row],[Valor Unitário]]</f>
        <v>15225</v>
      </c>
      <c r="K430" t="str">
        <f ca="1">IF(
   $O$7="Desbloqueado",
   CHOOSE(RANDBETWEEN(1,3),"Pago","Pendente","Atrasado"),
   Tabela_Movimentacao_Geral[[#This Row],[Status Financeiro]]
)</f>
        <v>Pendente</v>
      </c>
      <c r="L430" t="str">
        <f ca="1">IF(
   $O$7="Desbloqueado",
   CHOOSE(RANDBETWEEN(1,3),"Entregue","Em Rota","Aguardando"),
   Tabela_Movimentacao_Geral[[#This Row],[Status Logistico]]
)</f>
        <v>Em Rota</v>
      </c>
      <c r="M43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45881</v>
      </c>
    </row>
    <row r="431" spans="1:13" x14ac:dyDescent="0.3">
      <c r="A431" t="str">
        <f t="shared" si="6"/>
        <v>T0430</v>
      </c>
      <c r="B431" s="1">
        <v>45871</v>
      </c>
      <c r="C431" t="str" cm="1">
        <f t="array" aca="1" ref="C431" ca="1">IF($O$7="Desbloqueado",
  _xlfn.LET(
    _xlpm.saldo_atual, SUM(($C$2:$C430="Entrada")*($F$2:$F430=Tabela_Movimentacao_Geral[[#This Row],[ID Produto]])*($H$2:$H430) - ($C$2:$C430="Saida")*($F$2:$F430=Tabela_Movimentacao_Geral[[#This Row],[ID Produto]])*($H$2:$H430)),
    IF(_xlpm.saldo_atual &gt; 0, IF(RANDBETWEEN(0,10)&gt;3,"Saida","Entrada"), "Entrada")
  ),
  Tabela_Movimentacao_Geral[[#This Row],[Tipo Fluxo]]
)</f>
        <v>Saida</v>
      </c>
      <c r="D4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4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431" t="str">
        <f ca="1">IF(
  $O$7="Desbloqueado",
  "PROD"&amp;TEXT(RANDBETWEEN(1,200),"000"),
  Tabela_Movimentacao_Geral[[#This Row],[ID Produto]]
)</f>
        <v>PROD103</v>
      </c>
      <c r="G431" t="str">
        <f ca="1">_xlfn.XLOOKUP(Tabela_Movimentacao_Geral[[#This Row],[ID Produto]], Tabela_Produtos[ID_Produto],Tabela_Produtos[Descricao_Produto],"Produto não encontrado")</f>
        <v>Mouse Gamer 12000 DPI</v>
      </c>
      <c r="H431" cm="1">
        <f t="array" aca="1" ref="H431" ca="1">IF(
   $O$7="Desbloqueado",
   _xlfn.LET(
     _xlpm.saldo_atual, SUM(($C$2:$C430="Entrada")*($F$2:$F430=Tabela_Movimentacao_Geral[[#This Row],[ID Produto]])*($H$2:$H430) - ($C$2:$C430="Saida")*($F$2:$F430=Tabela_Movimentacao_Geral[[#This Row],[ID Produto]])*($H$2:$H430)),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</v>
      </c>
      <c r="I431" s="5">
        <f ca="1">_xlfn.XLOOKUP(Tabela_Movimentacao_Geral[[#This Row],[ID Produto]], Tabela_Produtos[ID_Produto],Tabela_Produtos[Preco_Unitario_Venda])</f>
        <v>240</v>
      </c>
      <c r="J431" s="6">
        <f ca="1">Tabela_Movimentacao_Geral[[#This Row],[Quantidade]] * Tabela_Movimentacao_Geral[[#This Row],[Valor Unitário]]</f>
        <v>13680</v>
      </c>
      <c r="K431" t="str">
        <f ca="1">IF(
   $O$7="Desbloqueado",
   CHOOSE(RANDBETWEEN(1,3),"Pago","Pendente","Atrasado"),
   Tabela_Movimentacao_Geral[[#This Row],[Status Financeiro]]
)</f>
        <v>Pendente</v>
      </c>
      <c r="L431" t="str">
        <f ca="1">IF(
   $O$7="Desbloqueado",
   CHOOSE(RANDBETWEEN(1,3),"Entregue","Em Rota","Aguardando"),
   Tabela_Movimentacao_Geral[[#This Row],[Status Logistico]]
)</f>
        <v>Entregue</v>
      </c>
      <c r="M43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32" spans="1:13" x14ac:dyDescent="0.3">
      <c r="A432" t="str">
        <f t="shared" si="6"/>
        <v>T0431</v>
      </c>
      <c r="B432" s="1">
        <v>45871</v>
      </c>
      <c r="C432" t="str" cm="1">
        <f t="array" aca="1" ref="C432" ca="1">IF($O$7="Desbloqueado",
  _xlfn.LET(
    _xlpm.saldo_atual, SUM(($C$2:$C431="Entrada")*($F$2:$F431=Tabela_Movimentacao_Geral[[#This Row],[ID Produto]])*($H$2:$H431) - ($C$2:$C431="Saida")*($F$2:$F431=Tabela_Movimentacao_Geral[[#This Row],[ID Produto]])*($H$2:$H431)),
    IF(_xlpm.saldo_atual &gt; 0, IF(RANDBETWEEN(0,10)&gt;3,"Saida","Entrada"), "Entrada")
  ),
  Tabela_Movimentacao_Geral[[#This Row],[Tipo Fluxo]]
)</f>
        <v>Saida</v>
      </c>
      <c r="D4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4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432" t="str">
        <f ca="1">IF(
  $O$7="Desbloqueado",
  "PROD"&amp;TEXT(RANDBETWEEN(1,200),"000"),
  Tabela_Movimentacao_Geral[[#This Row],[ID Produto]]
)</f>
        <v>PROD188</v>
      </c>
      <c r="G432" t="str">
        <f ca="1">_xlfn.XLOOKUP(Tabela_Movimentacao_Geral[[#This Row],[ID Produto]], Tabela_Produtos[ID_Produto],Tabela_Produtos[Descricao_Produto],"Produto não encontrado")</f>
        <v>Chassis para Media Conv</v>
      </c>
      <c r="H432" cm="1">
        <f t="array" aca="1" ref="H432" ca="1">IF(
   $O$7="Desbloqueado",
   _xlfn.LET(
     _xlpm.saldo_atual, SUM(($C$2:$C431="Entrada")*($F$2:$F431=Tabela_Movimentacao_Geral[[#This Row],[ID Produto]])*($H$2:$H431) - ($C$2:$C431="Saida")*($F$2:$F431=Tabela_Movimentacao_Geral[[#This Row],[ID Produto]])*($H$2:$H431)),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432" s="5">
        <f ca="1">_xlfn.XLOOKUP(Tabela_Movimentacao_Geral[[#This Row],[ID Produto]], Tabela_Produtos[ID_Produto],Tabela_Produtos[Preco_Unitario_Venda])</f>
        <v>1550</v>
      </c>
      <c r="J432" s="6">
        <f ca="1">Tabela_Movimentacao_Geral[[#This Row],[Quantidade]] * Tabela_Movimentacao_Geral[[#This Row],[Valor Unitário]]</f>
        <v>12400</v>
      </c>
      <c r="K432" t="str">
        <f ca="1">IF(
   $O$7="Desbloqueado",
   CHOOSE(RANDBETWEEN(1,3),"Pago","Pendente","Atrasado"),
   Tabela_Movimentacao_Geral[[#This Row],[Status Financeiro]]
)</f>
        <v>Pago</v>
      </c>
      <c r="L432" t="str">
        <f ca="1">IF(
   $O$7="Desbloqueado",
   CHOOSE(RANDBETWEEN(1,3),"Entregue","Em Rota","Aguardando"),
   Tabela_Movimentacao_Geral[[#This Row],[Status Logistico]]
)</f>
        <v>Em Rota</v>
      </c>
      <c r="M43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33" spans="1:13" x14ac:dyDescent="0.3">
      <c r="A433" t="str">
        <f t="shared" si="6"/>
        <v>T0432</v>
      </c>
      <c r="B433" s="1">
        <v>45871</v>
      </c>
      <c r="C433" t="str" cm="1">
        <f t="array" aca="1" ref="C433" ca="1">IF($O$7="Desbloqueado",
  _xlfn.LET(
    _xlpm.saldo_atual, SUM(($C$2:$C432="Entrada")*($F$2:$F432=Tabela_Movimentacao_Geral[[#This Row],[ID Produto]])*($H$2:$H432) - ($C$2:$C432="Saida")*($F$2:$F432=Tabela_Movimentacao_Geral[[#This Row],[ID Produto]])*($H$2:$H432)),
    IF(_xlpm.saldo_atual &gt; 0, IF(RANDBETWEEN(0,10)&gt;3,"Saida","Entrada"), "Entrada")
  ),
  Tabela_Movimentacao_Geral[[#This Row],[Tipo Fluxo]]
)</f>
        <v>Saida</v>
      </c>
      <c r="D4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4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433" t="str">
        <f ca="1">IF(
  $O$7="Desbloqueado",
  "PROD"&amp;TEXT(RANDBETWEEN(1,200),"000"),
  Tabela_Movimentacao_Geral[[#This Row],[ID Produto]]
)</f>
        <v>PROD106</v>
      </c>
      <c r="G433" t="str">
        <f ca="1">_xlfn.XLOOKUP(Tabela_Movimentacao_Geral[[#This Row],[ID Produto]], Tabela_Produtos[ID_Produto],Tabela_Produtos[Descricao_Produto],"Produto não encontrado")</f>
        <v>MacBook Air M2 13p</v>
      </c>
      <c r="H433" cm="1">
        <f t="array" aca="1" ref="H433" ca="1">IF(
   $O$7="Desbloqueado",
   _xlfn.LET(
     _xlpm.saldo_atual, SUM(($C$2:$C432="Entrada")*($F$2:$F432=Tabela_Movimentacao_Geral[[#This Row],[ID Produto]])*($H$2:$H432) - ($C$2:$C432="Saida")*($F$2:$F432=Tabela_Movimentacao_Geral[[#This Row],[ID Produto]])*($H$2:$H432)),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</v>
      </c>
      <c r="I433" s="5">
        <f ca="1">_xlfn.XLOOKUP(Tabela_Movimentacao_Geral[[#This Row],[ID Produto]], Tabela_Produtos[ID_Produto],Tabela_Produtos[Preco_Unitario_Venda])</f>
        <v>9500</v>
      </c>
      <c r="J433" s="6">
        <f ca="1">Tabela_Movimentacao_Geral[[#This Row],[Quantidade]] * Tabela_Movimentacao_Geral[[#This Row],[Valor Unitário]]</f>
        <v>304000</v>
      </c>
      <c r="K433" t="str">
        <f ca="1">IF(
   $O$7="Desbloqueado",
   CHOOSE(RANDBETWEEN(1,3),"Pago","Pendente","Atrasado"),
   Tabela_Movimentacao_Geral[[#This Row],[Status Financeiro]]
)</f>
        <v>Pago</v>
      </c>
      <c r="L433" t="str">
        <f ca="1">IF(
   $O$7="Desbloqueado",
   CHOOSE(RANDBETWEEN(1,3),"Entregue","Em Rota","Aguardando"),
   Tabela_Movimentacao_Geral[[#This Row],[Status Logistico]]
)</f>
        <v>Entregue</v>
      </c>
      <c r="M43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34" spans="1:13" x14ac:dyDescent="0.3">
      <c r="A434" t="str">
        <f t="shared" si="6"/>
        <v>T0433</v>
      </c>
      <c r="B434" s="1">
        <v>45873</v>
      </c>
      <c r="C434" t="str" cm="1">
        <f t="array" aca="1" ref="C434" ca="1">IF($O$7="Desbloqueado",
  _xlfn.LET(
    _xlpm.saldo_atual, SUM(($C$2:$C433="Entrada")*($F$2:$F433=Tabela_Movimentacao_Geral[[#This Row],[ID Produto]])*($H$2:$H433) - ($C$2:$C433="Saida")*($F$2:$F433=Tabela_Movimentacao_Geral[[#This Row],[ID Produto]])*($H$2:$H433)),
    IF(_xlpm.saldo_atual &gt; 0, IF(RANDBETWEEN(0,10)&gt;3,"Saida","Entrada"), "Entrada")
  ),
  Tabela_Movimentacao_Geral[[#This Row],[Tipo Fluxo]]
)</f>
        <v>Saida</v>
      </c>
      <c r="D4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4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434" t="str">
        <f ca="1">IF(
  $O$7="Desbloqueado",
  "PROD"&amp;TEXT(RANDBETWEEN(1,200),"000"),
  Tabela_Movimentacao_Geral[[#This Row],[ID Produto]]
)</f>
        <v>PROD002</v>
      </c>
      <c r="G434" t="str">
        <f ca="1">_xlfn.XLOOKUP(Tabela_Movimentacao_Geral[[#This Row],[ID Produto]], Tabela_Produtos[ID_Produto],Tabela_Produtos[Descricao_Produto],"Produto não encontrado")</f>
        <v>Teclado Mecanico RGB</v>
      </c>
      <c r="H434" cm="1">
        <f t="array" aca="1" ref="H434" ca="1">IF(
   $O$7="Desbloqueado",
   _xlfn.LET(
     _xlpm.saldo_atual, SUM(($C$2:$C433="Entrada")*($F$2:$F433=Tabela_Movimentacao_Geral[[#This Row],[ID Produto]])*($H$2:$H433) - ($C$2:$C433="Saida")*($F$2:$F433=Tabela_Movimentacao_Geral[[#This Row],[ID Produto]])*($H$2:$H433)),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</v>
      </c>
      <c r="I434" s="5">
        <f ca="1">_xlfn.XLOOKUP(Tabela_Movimentacao_Geral[[#This Row],[ID Produto]], Tabela_Produtos[ID_Produto],Tabela_Produtos[Preco_Unitario_Venda])</f>
        <v>350</v>
      </c>
      <c r="J434" s="6">
        <f ca="1">Tabela_Movimentacao_Geral[[#This Row],[Quantidade]] * Tabela_Movimentacao_Geral[[#This Row],[Valor Unitário]]</f>
        <v>19950</v>
      </c>
      <c r="K434" t="str">
        <f ca="1">IF(
   $O$7="Desbloqueado",
   CHOOSE(RANDBETWEEN(1,3),"Pago","Pendente","Atrasado"),
   Tabela_Movimentacao_Geral[[#This Row],[Status Financeiro]]
)</f>
        <v>Pendente</v>
      </c>
      <c r="L434" t="str">
        <f ca="1">IF(
   $O$7="Desbloqueado",
   CHOOSE(RANDBETWEEN(1,3),"Entregue","Em Rota","Aguardando"),
   Tabela_Movimentacao_Geral[[#This Row],[Status Logistico]]
)</f>
        <v>Aguardando</v>
      </c>
      <c r="M4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35" spans="1:13" x14ac:dyDescent="0.3">
      <c r="A435" t="str">
        <f t="shared" si="6"/>
        <v>T0434</v>
      </c>
      <c r="B435" s="1">
        <v>45873</v>
      </c>
      <c r="C435" t="str" cm="1">
        <f t="array" aca="1" ref="C435" ca="1">IF($O$7="Desbloqueado",
  _xlfn.LET(
    _xlpm.saldo_atual, SUM(($C$2:$C434="Entrada")*($F$2:$F434=Tabela_Movimentacao_Geral[[#This Row],[ID Produto]])*($H$2:$H434) - ($C$2:$C434="Saida")*($F$2:$F434=Tabela_Movimentacao_Geral[[#This Row],[ID Produto]])*($H$2:$H434)),
    IF(_xlpm.saldo_atual &gt; 0, IF(RANDBETWEEN(0,10)&gt;3,"Saida","Entrada"), "Entrada")
  ),
  Tabela_Movimentacao_Geral[[#This Row],[Tipo Fluxo]]
)</f>
        <v>Saida</v>
      </c>
      <c r="D4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4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435" t="str">
        <f ca="1">IF(
  $O$7="Desbloqueado",
  "PROD"&amp;TEXT(RANDBETWEEN(1,200),"000"),
  Tabela_Movimentacao_Geral[[#This Row],[ID Produto]]
)</f>
        <v>PROD151</v>
      </c>
      <c r="G435" t="str">
        <f ca="1">_xlfn.XLOOKUP(Tabela_Movimentacao_Geral[[#This Row],[ID Produto]], Tabela_Produtos[ID_Produto],Tabela_Produtos[Descricao_Produto],"Produto não encontrado")</f>
        <v>Papel Fotografico A4 20fls</v>
      </c>
      <c r="H435" cm="1">
        <f t="array" aca="1" ref="H435" ca="1">IF(
   $O$7="Desbloqueado",
   _xlfn.LET(
     _xlpm.saldo_atual, SUM(($C$2:$C434="Entrada")*($F$2:$F434=Tabela_Movimentacao_Geral[[#This Row],[ID Produto]])*($H$2:$H434) - ($C$2:$C434="Saida")*($F$2:$F434=Tabela_Movimentacao_Geral[[#This Row],[ID Produto]])*($H$2:$H434)),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71</v>
      </c>
      <c r="I435" s="5">
        <f ca="1">_xlfn.XLOOKUP(Tabela_Movimentacao_Geral[[#This Row],[ID Produto]], Tabela_Produtos[ID_Produto],Tabela_Produtos[Preco_Unitario_Venda])</f>
        <v>45</v>
      </c>
      <c r="J435" s="6">
        <f ca="1">Tabela_Movimentacao_Geral[[#This Row],[Quantidade]] * Tabela_Movimentacao_Geral[[#This Row],[Valor Unitário]]</f>
        <v>3195</v>
      </c>
      <c r="K435" t="str">
        <f ca="1">IF(
   $O$7="Desbloqueado",
   CHOOSE(RANDBETWEEN(1,3),"Pago","Pendente","Atrasado"),
   Tabela_Movimentacao_Geral[[#This Row],[Status Financeiro]]
)</f>
        <v>Pendente</v>
      </c>
      <c r="L435" t="str">
        <f ca="1">IF(
   $O$7="Desbloqueado",
   CHOOSE(RANDBETWEEN(1,3),"Entregue","Em Rota","Aguardando"),
   Tabela_Movimentacao_Geral[[#This Row],[Status Logistico]]
)</f>
        <v>Entregue</v>
      </c>
      <c r="M43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36" spans="1:13" x14ac:dyDescent="0.3">
      <c r="A436" t="str">
        <f t="shared" si="6"/>
        <v>T0435</v>
      </c>
      <c r="B436" s="1">
        <v>45874</v>
      </c>
      <c r="C436" t="str" cm="1">
        <f t="array" aca="1" ref="C436" ca="1">IF($O$7="Desbloqueado",
  _xlfn.LET(
    _xlpm.saldo_atual, SUM(($C$2:$C435="Entrada")*($F$2:$F435=Tabela_Movimentacao_Geral[[#This Row],[ID Produto]])*($H$2:$H435) - ($C$2:$C435="Saida")*($F$2:$F435=Tabela_Movimentacao_Geral[[#This Row],[ID Produto]])*($H$2:$H435)),
    IF(_xlpm.saldo_atual &gt; 0, IF(RANDBETWEEN(0,10)&gt;3,"Saida","Entrada"), "Entrada")
  ),
  Tabela_Movimentacao_Geral[[#This Row],[Tipo Fluxo]]
)</f>
        <v>Entrada</v>
      </c>
      <c r="D4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4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436" t="str">
        <f ca="1">IF(
  $O$7="Desbloqueado",
  "PROD"&amp;TEXT(RANDBETWEEN(1,200),"000"),
  Tabela_Movimentacao_Geral[[#This Row],[ID Produto]]
)</f>
        <v>PROD154</v>
      </c>
      <c r="G436" t="str">
        <f ca="1">_xlfn.XLOOKUP(Tabela_Movimentacao_Geral[[#This Row],[ID Produto]], Tabela_Produtos[ID_Produto],Tabela_Produtos[Descricao_Produto],"Produto não encontrado")</f>
        <v>Estilete Largo Profissional</v>
      </c>
      <c r="H436" cm="1">
        <f t="array" aca="1" ref="H436" ca="1">IF(
   $O$7="Desbloqueado",
   _xlfn.LET(
     _xlpm.saldo_atual, SUM(($C$2:$C435="Entrada")*($F$2:$F435=Tabela_Movimentacao_Geral[[#This Row],[ID Produto]])*($H$2:$H435) - ($C$2:$C435="Saida")*($F$2:$F435=Tabela_Movimentacao_Geral[[#This Row],[ID Produto]])*($H$2:$H435)),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113</v>
      </c>
      <c r="I436" s="5">
        <f ca="1">_xlfn.XLOOKUP(Tabela_Movimentacao_Geral[[#This Row],[ID Produto]], Tabela_Produtos[ID_Produto],Tabela_Produtos[Preco_Unitario_Venda])</f>
        <v>18</v>
      </c>
      <c r="J436" s="6">
        <f ca="1">Tabela_Movimentacao_Geral[[#This Row],[Quantidade]] * Tabela_Movimentacao_Geral[[#This Row],[Valor Unitário]]</f>
        <v>2034</v>
      </c>
      <c r="K436" t="str">
        <f ca="1">IF(
   $O$7="Desbloqueado",
   CHOOSE(RANDBETWEEN(1,3),"Pago","Pendente","Atrasado"),
   Tabela_Movimentacao_Geral[[#This Row],[Status Financeiro]]
)</f>
        <v>Atrasado</v>
      </c>
      <c r="L436" t="str">
        <f ca="1">IF(
   $O$7="Desbloqueado",
   CHOOSE(RANDBETWEEN(1,3),"Entregue","Em Rota","Aguardando"),
   Tabela_Movimentacao_Geral[[#This Row],[Status Logistico]]
)</f>
        <v>Aguardando</v>
      </c>
      <c r="M43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45877</v>
      </c>
    </row>
    <row r="437" spans="1:13" x14ac:dyDescent="0.3">
      <c r="A437" t="str">
        <f t="shared" si="6"/>
        <v>T0436</v>
      </c>
      <c r="B437" s="1">
        <v>45874</v>
      </c>
      <c r="C437" t="str" cm="1">
        <f t="array" aca="1" ref="C437" ca="1">IF($O$7="Desbloqueado",
  _xlfn.LET(
    _xlpm.saldo_atual, SUM(($C$2:$C436="Entrada")*($F$2:$F436=Tabela_Movimentacao_Geral[[#This Row],[ID Produto]])*($H$2:$H436) - ($C$2:$C436="Saida")*($F$2:$F436=Tabela_Movimentacao_Geral[[#This Row],[ID Produto]])*($H$2:$H436)),
    IF(_xlpm.saldo_atual &gt; 0, IF(RANDBETWEEN(0,10)&gt;3,"Saida","Entrada"), "Entrada")
  ),
  Tabela_Movimentacao_Geral[[#This Row],[Tipo Fluxo]]
)</f>
        <v>Entrada</v>
      </c>
      <c r="D4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4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437" t="str">
        <f ca="1">IF(
  $O$7="Desbloqueado",
  "PROD"&amp;TEXT(RANDBETWEEN(1,200),"000"),
  Tabela_Movimentacao_Geral[[#This Row],[ID Produto]]
)</f>
        <v>PROD140</v>
      </c>
      <c r="G437" t="str">
        <f ca="1">_xlfn.XLOOKUP(Tabela_Movimentacao_Geral[[#This Row],[ID Produto]], Tabela_Produtos[ID_Produto],Tabela_Produtos[Descricao_Produto],"Produto não encontrado")</f>
        <v>Leitor Cartao de Memoria</v>
      </c>
      <c r="H437" cm="1">
        <f t="array" aca="1" ref="H437" ca="1">IF(
   $O$7="Desbloqueado",
   _xlfn.LET(
     _xlpm.saldo_atual, SUM(($C$2:$C436="Entrada")*($F$2:$F436=Tabela_Movimentacao_Geral[[#This Row],[ID Produto]])*($H$2:$H436) - ($C$2:$C436="Saida")*($F$2:$F436=Tabela_Movimentacao_Geral[[#This Row],[ID Produto]])*($H$2:$H436)),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37</v>
      </c>
      <c r="I437" s="5">
        <f ca="1">_xlfn.XLOOKUP(Tabela_Movimentacao_Geral[[#This Row],[ID Produto]], Tabela_Produtos[ID_Produto],Tabela_Produtos[Preco_Unitario_Venda])</f>
        <v>45</v>
      </c>
      <c r="J437" s="6">
        <f ca="1">Tabela_Movimentacao_Geral[[#This Row],[Quantidade]] * Tabela_Movimentacao_Geral[[#This Row],[Valor Unitário]]</f>
        <v>1665</v>
      </c>
      <c r="K437" t="str">
        <f ca="1">IF(
   $O$7="Desbloqueado",
   CHOOSE(RANDBETWEEN(1,3),"Pago","Pendente","Atrasado"),
   Tabela_Movimentacao_Geral[[#This Row],[Status Financeiro]]
)</f>
        <v>Pago</v>
      </c>
      <c r="L437" t="str">
        <f ca="1">IF(
   $O$7="Desbloqueado",
   CHOOSE(RANDBETWEEN(1,3),"Entregue","Em Rota","Aguardando"),
   Tabela_Movimentacao_Geral[[#This Row],[Status Logistico]]
)</f>
        <v>Aguardando</v>
      </c>
      <c r="M43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45875</v>
      </c>
    </row>
    <row r="438" spans="1:13" x14ac:dyDescent="0.3">
      <c r="A438" t="str">
        <f t="shared" si="6"/>
        <v>T0437</v>
      </c>
      <c r="B438" s="1">
        <v>45874</v>
      </c>
      <c r="C438" t="str" cm="1">
        <f t="array" aca="1" ref="C438" ca="1">IF($O$7="Desbloqueado",
  _xlfn.LET(
    _xlpm.saldo_atual, SUM(($C$2:$C437="Entrada")*($F$2:$F437=Tabela_Movimentacao_Geral[[#This Row],[ID Produto]])*($H$2:$H437) - ($C$2:$C437="Saida")*($F$2:$F437=Tabela_Movimentacao_Geral[[#This Row],[ID Produto]])*($H$2:$H437)),
    IF(_xlpm.saldo_atual &gt; 0, IF(RANDBETWEEN(0,10)&gt;3,"Saida","Entrada"), "Entrada")
  ),
  Tabela_Movimentacao_Geral[[#This Row],[Tipo Fluxo]]
)</f>
        <v>Entrada</v>
      </c>
      <c r="D4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4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438" t="str">
        <f ca="1">IF(
  $O$7="Desbloqueado",
  "PROD"&amp;TEXT(RANDBETWEEN(1,200),"000"),
  Tabela_Movimentacao_Geral[[#This Row],[ID Produto]]
)</f>
        <v>PROD119</v>
      </c>
      <c r="G438" t="str">
        <f ca="1">_xlfn.XLOOKUP(Tabela_Movimentacao_Geral[[#This Row],[ID Produto]], Tabela_Produtos[ID_Produto],Tabela_Produtos[Descricao_Produto],"Produto não encontrado")</f>
        <v>Suporte CPU com Rodas</v>
      </c>
      <c r="H438" cm="1">
        <f t="array" aca="1" ref="H438" ca="1">IF(
   $O$7="Desbloqueado",
   _xlfn.LET(
     _xlpm.saldo_atual, SUM(($C$2:$C437="Entrada")*($F$2:$F437=Tabela_Movimentacao_Geral[[#This Row],[ID Produto]])*($H$2:$H437) - ($C$2:$C437="Saida")*($F$2:$F437=Tabela_Movimentacao_Geral[[#This Row],[ID Produto]])*($H$2:$H437)),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438" s="5">
        <f ca="1">_xlfn.XLOOKUP(Tabela_Movimentacao_Geral[[#This Row],[ID Produto]], Tabela_Produtos[ID_Produto],Tabela_Produtos[Preco_Unitario_Venda])</f>
        <v>75</v>
      </c>
      <c r="J438" s="6">
        <f ca="1">Tabela_Movimentacao_Geral[[#This Row],[Quantidade]] * Tabela_Movimentacao_Geral[[#This Row],[Valor Unitário]]</f>
        <v>4950</v>
      </c>
      <c r="K438" t="str">
        <f ca="1">IF(
   $O$7="Desbloqueado",
   CHOOSE(RANDBETWEEN(1,3),"Pago","Pendente","Atrasado"),
   Tabela_Movimentacao_Geral[[#This Row],[Status Financeiro]]
)</f>
        <v>Pendente</v>
      </c>
      <c r="L438" t="str">
        <f ca="1">IF(
   $O$7="Desbloqueado",
   CHOOSE(RANDBETWEEN(1,3),"Entregue","Em Rota","Aguardando"),
   Tabela_Movimentacao_Geral[[#This Row],[Status Logistico]]
)</f>
        <v>Em Rota</v>
      </c>
      <c r="M43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45876</v>
      </c>
    </row>
    <row r="439" spans="1:13" x14ac:dyDescent="0.3">
      <c r="A439" t="str">
        <f t="shared" si="6"/>
        <v>T0438</v>
      </c>
      <c r="B439" s="1">
        <v>45875</v>
      </c>
      <c r="C439" t="str" cm="1">
        <f t="array" aca="1" ref="C439" ca="1">IF($O$7="Desbloqueado",
  _xlfn.LET(
    _xlpm.saldo_atual, SUM(($C$2:$C438="Entrada")*($F$2:$F438=Tabela_Movimentacao_Geral[[#This Row],[ID Produto]])*($H$2:$H438) - ($C$2:$C438="Saida")*($F$2:$F438=Tabela_Movimentacao_Geral[[#This Row],[ID Produto]])*($H$2:$H438)),
    IF(_xlpm.saldo_atual &gt; 0, IF(RANDBETWEEN(0,10)&gt;3,"Saida","Entrada"), "Entrada")
  ),
  Tabela_Movimentacao_Geral[[#This Row],[Tipo Fluxo]]
)</f>
        <v>Entrada</v>
      </c>
      <c r="D4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4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439" t="str">
        <f ca="1">IF(
  $O$7="Desbloqueado",
  "PROD"&amp;TEXT(RANDBETWEEN(1,200),"000"),
  Tabela_Movimentacao_Geral[[#This Row],[ID Produto]]
)</f>
        <v>PROD122</v>
      </c>
      <c r="G439" t="str">
        <f ca="1">_xlfn.XLOOKUP(Tabela_Movimentacao_Geral[[#This Row],[ID Produto]], Tabela_Produtos[ID_Produto],Tabela_Produtos[Descricao_Produto],"Produto não encontrado")</f>
        <v>Windows Server 2022 CAL</v>
      </c>
      <c r="H439" cm="1">
        <f t="array" aca="1" ref="H439" ca="1">IF(
   $O$7="Desbloqueado",
   _xlfn.LET(
     _xlpm.saldo_atual, SUM(($C$2:$C438="Entrada")*($F$2:$F438=Tabela_Movimentacao_Geral[[#This Row],[ID Produto]])*($H$2:$H438) - ($C$2:$C438="Saida")*($F$2:$F438=Tabela_Movimentacao_Geral[[#This Row],[ID Produto]])*($H$2:$H438)),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439" s="5">
        <f ca="1">_xlfn.XLOOKUP(Tabela_Movimentacao_Geral[[#This Row],[ID Produto]], Tabela_Produtos[ID_Produto],Tabela_Produtos[Preco_Unitario_Venda])</f>
        <v>180</v>
      </c>
      <c r="J439" s="6">
        <f ca="1">Tabela_Movimentacao_Geral[[#This Row],[Quantidade]] * Tabela_Movimentacao_Geral[[#This Row],[Valor Unitário]]</f>
        <v>15660</v>
      </c>
      <c r="K439" t="str">
        <f ca="1">IF(
   $O$7="Desbloqueado",
   CHOOSE(RANDBETWEEN(1,3),"Pago","Pendente","Atrasado"),
   Tabela_Movimentacao_Geral[[#This Row],[Status Financeiro]]
)</f>
        <v>Pago</v>
      </c>
      <c r="L439" t="str">
        <f ca="1">IF(
   $O$7="Desbloqueado",
   CHOOSE(RANDBETWEEN(1,3),"Entregue","Em Rota","Aguardando"),
   Tabela_Movimentacao_Geral[[#This Row],[Status Logistico]]
)</f>
        <v>Aguardando</v>
      </c>
      <c r="M43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45880</v>
      </c>
    </row>
    <row r="440" spans="1:13" x14ac:dyDescent="0.3">
      <c r="A440" t="str">
        <f t="shared" si="6"/>
        <v>T0439</v>
      </c>
      <c r="B440" s="1">
        <v>45876</v>
      </c>
      <c r="C440" t="str" cm="1">
        <f t="array" aca="1" ref="C440" ca="1">IF($O$7="Desbloqueado",
  _xlfn.LET(
    _xlpm.saldo_atual, SUM(($C$2:$C439="Entrada")*($F$2:$F439=Tabela_Movimentacao_Geral[[#This Row],[ID Produto]])*($H$2:$H439) - ($C$2:$C439="Saida")*($F$2:$F439=Tabela_Movimentacao_Geral[[#This Row],[ID Produto]])*($H$2:$H439)),
    IF(_xlpm.saldo_atual &gt; 0, IF(RANDBETWEEN(0,10)&gt;3,"Saida","Entrada"), "Entrada")
  ),
  Tabela_Movimentacao_Geral[[#This Row],[Tipo Fluxo]]
)</f>
        <v>Saida</v>
      </c>
      <c r="D4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4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440" t="str">
        <f ca="1">IF(
  $O$7="Desbloqueado",
  "PROD"&amp;TEXT(RANDBETWEEN(1,200),"000"),
  Tabela_Movimentacao_Geral[[#This Row],[ID Produto]]
)</f>
        <v>PROD018</v>
      </c>
      <c r="G440" t="str">
        <f ca="1">_xlfn.XLOOKUP(Tabela_Movimentacao_Geral[[#This Row],[ID Produto]], Tabela_Produtos[ID_Produto],Tabela_Produtos[Descricao_Produto],"Produto não encontrado")</f>
        <v>HD Externo 1TB</v>
      </c>
      <c r="H440" cm="1">
        <f t="array" aca="1" ref="H440" ca="1">IF(
   $O$7="Desbloqueado",
   _xlfn.LET(
     _xlpm.saldo_atual, SUM(($C$2:$C439="Entrada")*($F$2:$F439=Tabela_Movimentacao_Geral[[#This Row],[ID Produto]])*($H$2:$H439) - ($C$2:$C439="Saida")*($F$2:$F439=Tabela_Movimentacao_Geral[[#This Row],[ID Produto]])*($H$2:$H439)),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440" s="5">
        <f ca="1">_xlfn.XLOOKUP(Tabela_Movimentacao_Geral[[#This Row],[ID Produto]], Tabela_Produtos[ID_Produto],Tabela_Produtos[Preco_Unitario_Venda])</f>
        <v>380</v>
      </c>
      <c r="J440" s="6">
        <f ca="1">Tabela_Movimentacao_Geral[[#This Row],[Quantidade]] * Tabela_Movimentacao_Geral[[#This Row],[Valor Unitário]]</f>
        <v>1520</v>
      </c>
      <c r="K440" t="str">
        <f ca="1">IF(
   $O$7="Desbloqueado",
   CHOOSE(RANDBETWEEN(1,3),"Pago","Pendente","Atrasado"),
   Tabela_Movimentacao_Geral[[#This Row],[Status Financeiro]]
)</f>
        <v>Pago</v>
      </c>
      <c r="L440" t="str">
        <f ca="1">IF(
   $O$7="Desbloqueado",
   CHOOSE(RANDBETWEEN(1,3),"Entregue","Em Rota","Aguardando"),
   Tabela_Movimentacao_Geral[[#This Row],[Status Logistico]]
)</f>
        <v>Em Rota</v>
      </c>
      <c r="M44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41" spans="1:13" x14ac:dyDescent="0.3">
      <c r="A441" t="str">
        <f t="shared" si="6"/>
        <v>T0440</v>
      </c>
      <c r="B441" s="1">
        <v>45877</v>
      </c>
      <c r="C441" t="str" cm="1">
        <f t="array" aca="1" ref="C441" ca="1">IF($O$7="Desbloqueado",
  _xlfn.LET(
    _xlpm.saldo_atual, SUM(($C$2:$C440="Entrada")*($F$2:$F440=Tabela_Movimentacao_Geral[[#This Row],[ID Produto]])*($H$2:$H440) - ($C$2:$C440="Saida")*($F$2:$F440=Tabela_Movimentacao_Geral[[#This Row],[ID Produto]])*($H$2:$H440)),
    IF(_xlpm.saldo_atual &gt; 0, IF(RANDBETWEEN(0,10)&gt;3,"Saida","Entrada"), "Entrada")
  ),
  Tabela_Movimentacao_Geral[[#This Row],[Tipo Fluxo]]
)</f>
        <v>Entrada</v>
      </c>
      <c r="D4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4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441" t="str">
        <f ca="1">IF(
  $O$7="Desbloqueado",
  "PROD"&amp;TEXT(RANDBETWEEN(1,200),"000"),
  Tabela_Movimentacao_Geral[[#This Row],[ID Produto]]
)</f>
        <v>PROD067</v>
      </c>
      <c r="G441" t="str">
        <f ca="1">_xlfn.XLOOKUP(Tabela_Movimentacao_Geral[[#This Row],[ID Produto]], Tabela_Produtos[ID_Produto],Tabela_Produtos[Descricao_Produto],"Produto não encontrado")</f>
        <v>Marcador de Texto Amarelo</v>
      </c>
      <c r="H441" cm="1">
        <f t="array" aca="1" ref="H441" ca="1">IF(
   $O$7="Desbloqueado",
   _xlfn.LET(
     _xlpm.saldo_atual, SUM(($C$2:$C440="Entrada")*($F$2:$F440=Tabela_Movimentacao_Geral[[#This Row],[ID Produto]])*($H$2:$H440) - ($C$2:$C440="Saida")*($F$2:$F440=Tabela_Movimentacao_Geral[[#This Row],[ID Produto]])*($H$2:$H440)),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231</v>
      </c>
      <c r="I441" s="5">
        <f ca="1">_xlfn.XLOOKUP(Tabela_Movimentacao_Geral[[#This Row],[ID Produto]], Tabela_Produtos[ID_Produto],Tabela_Produtos[Preco_Unitario_Venda])</f>
        <v>4.5</v>
      </c>
      <c r="J441" s="6">
        <f ca="1">Tabela_Movimentacao_Geral[[#This Row],[Quantidade]] * Tabela_Movimentacao_Geral[[#This Row],[Valor Unitário]]</f>
        <v>1039.5</v>
      </c>
      <c r="K441" t="str">
        <f ca="1">IF(
   $O$7="Desbloqueado",
   CHOOSE(RANDBETWEEN(1,3),"Pago","Pendente","Atrasado"),
   Tabela_Movimentacao_Geral[[#This Row],[Status Financeiro]]
)</f>
        <v>Atrasado</v>
      </c>
      <c r="L441" t="str">
        <f ca="1">IF(
   $O$7="Desbloqueado",
   CHOOSE(RANDBETWEEN(1,3),"Entregue","Em Rota","Aguardando"),
   Tabela_Movimentacao_Geral[[#This Row],[Status Logistico]]
)</f>
        <v>Entregue</v>
      </c>
      <c r="M44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45878</v>
      </c>
    </row>
    <row r="442" spans="1:13" x14ac:dyDescent="0.3">
      <c r="A442" t="str">
        <f t="shared" si="6"/>
        <v>T0441</v>
      </c>
      <c r="B442" s="1">
        <v>45877</v>
      </c>
      <c r="C442" t="str" cm="1">
        <f t="array" aca="1" ref="C442" ca="1">IF($O$7="Desbloqueado",
  _xlfn.LET(
    _xlpm.saldo_atual, SUM(($C$2:$C441="Entrada")*($F$2:$F441=Tabela_Movimentacao_Geral[[#This Row],[ID Produto]])*($H$2:$H441) - ($C$2:$C441="Saida")*($F$2:$F441=Tabela_Movimentacao_Geral[[#This Row],[ID Produto]])*($H$2:$H441)),
    IF(_xlpm.saldo_atual &gt; 0, IF(RANDBETWEEN(0,10)&gt;3,"Saida","Entrada"), "Entrada")
  ),
  Tabela_Movimentacao_Geral[[#This Row],[Tipo Fluxo]]
)</f>
        <v>Entrada</v>
      </c>
      <c r="D4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4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442" t="str">
        <f ca="1">IF(
  $O$7="Desbloqueado",
  "PROD"&amp;TEXT(RANDBETWEEN(1,200),"000"),
  Tabela_Movimentacao_Geral[[#This Row],[ID Produto]]
)</f>
        <v>PROD037</v>
      </c>
      <c r="G442" t="str">
        <f ca="1">_xlfn.XLOOKUP(Tabela_Movimentacao_Geral[[#This Row],[ID Produto]], Tabela_Produtos[ID_Produto],Tabela_Produtos[Descricao_Produto],"Produto não encontrado")</f>
        <v>Placa de Video 4GB</v>
      </c>
      <c r="H442" cm="1">
        <f t="array" aca="1" ref="H442" ca="1">IF(
   $O$7="Desbloqueado",
   _xlfn.LET(
     _xlpm.saldo_atual, SUM(($C$2:$C441="Entrada")*($F$2:$F441=Tabela_Movimentacao_Geral[[#This Row],[ID Produto]])*($H$2:$H441) - ($C$2:$C441="Saida")*($F$2:$F441=Tabela_Movimentacao_Geral[[#This Row],[ID Produto]])*($H$2:$H441)),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93</v>
      </c>
      <c r="I442" s="5">
        <f ca="1">_xlfn.XLOOKUP(Tabela_Movimentacao_Geral[[#This Row],[ID Produto]], Tabela_Produtos[ID_Produto],Tabela_Produtos[Preco_Unitario_Venda])</f>
        <v>1400</v>
      </c>
      <c r="J442" s="6">
        <f ca="1">Tabela_Movimentacao_Geral[[#This Row],[Quantidade]] * Tabela_Movimentacao_Geral[[#This Row],[Valor Unitário]]</f>
        <v>130200</v>
      </c>
      <c r="K442" t="str">
        <f ca="1">IF(
   $O$7="Desbloqueado",
   CHOOSE(RANDBETWEEN(1,3),"Pago","Pendente","Atrasado"),
   Tabela_Movimentacao_Geral[[#This Row],[Status Financeiro]]
)</f>
        <v>Pago</v>
      </c>
      <c r="L442" t="str">
        <f ca="1">IF(
   $O$7="Desbloqueado",
   CHOOSE(RANDBETWEEN(1,3),"Entregue","Em Rota","Aguardando"),
   Tabela_Movimentacao_Geral[[#This Row],[Status Logistico]]
)</f>
        <v>Aguardando</v>
      </c>
      <c r="M44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45892</v>
      </c>
    </row>
    <row r="443" spans="1:13" x14ac:dyDescent="0.3">
      <c r="A443" t="str">
        <f t="shared" si="6"/>
        <v>T0442</v>
      </c>
      <c r="B443" s="1">
        <v>45877</v>
      </c>
      <c r="C443" t="str" cm="1">
        <f t="array" aca="1" ref="C443" ca="1">IF($O$7="Desbloqueado",
  _xlfn.LET(
    _xlpm.saldo_atual, SUM(($C$2:$C442="Entrada")*($F$2:$F442=Tabela_Movimentacao_Geral[[#This Row],[ID Produto]])*($H$2:$H442) - ($C$2:$C442="Saida")*($F$2:$F442=Tabela_Movimentacao_Geral[[#This Row],[ID Produto]])*($H$2:$H442)),
    IF(_xlpm.saldo_atual &gt; 0, IF(RANDBETWEEN(0,10)&gt;3,"Saida","Entrada"), "Entrada")
  ),
  Tabela_Movimentacao_Geral[[#This Row],[Tipo Fluxo]]
)</f>
        <v>Saida</v>
      </c>
      <c r="D4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43" t="str">
        <f ca="1">IF(
  $O$7="Desbloqueado",
  "PROD"&amp;TEXT(RANDBETWEEN(1,200),"000"),
  Tabela_Movimentacao_Geral[[#This Row],[ID Produto]]
)</f>
        <v>PROD184</v>
      </c>
      <c r="G443" t="str">
        <f ca="1">_xlfn.XLOOKUP(Tabela_Movimentacao_Geral[[#This Row],[ID Produto]], Tabela_Produtos[ID_Produto],Tabela_Produtos[Descricao_Produto],"Produto não encontrado")</f>
        <v>Cabo Serial Console</v>
      </c>
      <c r="H443" cm="1">
        <f t="array" aca="1" ref="H443" ca="1">IF(
   $O$7="Desbloqueado",
   _xlfn.LET(
     _xlpm.saldo_atual, SUM(($C$2:$C442="Entrada")*($F$2:$F442=Tabela_Movimentacao_Geral[[#This Row],[ID Produto]])*($H$2:$H442) - ($C$2:$C442="Saida")*($F$2:$F442=Tabela_Movimentacao_Geral[[#This Row],[ID Produto]])*($H$2:$H442)),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70</v>
      </c>
      <c r="I443" s="5">
        <f ca="1">_xlfn.XLOOKUP(Tabela_Movimentacao_Geral[[#This Row],[ID Produto]], Tabela_Produtos[ID_Produto],Tabela_Produtos[Preco_Unitario_Venda])</f>
        <v>45</v>
      </c>
      <c r="J443" s="6">
        <f ca="1">Tabela_Movimentacao_Geral[[#This Row],[Quantidade]] * Tabela_Movimentacao_Geral[[#This Row],[Valor Unitário]]</f>
        <v>3150</v>
      </c>
      <c r="K443" t="str">
        <f ca="1">IF(
   $O$7="Desbloqueado",
   CHOOSE(RANDBETWEEN(1,3),"Pago","Pendente","Atrasado"),
   Tabela_Movimentacao_Geral[[#This Row],[Status Financeiro]]
)</f>
        <v>Pago</v>
      </c>
      <c r="L443" t="str">
        <f ca="1">IF(
   $O$7="Desbloqueado",
   CHOOSE(RANDBETWEEN(1,3),"Entregue","Em Rota","Aguardando"),
   Tabela_Movimentacao_Geral[[#This Row],[Status Logistico]]
)</f>
        <v>Aguardando</v>
      </c>
      <c r="M4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44" spans="1:13" x14ac:dyDescent="0.3">
      <c r="A444" t="str">
        <f t="shared" si="6"/>
        <v>T0443</v>
      </c>
      <c r="B444" s="1">
        <v>45877</v>
      </c>
      <c r="C444" t="str" cm="1">
        <f t="array" aca="1" ref="C444" ca="1">IF($O$7="Desbloqueado",
  _xlfn.LET(
    _xlpm.saldo_atual, SUM(($C$2:$C443="Entrada")*($F$2:$F443=Tabela_Movimentacao_Geral[[#This Row],[ID Produto]])*($H$2:$H443) - ($C$2:$C443="Saida")*($F$2:$F443=Tabela_Movimentacao_Geral[[#This Row],[ID Produto]])*($H$2:$H443)),
    IF(_xlpm.saldo_atual &gt; 0, IF(RANDBETWEEN(0,10)&gt;3,"Saida","Entrada"), "Entrada")
  ),
  Tabela_Movimentacao_Geral[[#This Row],[Tipo Fluxo]]
)</f>
        <v>Saida</v>
      </c>
      <c r="D4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4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444" t="str">
        <f ca="1">IF(
  $O$7="Desbloqueado",
  "PROD"&amp;TEXT(RANDBETWEEN(1,200),"000"),
  Tabela_Movimentacao_Geral[[#This Row],[ID Produto]]
)</f>
        <v>PROD052</v>
      </c>
      <c r="G444" t="str">
        <f ca="1">_xlfn.XLOOKUP(Tabela_Movimentacao_Geral[[#This Row],[ID Produto]], Tabela_Produtos[ID_Produto],Tabela_Produtos[Descricao_Produto],"Produto não encontrado")</f>
        <v>Clips Metalicos 33mm 100un</v>
      </c>
      <c r="H444" cm="1">
        <f t="array" aca="1" ref="H444" ca="1">IF(
   $O$7="Desbloqueado",
   _xlfn.LET(
     _xlpm.saldo_atual, SUM(($C$2:$C443="Entrada")*($F$2:$F443=Tabela_Movimentacao_Geral[[#This Row],[ID Produto]])*($H$2:$H443) - ($C$2:$C443="Saida")*($F$2:$F443=Tabela_Movimentacao_Geral[[#This Row],[ID Produto]])*($H$2:$H443)),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444" s="5">
        <f ca="1">_xlfn.XLOOKUP(Tabela_Movimentacao_Geral[[#This Row],[ID Produto]], Tabela_Produtos[ID_Produto],Tabela_Produtos[Preco_Unitario_Venda])</f>
        <v>6.5</v>
      </c>
      <c r="J444" s="6">
        <f ca="1">Tabela_Movimentacao_Geral[[#This Row],[Quantidade]] * Tabela_Movimentacao_Geral[[#This Row],[Valor Unitário]]</f>
        <v>19.5</v>
      </c>
      <c r="K444" t="str">
        <f ca="1">IF(
   $O$7="Desbloqueado",
   CHOOSE(RANDBETWEEN(1,3),"Pago","Pendente","Atrasado"),
   Tabela_Movimentacao_Geral[[#This Row],[Status Financeiro]]
)</f>
        <v>Atrasado</v>
      </c>
      <c r="L444" t="str">
        <f ca="1">IF(
   $O$7="Desbloqueado",
   CHOOSE(RANDBETWEEN(1,3),"Entregue","Em Rota","Aguardando"),
   Tabela_Movimentacao_Geral[[#This Row],[Status Logistico]]
)</f>
        <v>Em Rota</v>
      </c>
      <c r="M4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45" spans="1:13" x14ac:dyDescent="0.3">
      <c r="A445" t="str">
        <f t="shared" si="6"/>
        <v>T0444</v>
      </c>
      <c r="B445" s="1">
        <v>45878</v>
      </c>
      <c r="C445" t="str" cm="1">
        <f t="array" aca="1" ref="C445" ca="1">IF($O$7="Desbloqueado",
  _xlfn.LET(
    _xlpm.saldo_atual, SUM(($C$2:$C444="Entrada")*($F$2:$F444=Tabela_Movimentacao_Geral[[#This Row],[ID Produto]])*($H$2:$H444) - ($C$2:$C444="Saida")*($F$2:$F444=Tabela_Movimentacao_Geral[[#This Row],[ID Produto]])*($H$2:$H444)),
    IF(_xlpm.saldo_atual &gt; 0, IF(RANDBETWEEN(0,10)&gt;3,"Saida","Entrada"), "Entrada")
  ),
  Tabela_Movimentacao_Geral[[#This Row],[Tipo Fluxo]]
)</f>
        <v>Entrada</v>
      </c>
      <c r="D4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4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445" t="str">
        <f ca="1">IF(
  $O$7="Desbloqueado",
  "PROD"&amp;TEXT(RANDBETWEEN(1,200),"000"),
  Tabela_Movimentacao_Geral[[#This Row],[ID Produto]]
)</f>
        <v>PROD135</v>
      </c>
      <c r="G445" t="str">
        <f ca="1">_xlfn.XLOOKUP(Tabela_Movimentacao_Geral[[#This Row],[ID Produto]], Tabela_Produtos[ID_Produto],Tabela_Produtos[Descricao_Produto],"Produto não encontrado")</f>
        <v>Ponteira Laser Apresentador</v>
      </c>
      <c r="H445" cm="1">
        <f t="array" aca="1" ref="H445" ca="1">IF(
   $O$7="Desbloqueado",
   _xlfn.LET(
     _xlpm.saldo_atual, SUM(($C$2:$C444="Entrada")*($F$2:$F444=Tabela_Movimentacao_Geral[[#This Row],[ID Produto]])*($H$2:$H444) - ($C$2:$C444="Saida")*($F$2:$F444=Tabela_Movimentacao_Geral[[#This Row],[ID Produto]])*($H$2:$H444)),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97</v>
      </c>
      <c r="I445" s="5">
        <f ca="1">_xlfn.XLOOKUP(Tabela_Movimentacao_Geral[[#This Row],[ID Produto]], Tabela_Produtos[ID_Produto],Tabela_Produtos[Preco_Unitario_Venda])</f>
        <v>120</v>
      </c>
      <c r="J445" s="6">
        <f ca="1">Tabela_Movimentacao_Geral[[#This Row],[Quantidade]] * Tabela_Movimentacao_Geral[[#This Row],[Valor Unitário]]</f>
        <v>11640</v>
      </c>
      <c r="K445" t="str">
        <f ca="1">IF(
   $O$7="Desbloqueado",
   CHOOSE(RANDBETWEEN(1,3),"Pago","Pendente","Atrasado"),
   Tabela_Movimentacao_Geral[[#This Row],[Status Financeiro]]
)</f>
        <v>Atrasado</v>
      </c>
      <c r="L445" t="str">
        <f ca="1">IF(
   $O$7="Desbloqueado",
   CHOOSE(RANDBETWEEN(1,3),"Entregue","Em Rota","Aguardando"),
   Tabela_Movimentacao_Geral[[#This Row],[Status Logistico]]
)</f>
        <v>Entregue</v>
      </c>
      <c r="M44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45879</v>
      </c>
    </row>
    <row r="446" spans="1:13" x14ac:dyDescent="0.3">
      <c r="A446" t="str">
        <f t="shared" si="6"/>
        <v>T0445</v>
      </c>
      <c r="B446" s="1">
        <v>45878</v>
      </c>
      <c r="C446" t="str" cm="1">
        <f t="array" aca="1" ref="C446" ca="1">IF($O$7="Desbloqueado",
  _xlfn.LET(
    _xlpm.saldo_atual, SUM(($C$2:$C445="Entrada")*($F$2:$F445=Tabela_Movimentacao_Geral[[#This Row],[ID Produto]])*($H$2:$H445) - ($C$2:$C445="Saida")*($F$2:$F445=Tabela_Movimentacao_Geral[[#This Row],[ID Produto]])*($H$2:$H445)),
    IF(_xlpm.saldo_atual &gt; 0, IF(RANDBETWEEN(0,10)&gt;3,"Saida","Entrada"), "Entrada")
  ),
  Tabela_Movimentacao_Geral[[#This Row],[Tipo Fluxo]]
)</f>
        <v>Entrada</v>
      </c>
      <c r="D4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4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446" t="str">
        <f ca="1">IF(
  $O$7="Desbloqueado",
  "PROD"&amp;TEXT(RANDBETWEEN(1,200),"000"),
  Tabela_Movimentacao_Geral[[#This Row],[ID Produto]]
)</f>
        <v>PROD140</v>
      </c>
      <c r="G446" t="str">
        <f ca="1">_xlfn.XLOOKUP(Tabela_Movimentacao_Geral[[#This Row],[ID Produto]], Tabela_Produtos[ID_Produto],Tabela_Produtos[Descricao_Produto],"Produto não encontrado")</f>
        <v>Leitor Cartao de Memoria</v>
      </c>
      <c r="H446" cm="1">
        <f t="array" aca="1" ref="H446" ca="1">IF(
   $O$7="Desbloqueado",
   _xlfn.LET(
     _xlpm.saldo_atual, SUM(($C$2:$C445="Entrada")*($F$2:$F445=Tabela_Movimentacao_Geral[[#This Row],[ID Produto]])*($H$2:$H445) - ($C$2:$C445="Saida")*($F$2:$F445=Tabela_Movimentacao_Geral[[#This Row],[ID Produto]])*($H$2:$H445)),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446" s="5">
        <f ca="1">_xlfn.XLOOKUP(Tabela_Movimentacao_Geral[[#This Row],[ID Produto]], Tabela_Produtos[ID_Produto],Tabela_Produtos[Preco_Unitario_Venda])</f>
        <v>45</v>
      </c>
      <c r="J446" s="6">
        <f ca="1">Tabela_Movimentacao_Geral[[#This Row],[Quantidade]] * Tabela_Movimentacao_Geral[[#This Row],[Valor Unitário]]</f>
        <v>3240</v>
      </c>
      <c r="K446" t="str">
        <f ca="1">IF(
   $O$7="Desbloqueado",
   CHOOSE(RANDBETWEEN(1,3),"Pago","Pendente","Atrasado"),
   Tabela_Movimentacao_Geral[[#This Row],[Status Financeiro]]
)</f>
        <v>Pendente</v>
      </c>
      <c r="L446" t="str">
        <f ca="1">IF(
   $O$7="Desbloqueado",
   CHOOSE(RANDBETWEEN(1,3),"Entregue","Em Rota","Aguardando"),
   Tabela_Movimentacao_Geral[[#This Row],[Status Logistico]]
)</f>
        <v>Aguardando</v>
      </c>
      <c r="M4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45888</v>
      </c>
    </row>
    <row r="447" spans="1:13" x14ac:dyDescent="0.3">
      <c r="A447" t="str">
        <f t="shared" si="6"/>
        <v>T0446</v>
      </c>
      <c r="B447" s="1">
        <v>45878</v>
      </c>
      <c r="C447" t="str" cm="1">
        <f t="array" aca="1" ref="C447" ca="1">IF($O$7="Desbloqueado",
  _xlfn.LET(
    _xlpm.saldo_atual, SUM(($C$2:$C446="Entrada")*($F$2:$F446=Tabela_Movimentacao_Geral[[#This Row],[ID Produto]])*($H$2:$H446) - ($C$2:$C446="Saida")*($F$2:$F446=Tabela_Movimentacao_Geral[[#This Row],[ID Produto]])*($H$2:$H446)),
    IF(_xlpm.saldo_atual &gt; 0, IF(RANDBETWEEN(0,10)&gt;3,"Saida","Entrada"), "Entrada")
  ),
  Tabela_Movimentacao_Geral[[#This Row],[Tipo Fluxo]]
)</f>
        <v>Saida</v>
      </c>
      <c r="D4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4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447" t="str">
        <f ca="1">IF(
  $O$7="Desbloqueado",
  "PROD"&amp;TEXT(RANDBETWEEN(1,200),"000"),
  Tabela_Movimentacao_Geral[[#This Row],[ID Produto]]
)</f>
        <v>PROD069</v>
      </c>
      <c r="G447" t="str">
        <f ca="1">_xlfn.XLOOKUP(Tabela_Movimentacao_Geral[[#This Row],[ID Produto]], Tabela_Produtos[ID_Produto],Tabela_Produtos[Descricao_Produto],"Produto não encontrado")</f>
        <v>Apagador para Quadro</v>
      </c>
      <c r="H447" cm="1">
        <f t="array" aca="1" ref="H447" ca="1">IF(
   $O$7="Desbloqueado",
   _xlfn.LET(
     _xlpm.saldo_atual, SUM(($C$2:$C446="Entrada")*($F$2:$F446=Tabela_Movimentacao_Geral[[#This Row],[ID Produto]])*($H$2:$H446) - ($C$2:$C446="Saida")*($F$2:$F446=Tabela_Movimentacao_Geral[[#This Row],[ID Produto]])*($H$2:$H446)),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447" s="5">
        <f ca="1">_xlfn.XLOOKUP(Tabela_Movimentacao_Geral[[#This Row],[ID Produto]], Tabela_Produtos[ID_Produto],Tabela_Produtos[Preco_Unitario_Venda])</f>
        <v>15</v>
      </c>
      <c r="J447" s="6">
        <f ca="1">Tabela_Movimentacao_Geral[[#This Row],[Quantidade]] * Tabela_Movimentacao_Geral[[#This Row],[Valor Unitário]]</f>
        <v>45</v>
      </c>
      <c r="K447" t="str">
        <f ca="1">IF(
   $O$7="Desbloqueado",
   CHOOSE(RANDBETWEEN(1,3),"Pago","Pendente","Atrasado"),
   Tabela_Movimentacao_Geral[[#This Row],[Status Financeiro]]
)</f>
        <v>Atrasado</v>
      </c>
      <c r="L447" t="str">
        <f ca="1">IF(
   $O$7="Desbloqueado",
   CHOOSE(RANDBETWEEN(1,3),"Entregue","Em Rota","Aguardando"),
   Tabela_Movimentacao_Geral[[#This Row],[Status Logistico]]
)</f>
        <v>Entregue</v>
      </c>
      <c r="M44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48" spans="1:13" x14ac:dyDescent="0.3">
      <c r="A448" t="str">
        <f t="shared" si="6"/>
        <v>T0447</v>
      </c>
      <c r="B448" s="1">
        <v>45878</v>
      </c>
      <c r="C448" t="str" cm="1">
        <f t="array" aca="1" ref="C448" ca="1">IF($O$7="Desbloqueado",
  _xlfn.LET(
    _xlpm.saldo_atual, SUM(($C$2:$C447="Entrada")*($F$2:$F447=Tabela_Movimentacao_Geral[[#This Row],[ID Produto]])*($H$2:$H447) - ($C$2:$C447="Saida")*($F$2:$F447=Tabela_Movimentacao_Geral[[#This Row],[ID Produto]])*($H$2:$H447)),
    IF(_xlpm.saldo_atual &gt; 0, IF(RANDBETWEEN(0,10)&gt;3,"Saida","Entrada"), "Entrada")
  ),
  Tabela_Movimentacao_Geral[[#This Row],[Tipo Fluxo]]
)</f>
        <v>Entrada</v>
      </c>
      <c r="D4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4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448" t="str">
        <f ca="1">IF(
  $O$7="Desbloqueado",
  "PROD"&amp;TEXT(RANDBETWEEN(1,200),"000"),
  Tabela_Movimentacao_Geral[[#This Row],[ID Produto]]
)</f>
        <v>PROD078</v>
      </c>
      <c r="G448" t="str">
        <f ca="1">_xlfn.XLOOKUP(Tabela_Movimentacao_Geral[[#This Row],[ID Produto]], Tabela_Produtos[ID_Produto],Tabela_Produtos[Descricao_Produto],"Produto não encontrado")</f>
        <v>Porta Canetas Telado</v>
      </c>
      <c r="H448" cm="1">
        <f t="array" aca="1" ref="H448" ca="1">IF(
   $O$7="Desbloqueado",
   _xlfn.LET(
     _xlpm.saldo_atual, SUM(($C$2:$C447="Entrada")*($F$2:$F447=Tabela_Movimentacao_Geral[[#This Row],[ID Produto]])*($H$2:$H447) - ($C$2:$C447="Saida")*($F$2:$F447=Tabela_Movimentacao_Geral[[#This Row],[ID Produto]])*($H$2:$H447)),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448" s="5">
        <f ca="1">_xlfn.XLOOKUP(Tabela_Movimentacao_Geral[[#This Row],[ID Produto]], Tabela_Produtos[ID_Produto],Tabela_Produtos[Preco_Unitario_Venda])</f>
        <v>15</v>
      </c>
      <c r="J448" s="6">
        <f ca="1">Tabela_Movimentacao_Geral[[#This Row],[Quantidade]] * Tabela_Movimentacao_Geral[[#This Row],[Valor Unitário]]</f>
        <v>375</v>
      </c>
      <c r="K448" t="str">
        <f ca="1">IF(
   $O$7="Desbloqueado",
   CHOOSE(RANDBETWEEN(1,3),"Pago","Pendente","Atrasado"),
   Tabela_Movimentacao_Geral[[#This Row],[Status Financeiro]]
)</f>
        <v>Pendente</v>
      </c>
      <c r="L448" t="str">
        <f ca="1">IF(
   $O$7="Desbloqueado",
   CHOOSE(RANDBETWEEN(1,3),"Entregue","Em Rota","Aguardando"),
   Tabela_Movimentacao_Geral[[#This Row],[Status Logistico]]
)</f>
        <v>Entregue</v>
      </c>
      <c r="M44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45879</v>
      </c>
    </row>
    <row r="449" spans="1:13" x14ac:dyDescent="0.3">
      <c r="A449" t="str">
        <f t="shared" si="6"/>
        <v>T0448</v>
      </c>
      <c r="B449" s="1">
        <v>45878</v>
      </c>
      <c r="C449" t="str" cm="1">
        <f t="array" aca="1" ref="C449" ca="1">IF($O$7="Desbloqueado",
  _xlfn.LET(
    _xlpm.saldo_atual, SUM(($C$2:$C448="Entrada")*($F$2:$F448=Tabela_Movimentacao_Geral[[#This Row],[ID Produto]])*($H$2:$H448) - ($C$2:$C448="Saida")*($F$2:$F448=Tabela_Movimentacao_Geral[[#This Row],[ID Produto]])*($H$2:$H448)),
    IF(_xlpm.saldo_atual &gt; 0, IF(RANDBETWEEN(0,10)&gt;3,"Saida","Entrada"), "Entrada")
  ),
  Tabela_Movimentacao_Geral[[#This Row],[Tipo Fluxo]]
)</f>
        <v>Saida</v>
      </c>
      <c r="D4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4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449" t="str">
        <f ca="1">IF(
  $O$7="Desbloqueado",
  "PROD"&amp;TEXT(RANDBETWEEN(1,200),"000"),
  Tabela_Movimentacao_Geral[[#This Row],[ID Produto]]
)</f>
        <v>PROD190</v>
      </c>
      <c r="G449" t="str">
        <f ca="1">_xlfn.XLOOKUP(Tabela_Movimentacao_Geral[[#This Row],[ID Produto]], Tabela_Produtos[ID_Produto],Tabela_Produtos[Descricao_Produto],"Produto não encontrado")</f>
        <v>Firewall Hardware Mid</v>
      </c>
      <c r="H449" cm="1">
        <f t="array" aca="1" ref="H449" ca="1">IF(
   $O$7="Desbloqueado",
   _xlfn.LET(
     _xlpm.saldo_atual, SUM(($C$2:$C448="Entrada")*($F$2:$F448=Tabela_Movimentacao_Geral[[#This Row],[ID Produto]])*($H$2:$H448) - ($C$2:$C448="Saida")*($F$2:$F448=Tabela_Movimentacao_Geral[[#This Row],[ID Produto]])*($H$2:$H448)),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449" s="5">
        <f ca="1">_xlfn.XLOOKUP(Tabela_Movimentacao_Geral[[#This Row],[ID Produto]], Tabela_Produtos[ID_Produto],Tabela_Produtos[Preco_Unitario_Venda])</f>
        <v>8500</v>
      </c>
      <c r="J449" s="6">
        <f ca="1">Tabela_Movimentacao_Geral[[#This Row],[Quantidade]] * Tabela_Movimentacao_Geral[[#This Row],[Valor Unitário]]</f>
        <v>187000</v>
      </c>
      <c r="K449" t="str">
        <f ca="1">IF(
   $O$7="Desbloqueado",
   CHOOSE(RANDBETWEEN(1,3),"Pago","Pendente","Atrasado"),
   Tabela_Movimentacao_Geral[[#This Row],[Status Financeiro]]
)</f>
        <v>Pendente</v>
      </c>
      <c r="L449" t="str">
        <f ca="1">IF(
   $O$7="Desbloqueado",
   CHOOSE(RANDBETWEEN(1,3),"Entregue","Em Rota","Aguardando"),
   Tabela_Movimentacao_Geral[[#This Row],[Status Logistico]]
)</f>
        <v>Em Rota</v>
      </c>
      <c r="M44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50" spans="1:13" x14ac:dyDescent="0.3">
      <c r="A450" t="str">
        <f t="shared" si="6"/>
        <v>T0449</v>
      </c>
      <c r="B450" s="1">
        <v>45878</v>
      </c>
      <c r="C450" t="str" cm="1">
        <f t="array" aca="1" ref="C450" ca="1">IF($O$7="Desbloqueado",
  _xlfn.LET(
    _xlpm.saldo_atual, SUM(($C$2:$C449="Entrada")*($F$2:$F449=Tabela_Movimentacao_Geral[[#This Row],[ID Produto]])*($H$2:$H449) - ($C$2:$C449="Saida")*($F$2:$F449=Tabela_Movimentacao_Geral[[#This Row],[ID Produto]])*($H$2:$H449)),
    IF(_xlpm.saldo_atual &gt; 0, IF(RANDBETWEEN(0,10)&gt;3,"Saida","Entrada"), "Entrada")
  ),
  Tabela_Movimentacao_Geral[[#This Row],[Tipo Fluxo]]
)</f>
        <v>Entrada</v>
      </c>
      <c r="D4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4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450" t="str">
        <f ca="1">IF(
  $O$7="Desbloqueado",
  "PROD"&amp;TEXT(RANDBETWEEN(1,200),"000"),
  Tabela_Movimentacao_Geral[[#This Row],[ID Produto]]
)</f>
        <v>PROD068</v>
      </c>
      <c r="G450" t="str">
        <f ca="1">_xlfn.XLOOKUP(Tabela_Movimentacao_Geral[[#This Row],[ID Produto]], Tabela_Produtos[ID_Produto],Tabela_Produtos[Descricao_Produto],"Produto não encontrado")</f>
        <v>Quadro Branco 90x60</v>
      </c>
      <c r="H450" cm="1">
        <f t="array" aca="1" ref="H450" ca="1">IF(
   $O$7="Desbloqueado",
   _xlfn.LET(
     _xlpm.saldo_atual, SUM(($C$2:$C449="Entrada")*($F$2:$F449=Tabela_Movimentacao_Geral[[#This Row],[ID Produto]])*($H$2:$H449) - ($C$2:$C449="Saida")*($F$2:$F449=Tabela_Movimentacao_Geral[[#This Row],[ID Produto]])*($H$2:$H449)),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450" s="5">
        <f ca="1">_xlfn.XLOOKUP(Tabela_Movimentacao_Geral[[#This Row],[ID Produto]], Tabela_Produtos[ID_Produto],Tabela_Produtos[Preco_Unitario_Venda])</f>
        <v>180</v>
      </c>
      <c r="J450" s="6">
        <f ca="1">Tabela_Movimentacao_Geral[[#This Row],[Quantidade]] * Tabela_Movimentacao_Geral[[#This Row],[Valor Unitário]]</f>
        <v>13320</v>
      </c>
      <c r="K450" t="str">
        <f ca="1">IF(
   $O$7="Desbloqueado",
   CHOOSE(RANDBETWEEN(1,3),"Pago","Pendente","Atrasado"),
   Tabela_Movimentacao_Geral[[#This Row],[Status Financeiro]]
)</f>
        <v>Pago</v>
      </c>
      <c r="L450" t="str">
        <f ca="1">IF(
   $O$7="Desbloqueado",
   CHOOSE(RANDBETWEEN(1,3),"Entregue","Em Rota","Aguardando"),
   Tabela_Movimentacao_Geral[[#This Row],[Status Logistico]]
)</f>
        <v>Em Rota</v>
      </c>
      <c r="M45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45880</v>
      </c>
    </row>
    <row r="451" spans="1:13" x14ac:dyDescent="0.3">
      <c r="A451" t="str">
        <f t="shared" si="6"/>
        <v>T0450</v>
      </c>
      <c r="B451" s="1">
        <v>45879</v>
      </c>
      <c r="C451" t="str" cm="1">
        <f t="array" aca="1" ref="C451" ca="1">IF($O$7="Desbloqueado",
  _xlfn.LET(
    _xlpm.saldo_atual, SUM(($C$2:$C450="Entrada")*($F$2:$F450=Tabela_Movimentacao_Geral[[#This Row],[ID Produto]])*($H$2:$H450) - ($C$2:$C450="Saida")*($F$2:$F450=Tabela_Movimentacao_Geral[[#This Row],[ID Produto]])*($H$2:$H450)),
    IF(_xlpm.saldo_atual &gt; 0, IF(RANDBETWEEN(0,10)&gt;3,"Saida","Entrada"), "Entrada")
  ),
  Tabela_Movimentacao_Geral[[#This Row],[Tipo Fluxo]]
)</f>
        <v>Entrada</v>
      </c>
      <c r="D4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4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451" t="str">
        <f ca="1">IF(
  $O$7="Desbloqueado",
  "PROD"&amp;TEXT(RANDBETWEEN(1,200),"000"),
  Tabela_Movimentacao_Geral[[#This Row],[ID Produto]]
)</f>
        <v>PROD083</v>
      </c>
      <c r="G451" t="str">
        <f ca="1">_xlfn.XLOOKUP(Tabela_Movimentacao_Geral[[#This Row],[ID Produto]], Tabela_Produtos[ID_Produto],Tabela_Produtos[Descricao_Produto],"Produto não encontrado")</f>
        <v>Memoria Server 32GB ECC</v>
      </c>
      <c r="H451" cm="1">
        <f t="array" aca="1" ref="H451" ca="1">IF(
   $O$7="Desbloqueado",
   _xlfn.LET(
     _xlpm.saldo_atual, SUM(($C$2:$C450="Entrada")*($F$2:$F450=Tabela_Movimentacao_Geral[[#This Row],[ID Produto]])*($H$2:$H450) - ($C$2:$C450="Saida")*($F$2:$F450=Tabela_Movimentacao_Geral[[#This Row],[ID Produto]])*($H$2:$H450)),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451" s="5">
        <f ca="1">_xlfn.XLOOKUP(Tabela_Movimentacao_Geral[[#This Row],[ID Produto]], Tabela_Produtos[ID_Produto],Tabela_Produtos[Preco_Unitario_Venda])</f>
        <v>1450</v>
      </c>
      <c r="J451" s="6">
        <f ca="1">Tabela_Movimentacao_Geral[[#This Row],[Quantidade]] * Tabela_Movimentacao_Geral[[#This Row],[Valor Unitário]]</f>
        <v>26100</v>
      </c>
      <c r="K451" t="str">
        <f ca="1">IF(
   $O$7="Desbloqueado",
   CHOOSE(RANDBETWEEN(1,3),"Pago","Pendente","Atrasado"),
   Tabela_Movimentacao_Geral[[#This Row],[Status Financeiro]]
)</f>
        <v>Pendente</v>
      </c>
      <c r="L451" t="str">
        <f ca="1">IF(
   $O$7="Desbloqueado",
   CHOOSE(RANDBETWEEN(1,3),"Entregue","Em Rota","Aguardando"),
   Tabela_Movimentacao_Geral[[#This Row],[Status Logistico]]
)</f>
        <v>Em Rota</v>
      </c>
      <c r="M45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45881</v>
      </c>
    </row>
    <row r="452" spans="1:13" x14ac:dyDescent="0.3">
      <c r="A452" t="str">
        <f t="shared" si="6"/>
        <v>T0451</v>
      </c>
      <c r="B452" s="1">
        <v>45879</v>
      </c>
      <c r="C452" t="str" cm="1">
        <f t="array" aca="1" ref="C452" ca="1">IF($O$7="Desbloqueado",
  _xlfn.LET(
    _xlpm.saldo_atual, SUM(($C$2:$C451="Entrada")*($F$2:$F451=Tabela_Movimentacao_Geral[[#This Row],[ID Produto]])*($H$2:$H451) - ($C$2:$C451="Saida")*($F$2:$F451=Tabela_Movimentacao_Geral[[#This Row],[ID Produto]])*($H$2:$H451)),
    IF(_xlpm.saldo_atual &gt; 0, IF(RANDBETWEEN(0,10)&gt;3,"Saida","Entrada"), "Entrada")
  ),
  Tabela_Movimentacao_Geral[[#This Row],[Tipo Fluxo]]
)</f>
        <v>Saida</v>
      </c>
      <c r="D4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4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452" t="str">
        <f ca="1">IF(
  $O$7="Desbloqueado",
  "PROD"&amp;TEXT(RANDBETWEEN(1,200),"000"),
  Tabela_Movimentacao_Geral[[#This Row],[ID Produto]]
)</f>
        <v>PROD107</v>
      </c>
      <c r="G452" t="str">
        <f ca="1">_xlfn.XLOOKUP(Tabela_Movimentacao_Geral[[#This Row],[ID Produto]], Tabela_Produtos[ID_Produto],Tabela_Produtos[Descricao_Produto],"Produto não encontrado")</f>
        <v>Impressora Termica Cupom</v>
      </c>
      <c r="H452" cm="1">
        <f t="array" aca="1" ref="H452" ca="1">IF(
   $O$7="Desbloqueado",
   _xlfn.LET(
     _xlpm.saldo_atual, SUM(($C$2:$C451="Entrada")*($F$2:$F451=Tabela_Movimentacao_Geral[[#This Row],[ID Produto]])*($H$2:$H451) - ($C$2:$C451="Saida")*($F$2:$F451=Tabela_Movimentacao_Geral[[#This Row],[ID Produto]])*($H$2:$H451)),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452" s="5">
        <f ca="1">_xlfn.XLOOKUP(Tabela_Movimentacao_Geral[[#This Row],[ID Produto]], Tabela_Produtos[ID_Produto],Tabela_Produtos[Preco_Unitario_Venda])</f>
        <v>680</v>
      </c>
      <c r="J452" s="6">
        <f ca="1">Tabela_Movimentacao_Geral[[#This Row],[Quantidade]] * Tabela_Movimentacao_Geral[[#This Row],[Valor Unitário]]</f>
        <v>6800</v>
      </c>
      <c r="K452" t="str">
        <f ca="1">IF(
   $O$7="Desbloqueado",
   CHOOSE(RANDBETWEEN(1,3),"Pago","Pendente","Atrasado"),
   Tabela_Movimentacao_Geral[[#This Row],[Status Financeiro]]
)</f>
        <v>Pago</v>
      </c>
      <c r="L452" t="str">
        <f ca="1">IF(
   $O$7="Desbloqueado",
   CHOOSE(RANDBETWEEN(1,3),"Entregue","Em Rota","Aguardando"),
   Tabela_Movimentacao_Geral[[#This Row],[Status Logistico]]
)</f>
        <v>Aguardando</v>
      </c>
      <c r="M4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53" spans="1:13" x14ac:dyDescent="0.3">
      <c r="A453" t="str">
        <f t="shared" si="6"/>
        <v>T0452</v>
      </c>
      <c r="B453" s="1">
        <v>45879</v>
      </c>
      <c r="C453" t="str" cm="1">
        <f t="array" aca="1" ref="C453" ca="1">IF($O$7="Desbloqueado",
  _xlfn.LET(
    _xlpm.saldo_atual, SUM(($C$2:$C452="Entrada")*($F$2:$F452=Tabela_Movimentacao_Geral[[#This Row],[ID Produto]])*($H$2:$H452) - ($C$2:$C452="Saida")*($F$2:$F452=Tabela_Movimentacao_Geral[[#This Row],[ID Produto]])*($H$2:$H452)),
    IF(_xlpm.saldo_atual &gt; 0, IF(RANDBETWEEN(0,10)&gt;3,"Saida","Entrada"), "Entrada")
  ),
  Tabela_Movimentacao_Geral[[#This Row],[Tipo Fluxo]]
)</f>
        <v>Entrada</v>
      </c>
      <c r="D4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4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453" t="str">
        <f ca="1">IF(
  $O$7="Desbloqueado",
  "PROD"&amp;TEXT(RANDBETWEEN(1,200),"000"),
  Tabela_Movimentacao_Geral[[#This Row],[ID Produto]]
)</f>
        <v>PROD156</v>
      </c>
      <c r="G453" t="str">
        <f ca="1">_xlfn.XLOOKUP(Tabela_Movimentacao_Geral[[#This Row],[ID Produto]], Tabela_Produtos[ID_Produto],Tabela_Produtos[Descricao_Produto],"Produto não encontrado")</f>
        <v>Perfurador 2 Furos 40fls</v>
      </c>
      <c r="H453" cm="1">
        <f t="array" aca="1" ref="H453" ca="1">IF(
   $O$7="Desbloqueado",
   _xlfn.LET(
     _xlpm.saldo_atual, SUM(($C$2:$C452="Entrada")*($F$2:$F452=Tabela_Movimentacao_Geral[[#This Row],[ID Produto]])*($H$2:$H452) - ($C$2:$C452="Saida")*($F$2:$F452=Tabela_Movimentacao_Geral[[#This Row],[ID Produto]])*($H$2:$H452)),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453" s="5">
        <f ca="1">_xlfn.XLOOKUP(Tabela_Movimentacao_Geral[[#This Row],[ID Produto]], Tabela_Produtos[ID_Produto],Tabela_Produtos[Preco_Unitario_Venda])</f>
        <v>85</v>
      </c>
      <c r="J453" s="6">
        <f ca="1">Tabela_Movimentacao_Geral[[#This Row],[Quantidade]] * Tabela_Movimentacao_Geral[[#This Row],[Valor Unitário]]</f>
        <v>3570</v>
      </c>
      <c r="K453" t="str">
        <f ca="1">IF(
   $O$7="Desbloqueado",
   CHOOSE(RANDBETWEEN(1,3),"Pago","Pendente","Atrasado"),
   Tabela_Movimentacao_Geral[[#This Row],[Status Financeiro]]
)</f>
        <v>Atrasado</v>
      </c>
      <c r="L453" t="str">
        <f ca="1">IF(
   $O$7="Desbloqueado",
   CHOOSE(RANDBETWEEN(1,3),"Entregue","Em Rota","Aguardando"),
   Tabela_Movimentacao_Geral[[#This Row],[Status Logistico]]
)</f>
        <v>Entregue</v>
      </c>
      <c r="M45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45881</v>
      </c>
    </row>
    <row r="454" spans="1:13" x14ac:dyDescent="0.3">
      <c r="A454" t="str">
        <f t="shared" si="6"/>
        <v>T0453</v>
      </c>
      <c r="B454" s="1">
        <v>45879</v>
      </c>
      <c r="C454" t="str" cm="1">
        <f t="array" aca="1" ref="C454" ca="1">IF($O$7="Desbloqueado",
  _xlfn.LET(
    _xlpm.saldo_atual, SUM(($C$2:$C453="Entrada")*($F$2:$F453=Tabela_Movimentacao_Geral[[#This Row],[ID Produto]])*($H$2:$H453) - ($C$2:$C453="Saida")*($F$2:$F453=Tabela_Movimentacao_Geral[[#This Row],[ID Produto]])*($H$2:$H453)),
    IF(_xlpm.saldo_atual &gt; 0, IF(RANDBETWEEN(0,10)&gt;3,"Saida","Entrada"), "Entrada")
  ),
  Tabela_Movimentacao_Geral[[#This Row],[Tipo Fluxo]]
)</f>
        <v>Saida</v>
      </c>
      <c r="D4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4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454" t="str">
        <f ca="1">IF(
  $O$7="Desbloqueado",
  "PROD"&amp;TEXT(RANDBETWEEN(1,200),"000"),
  Tabela_Movimentacao_Geral[[#This Row],[ID Produto]]
)</f>
        <v>PROD117</v>
      </c>
      <c r="G454" t="str">
        <f ca="1">_xlfn.XLOOKUP(Tabela_Movimentacao_Geral[[#This Row],[ID Produto]], Tabela_Produtos[ID_Produto],Tabela_Produtos[Descricao_Produto],"Produto não encontrado")</f>
        <v>Adaptador Wi-Fi USB 5G</v>
      </c>
      <c r="H454" cm="1">
        <f t="array" aca="1" ref="H454" ca="1">IF(
   $O$7="Desbloqueado",
   _xlfn.LET(
     _xlpm.saldo_atual, SUM(($C$2:$C453="Entrada")*($F$2:$F453=Tabela_Movimentacao_Geral[[#This Row],[ID Produto]])*($H$2:$H453) - ($C$2:$C453="Saida")*($F$2:$F453=Tabela_Movimentacao_Geral[[#This Row],[ID Produto]])*($H$2:$H453)),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454" s="5">
        <f ca="1">_xlfn.XLOOKUP(Tabela_Movimentacao_Geral[[#This Row],[ID Produto]], Tabela_Produtos[ID_Produto],Tabela_Produtos[Preco_Unitario_Venda])</f>
        <v>95</v>
      </c>
      <c r="J454" s="6">
        <f ca="1">Tabela_Movimentacao_Geral[[#This Row],[Quantidade]] * Tabela_Movimentacao_Geral[[#This Row],[Valor Unitário]]</f>
        <v>760</v>
      </c>
      <c r="K454" t="str">
        <f ca="1">IF(
   $O$7="Desbloqueado",
   CHOOSE(RANDBETWEEN(1,3),"Pago","Pendente","Atrasado"),
   Tabela_Movimentacao_Geral[[#This Row],[Status Financeiro]]
)</f>
        <v>Atrasado</v>
      </c>
      <c r="L454" t="str">
        <f ca="1">IF(
   $O$7="Desbloqueado",
   CHOOSE(RANDBETWEEN(1,3),"Entregue","Em Rota","Aguardando"),
   Tabela_Movimentacao_Geral[[#This Row],[Status Logistico]]
)</f>
        <v>Em Rota</v>
      </c>
      <c r="M45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55" spans="1:13" x14ac:dyDescent="0.3">
      <c r="A455" t="str">
        <f t="shared" si="6"/>
        <v>T0454</v>
      </c>
      <c r="B455" s="1">
        <v>45881</v>
      </c>
      <c r="C455" t="str" cm="1">
        <f t="array" aca="1" ref="C455" ca="1">IF($O$7="Desbloqueado",
  _xlfn.LET(
    _xlpm.saldo_atual, SUM(($C$2:$C454="Entrada")*($F$2:$F454=Tabela_Movimentacao_Geral[[#This Row],[ID Produto]])*($H$2:$H454) - ($C$2:$C454="Saida")*($F$2:$F454=Tabela_Movimentacao_Geral[[#This Row],[ID Produto]])*($H$2:$H454)),
    IF(_xlpm.saldo_atual &gt; 0, IF(RANDBETWEEN(0,10)&gt;3,"Saida","Entrada"), "Entrada")
  ),
  Tabela_Movimentacao_Geral[[#This Row],[Tipo Fluxo]]
)</f>
        <v>Saida</v>
      </c>
      <c r="D4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4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455" t="str">
        <f ca="1">IF(
  $O$7="Desbloqueado",
  "PROD"&amp;TEXT(RANDBETWEEN(1,200),"000"),
  Tabela_Movimentacao_Geral[[#This Row],[ID Produto]]
)</f>
        <v>PROD126</v>
      </c>
      <c r="G455" t="str">
        <f ca="1">_xlfn.XLOOKUP(Tabela_Movimentacao_Geral[[#This Row],[ID Produto]], Tabela_Produtos[ID_Produto],Tabela_Produtos[Descricao_Produto],"Produto não encontrado")</f>
        <v>Mouse Ergonomico Vertical</v>
      </c>
      <c r="H455" cm="1">
        <f t="array" aca="1" ref="H455" ca="1">IF(
   $O$7="Desbloqueado",
   _xlfn.LET(
     _xlpm.saldo_atual, SUM(($C$2:$C454="Entrada")*($F$2:$F454=Tabela_Movimentacao_Geral[[#This Row],[ID Produto]])*($H$2:$H454) - ($C$2:$C454="Saida")*($F$2:$F454=Tabela_Movimentacao_Geral[[#This Row],[ID Produto]])*($H$2:$H454)),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455" s="5">
        <f ca="1">_xlfn.XLOOKUP(Tabela_Movimentacao_Geral[[#This Row],[ID Produto]], Tabela_Produtos[ID_Produto],Tabela_Produtos[Preco_Unitario_Venda])</f>
        <v>280</v>
      </c>
      <c r="J455" s="6">
        <f ca="1">Tabela_Movimentacao_Geral[[#This Row],[Quantidade]] * Tabela_Movimentacao_Geral[[#This Row],[Valor Unitário]]</f>
        <v>840</v>
      </c>
      <c r="K455" t="str">
        <f ca="1">IF(
   $O$7="Desbloqueado",
   CHOOSE(RANDBETWEEN(1,3),"Pago","Pendente","Atrasado"),
   Tabela_Movimentacao_Geral[[#This Row],[Status Financeiro]]
)</f>
        <v>Atrasado</v>
      </c>
      <c r="L455" t="str">
        <f ca="1">IF(
   $O$7="Desbloqueado",
   CHOOSE(RANDBETWEEN(1,3),"Entregue","Em Rota","Aguardando"),
   Tabela_Movimentacao_Geral[[#This Row],[Status Logistico]]
)</f>
        <v>Aguardando</v>
      </c>
      <c r="M45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56" spans="1:13" x14ac:dyDescent="0.3">
      <c r="A456" t="str">
        <f t="shared" si="6"/>
        <v>T0455</v>
      </c>
      <c r="B456" s="1">
        <v>45881</v>
      </c>
      <c r="C456" t="str" cm="1">
        <f t="array" aca="1" ref="C456" ca="1">IF($O$7="Desbloqueado",
  _xlfn.LET(
    _xlpm.saldo_atual, SUM(($C$2:$C455="Entrada")*($F$2:$F455=Tabela_Movimentacao_Geral[[#This Row],[ID Produto]])*($H$2:$H455) - ($C$2:$C455="Saida")*($F$2:$F455=Tabela_Movimentacao_Geral[[#This Row],[ID Produto]])*($H$2:$H455)),
    IF(_xlpm.saldo_atual &gt; 0, IF(RANDBETWEEN(0,10)&gt;3,"Saida","Entrada"), "Entrada")
  ),
  Tabela_Movimentacao_Geral[[#This Row],[Tipo Fluxo]]
)</f>
        <v>Entrada</v>
      </c>
      <c r="D4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4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456" t="str">
        <f ca="1">IF(
  $O$7="Desbloqueado",
  "PROD"&amp;TEXT(RANDBETWEEN(1,200),"000"),
  Tabela_Movimentacao_Geral[[#This Row],[ID Produto]]
)</f>
        <v>PROD113</v>
      </c>
      <c r="G456" t="str">
        <f ca="1">_xlfn.XLOOKUP(Tabela_Movimentacao_Geral[[#This Row],[ID Produto]], Tabela_Produtos[ID_Produto],Tabela_Produtos[Descricao_Produto],"Produto não encontrado")</f>
        <v>Headphone Bluetooth NoiseC</v>
      </c>
      <c r="H456" cm="1">
        <f t="array" aca="1" ref="H456" ca="1">IF(
   $O$7="Desbloqueado",
   _xlfn.LET(
     _xlpm.saldo_atual, SUM(($C$2:$C455="Entrada")*($F$2:$F455=Tabela_Movimentacao_Geral[[#This Row],[ID Produto]])*($H$2:$H455) - ($C$2:$C455="Saida")*($F$2:$F455=Tabela_Movimentacao_Geral[[#This Row],[ID Produto]])*($H$2:$H455)),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</v>
      </c>
      <c r="I456" s="5">
        <f ca="1">_xlfn.XLOOKUP(Tabela_Movimentacao_Geral[[#This Row],[ID Produto]], Tabela_Produtos[ID_Produto],Tabela_Produtos[Preco_Unitario_Venda])</f>
        <v>950</v>
      </c>
      <c r="J456" s="6">
        <f ca="1">Tabela_Movimentacao_Geral[[#This Row],[Quantidade]] * Tabela_Movimentacao_Geral[[#This Row],[Valor Unitário]]</f>
        <v>47500</v>
      </c>
      <c r="K456" t="str">
        <f ca="1">IF(
   $O$7="Desbloqueado",
   CHOOSE(RANDBETWEEN(1,3),"Pago","Pendente","Atrasado"),
   Tabela_Movimentacao_Geral[[#This Row],[Status Financeiro]]
)</f>
        <v>Pendente</v>
      </c>
      <c r="L456" t="str">
        <f ca="1">IF(
   $O$7="Desbloqueado",
   CHOOSE(RANDBETWEEN(1,3),"Entregue","Em Rota","Aguardando"),
   Tabela_Movimentacao_Geral[[#This Row],[Status Logistico]]
)</f>
        <v>Aguardando</v>
      </c>
      <c r="M45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45889</v>
      </c>
    </row>
    <row r="457" spans="1:13" x14ac:dyDescent="0.3">
      <c r="A457" t="str">
        <f t="shared" si="6"/>
        <v>T0456</v>
      </c>
      <c r="B457" s="1">
        <v>45881</v>
      </c>
      <c r="C457" t="str" cm="1">
        <f t="array" aca="1" ref="C457" ca="1">IF($O$7="Desbloqueado",
  _xlfn.LET(
    _xlpm.saldo_atual, SUM(($C$2:$C456="Entrada")*($F$2:$F456=Tabela_Movimentacao_Geral[[#This Row],[ID Produto]])*($H$2:$H456) - ($C$2:$C456="Saida")*($F$2:$F456=Tabela_Movimentacao_Geral[[#This Row],[ID Produto]])*($H$2:$H456)),
    IF(_xlpm.saldo_atual &gt; 0, IF(RANDBETWEEN(0,10)&gt;3,"Saida","Entrada"), "Entrada")
  ),
  Tabela_Movimentacao_Geral[[#This Row],[Tipo Fluxo]]
)</f>
        <v>Saida</v>
      </c>
      <c r="D4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4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457" t="str">
        <f ca="1">IF(
  $O$7="Desbloqueado",
  "PROD"&amp;TEXT(RANDBETWEEN(1,200),"000"),
  Tabela_Movimentacao_Geral[[#This Row],[ID Produto]]
)</f>
        <v>PROD011</v>
      </c>
      <c r="G457" t="str">
        <f ca="1">_xlfn.XLOOKUP(Tabela_Movimentacao_Geral[[#This Row],[ID Produto]], Tabela_Produtos[ID_Produto],Tabela_Produtos[Descricao_Produto],"Produto não encontrado")</f>
        <v>Memoria RAM 8GB DDR4</v>
      </c>
      <c r="H457" cm="1">
        <f t="array" aca="1" ref="H457" ca="1">IF(
   $O$7="Desbloqueado",
   _xlfn.LET(
     _xlpm.saldo_atual, SUM(($C$2:$C456="Entrada")*($F$2:$F456=Tabela_Movimentacao_Geral[[#This Row],[ID Produto]])*($H$2:$H456) - ($C$2:$C456="Saida")*($F$2:$F456=Tabela_Movimentacao_Geral[[#This Row],[ID Produto]])*($H$2:$H456)),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457" s="5">
        <f ca="1">_xlfn.XLOOKUP(Tabela_Movimentacao_Geral[[#This Row],[ID Produto]], Tabela_Produtos[ID_Produto],Tabela_Produtos[Preco_Unitario_Venda])</f>
        <v>280</v>
      </c>
      <c r="J457" s="6">
        <f ca="1">Tabela_Movimentacao_Geral[[#This Row],[Quantidade]] * Tabela_Movimentacao_Geral[[#This Row],[Valor Unitário]]</f>
        <v>8680</v>
      </c>
      <c r="K457" t="str">
        <f ca="1">IF(
   $O$7="Desbloqueado",
   CHOOSE(RANDBETWEEN(1,3),"Pago","Pendente","Atrasado"),
   Tabela_Movimentacao_Geral[[#This Row],[Status Financeiro]]
)</f>
        <v>Pendente</v>
      </c>
      <c r="L457" t="str">
        <f ca="1">IF(
   $O$7="Desbloqueado",
   CHOOSE(RANDBETWEEN(1,3),"Entregue","Em Rota","Aguardando"),
   Tabela_Movimentacao_Geral[[#This Row],[Status Logistico]]
)</f>
        <v>Aguardando</v>
      </c>
      <c r="M45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58" spans="1:13" x14ac:dyDescent="0.3">
      <c r="A458" t="str">
        <f t="shared" si="6"/>
        <v>T0457</v>
      </c>
      <c r="B458" s="1">
        <v>45881</v>
      </c>
      <c r="C458" t="str" cm="1">
        <f t="array" aca="1" ref="C458" ca="1">IF($O$7="Desbloqueado",
  _xlfn.LET(
    _xlpm.saldo_atual, SUM(($C$2:$C457="Entrada")*($F$2:$F457=Tabela_Movimentacao_Geral[[#This Row],[ID Produto]])*($H$2:$H457) - ($C$2:$C457="Saida")*($F$2:$F457=Tabela_Movimentacao_Geral[[#This Row],[ID Produto]])*($H$2:$H457)),
    IF(_xlpm.saldo_atual &gt; 0, IF(RANDBETWEEN(0,10)&gt;3,"Saida","Entrada"), "Entrada")
  ),
  Tabela_Movimentacao_Geral[[#This Row],[Tipo Fluxo]]
)</f>
        <v>Saida</v>
      </c>
      <c r="D4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4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458" t="str">
        <f ca="1">IF(
  $O$7="Desbloqueado",
  "PROD"&amp;TEXT(RANDBETWEEN(1,200),"000"),
  Tabela_Movimentacao_Geral[[#This Row],[ID Produto]]
)</f>
        <v>PROD027</v>
      </c>
      <c r="G458" t="str">
        <f ca="1">_xlfn.XLOOKUP(Tabela_Movimentacao_Geral[[#This Row],[ID Produto]], Tabela_Produtos[ID_Produto],Tabela_Produtos[Descricao_Produto],"Produto não encontrado")</f>
        <v>Hub USB 3.0 4 Portas</v>
      </c>
      <c r="H458" cm="1">
        <f t="array" aca="1" ref="H458" ca="1">IF(
   $O$7="Desbloqueado",
   _xlfn.LET(
     _xlpm.saldo_atual, SUM(($C$2:$C457="Entrada")*($F$2:$F457=Tabela_Movimentacao_Geral[[#This Row],[ID Produto]])*($H$2:$H457) - ($C$2:$C457="Saida")*($F$2:$F457=Tabela_Movimentacao_Geral[[#This Row],[ID Produto]])*($H$2:$H457)),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103</v>
      </c>
      <c r="I458" s="5">
        <f ca="1">_xlfn.XLOOKUP(Tabela_Movimentacao_Geral[[#This Row],[ID Produto]], Tabela_Produtos[ID_Produto],Tabela_Produtos[Preco_Unitario_Venda])</f>
        <v>75</v>
      </c>
      <c r="J458" s="6">
        <f ca="1">Tabela_Movimentacao_Geral[[#This Row],[Quantidade]] * Tabela_Movimentacao_Geral[[#This Row],[Valor Unitário]]</f>
        <v>7725</v>
      </c>
      <c r="K458" t="str">
        <f ca="1">IF(
   $O$7="Desbloqueado",
   CHOOSE(RANDBETWEEN(1,3),"Pago","Pendente","Atrasado"),
   Tabela_Movimentacao_Geral[[#This Row],[Status Financeiro]]
)</f>
        <v>Pago</v>
      </c>
      <c r="L458" t="str">
        <f ca="1">IF(
   $O$7="Desbloqueado",
   CHOOSE(RANDBETWEEN(1,3),"Entregue","Em Rota","Aguardando"),
   Tabela_Movimentacao_Geral[[#This Row],[Status Logistico]]
)</f>
        <v>Entregue</v>
      </c>
      <c r="M45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59" spans="1:13" x14ac:dyDescent="0.3">
      <c r="A459" t="str">
        <f t="shared" si="6"/>
        <v>T0458</v>
      </c>
      <c r="B459" s="1">
        <v>45883</v>
      </c>
      <c r="C459" t="str" cm="1">
        <f t="array" aca="1" ref="C459" ca="1">IF($O$7="Desbloqueado",
  _xlfn.LET(
    _xlpm.saldo_atual, SUM(($C$2:$C458="Entrada")*($F$2:$F458=Tabela_Movimentacao_Geral[[#This Row],[ID Produto]])*($H$2:$H458) - ($C$2:$C458="Saida")*($F$2:$F458=Tabela_Movimentacao_Geral[[#This Row],[ID Produto]])*($H$2:$H458)),
    IF(_xlpm.saldo_atual &gt; 0, IF(RANDBETWEEN(0,10)&gt;3,"Saida","Entrada"), "Entrada")
  ),
  Tabela_Movimentacao_Geral[[#This Row],[Tipo Fluxo]]
)</f>
        <v>Saida</v>
      </c>
      <c r="D4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4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459" t="str">
        <f ca="1">IF(
  $O$7="Desbloqueado",
  "PROD"&amp;TEXT(RANDBETWEEN(1,200),"000"),
  Tabela_Movimentacao_Geral[[#This Row],[ID Produto]]
)</f>
        <v>PROD026</v>
      </c>
      <c r="G459" t="str">
        <f ca="1">_xlfn.XLOOKUP(Tabela_Movimentacao_Geral[[#This Row],[ID Produto]], Tabela_Produtos[ID_Produto],Tabela_Produtos[Descricao_Produto],"Produto não encontrado")</f>
        <v>Mousepad Gamer Extra Large</v>
      </c>
      <c r="H459" cm="1">
        <f t="array" aca="1" ref="H459" ca="1">IF(
   $O$7="Desbloqueado",
   _xlfn.LET(
     _xlpm.saldo_atual, SUM(($C$2:$C458="Entrada")*($F$2:$F458=Tabela_Movimentacao_Geral[[#This Row],[ID Produto]])*($H$2:$H458) - ($C$2:$C458="Saida")*($F$2:$F458=Tabela_Movimentacao_Geral[[#This Row],[ID Produto]])*($H$2:$H458)),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459" s="5">
        <f ca="1">_xlfn.XLOOKUP(Tabela_Movimentacao_Geral[[#This Row],[ID Produto]], Tabela_Produtos[ID_Produto],Tabela_Produtos[Preco_Unitario_Venda])</f>
        <v>85</v>
      </c>
      <c r="J459" s="6">
        <f ca="1">Tabela_Movimentacao_Geral[[#This Row],[Quantidade]] * Tabela_Movimentacao_Geral[[#This Row],[Valor Unitário]]</f>
        <v>7225</v>
      </c>
      <c r="K459" t="str">
        <f ca="1">IF(
   $O$7="Desbloqueado",
   CHOOSE(RANDBETWEEN(1,3),"Pago","Pendente","Atrasado"),
   Tabela_Movimentacao_Geral[[#This Row],[Status Financeiro]]
)</f>
        <v>Atrasado</v>
      </c>
      <c r="L459" t="str">
        <f ca="1">IF(
   $O$7="Desbloqueado",
   CHOOSE(RANDBETWEEN(1,3),"Entregue","Em Rota","Aguardando"),
   Tabela_Movimentacao_Geral[[#This Row],[Status Logistico]]
)</f>
        <v>Entregue</v>
      </c>
      <c r="M45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60" spans="1:13" x14ac:dyDescent="0.3">
      <c r="A460" t="str">
        <f t="shared" si="6"/>
        <v>T0459</v>
      </c>
      <c r="B460" s="1">
        <v>45884</v>
      </c>
      <c r="C460" t="str" cm="1">
        <f t="array" aca="1" ref="C460" ca="1">IF($O$7="Desbloqueado",
  _xlfn.LET(
    _xlpm.saldo_atual, SUM(($C$2:$C459="Entrada")*($F$2:$F459=Tabela_Movimentacao_Geral[[#This Row],[ID Produto]])*($H$2:$H459) - ($C$2:$C459="Saida")*($F$2:$F459=Tabela_Movimentacao_Geral[[#This Row],[ID Produto]])*($H$2:$H459)),
    IF(_xlpm.saldo_atual &gt; 0, IF(RANDBETWEEN(0,10)&gt;3,"Saida","Entrada"), "Entrada")
  ),
  Tabela_Movimentacao_Geral[[#This Row],[Tipo Fluxo]]
)</f>
        <v>Entrada</v>
      </c>
      <c r="D4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4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460" t="str">
        <f ca="1">IF(
  $O$7="Desbloqueado",
  "PROD"&amp;TEXT(RANDBETWEEN(1,200),"000"),
  Tabela_Movimentacao_Geral[[#This Row],[ID Produto]]
)</f>
        <v>PROD033</v>
      </c>
      <c r="G460" t="str">
        <f ca="1">_xlfn.XLOOKUP(Tabela_Movimentacao_Geral[[#This Row],[ID Produto]], Tabela_Produtos[ID_Produto],Tabela_Produtos[Descricao_Produto],"Produto não encontrado")</f>
        <v>Pendrive 64GB USB 3.1</v>
      </c>
      <c r="H460" cm="1">
        <f t="array" aca="1" ref="H460" ca="1">IF(
   $O$7="Desbloqueado",
   _xlfn.LET(
     _xlpm.saldo_atual, SUM(($C$2:$C459="Entrada")*($F$2:$F459=Tabela_Movimentacao_Geral[[#This Row],[ID Produto]])*($H$2:$H459) - ($C$2:$C459="Saida")*($F$2:$F459=Tabela_Movimentacao_Geral[[#This Row],[ID Produto]])*($H$2:$H459)),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65</v>
      </c>
      <c r="I460" s="5">
        <f ca="1">_xlfn.XLOOKUP(Tabela_Movimentacao_Geral[[#This Row],[ID Produto]], Tabela_Produtos[ID_Produto],Tabela_Produtos[Preco_Unitario_Venda])</f>
        <v>65</v>
      </c>
      <c r="J460" s="6">
        <f ca="1">Tabela_Movimentacao_Geral[[#This Row],[Quantidade]] * Tabela_Movimentacao_Geral[[#This Row],[Valor Unitário]]</f>
        <v>4225</v>
      </c>
      <c r="K460" t="str">
        <f ca="1">IF(
   $O$7="Desbloqueado",
   CHOOSE(RANDBETWEEN(1,3),"Pago","Pendente","Atrasado"),
   Tabela_Movimentacao_Geral[[#This Row],[Status Financeiro]]
)</f>
        <v>Pago</v>
      </c>
      <c r="L460" t="str">
        <f ca="1">IF(
   $O$7="Desbloqueado",
   CHOOSE(RANDBETWEEN(1,3),"Entregue","Em Rota","Aguardando"),
   Tabela_Movimentacao_Geral[[#This Row],[Status Logistico]]
)</f>
        <v>Em Rota</v>
      </c>
      <c r="M46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45892</v>
      </c>
    </row>
    <row r="461" spans="1:13" x14ac:dyDescent="0.3">
      <c r="A461" t="str">
        <f t="shared" si="6"/>
        <v>T0460</v>
      </c>
      <c r="B461" s="1">
        <v>45885</v>
      </c>
      <c r="C461" t="str" cm="1">
        <f t="array" aca="1" ref="C461" ca="1">IF($O$7="Desbloqueado",
  _xlfn.LET(
    _xlpm.saldo_atual, SUM(($C$2:$C460="Entrada")*($F$2:$F460=Tabela_Movimentacao_Geral[[#This Row],[ID Produto]])*($H$2:$H460) - ($C$2:$C460="Saida")*($F$2:$F460=Tabela_Movimentacao_Geral[[#This Row],[ID Produto]])*($H$2:$H460)),
    IF(_xlpm.saldo_atual &gt; 0, IF(RANDBETWEEN(0,10)&gt;3,"Saida","Entrada"), "Entrada")
  ),
  Tabela_Movimentacao_Geral[[#This Row],[Tipo Fluxo]]
)</f>
        <v>Entrada</v>
      </c>
      <c r="D4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4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461" t="str">
        <f ca="1">IF(
  $O$7="Desbloqueado",
  "PROD"&amp;TEXT(RANDBETWEEN(1,200),"000"),
  Tabela_Movimentacao_Geral[[#This Row],[ID Produto]]
)</f>
        <v>PROD004</v>
      </c>
      <c r="G461" t="str">
        <f ca="1">_xlfn.XLOOKUP(Tabela_Movimentacao_Geral[[#This Row],[ID Produto]], Tabela_Produtos[ID_Produto],Tabela_Produtos[Descricao_Produto],"Produto não encontrado")</f>
        <v>Cadeira Ergonomica Office</v>
      </c>
      <c r="H461" cm="1">
        <f t="array" aca="1" ref="H461" ca="1">IF(
   $O$7="Desbloqueado",
   _xlfn.LET(
     _xlpm.saldo_atual, SUM(($C$2:$C460="Entrada")*($F$2:$F460=Tabela_Movimentacao_Geral[[#This Row],[ID Produto]])*($H$2:$H460) - ($C$2:$C460="Saida")*($F$2:$F460=Tabela_Movimentacao_Geral[[#This Row],[ID Produto]])*($H$2:$H460)),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461" s="5">
        <f ca="1">_xlfn.XLOOKUP(Tabela_Movimentacao_Geral[[#This Row],[ID Produto]], Tabela_Produtos[ID_Produto],Tabela_Produtos[Preco_Unitario_Venda])</f>
        <v>1200</v>
      </c>
      <c r="J461" s="6">
        <f ca="1">Tabela_Movimentacao_Geral[[#This Row],[Quantidade]] * Tabela_Movimentacao_Geral[[#This Row],[Valor Unitário]]</f>
        <v>14400</v>
      </c>
      <c r="K461" t="str">
        <f ca="1">IF(
   $O$7="Desbloqueado",
   CHOOSE(RANDBETWEEN(1,3),"Pago","Pendente","Atrasado"),
   Tabela_Movimentacao_Geral[[#This Row],[Status Financeiro]]
)</f>
        <v>Pago</v>
      </c>
      <c r="L461" t="str">
        <f ca="1">IF(
   $O$7="Desbloqueado",
   CHOOSE(RANDBETWEEN(1,3),"Entregue","Em Rota","Aguardando"),
   Tabela_Movimentacao_Geral[[#This Row],[Status Logistico]]
)</f>
        <v>Em Rota</v>
      </c>
      <c r="M46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45891</v>
      </c>
    </row>
    <row r="462" spans="1:13" x14ac:dyDescent="0.3">
      <c r="A462" t="str">
        <f t="shared" si="6"/>
        <v>T0461</v>
      </c>
      <c r="B462" s="1">
        <v>45886</v>
      </c>
      <c r="C462" t="str" cm="1">
        <f t="array" aca="1" ref="C462" ca="1">IF($O$7="Desbloqueado",
  _xlfn.LET(
    _xlpm.saldo_atual, SUM(($C$2:$C461="Entrada")*($F$2:$F461=Tabela_Movimentacao_Geral[[#This Row],[ID Produto]])*($H$2:$H461) - ($C$2:$C461="Saida")*($F$2:$F461=Tabela_Movimentacao_Geral[[#This Row],[ID Produto]])*($H$2:$H461)),
    IF(_xlpm.saldo_atual &gt; 0, IF(RANDBETWEEN(0,10)&gt;3,"Saida","Entrada"), "Entrada")
  ),
  Tabela_Movimentacao_Geral[[#This Row],[Tipo Fluxo]]
)</f>
        <v>Saida</v>
      </c>
      <c r="D4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4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462" t="str">
        <f ca="1">IF(
  $O$7="Desbloqueado",
  "PROD"&amp;TEXT(RANDBETWEEN(1,200),"000"),
  Tabela_Movimentacao_Geral[[#This Row],[ID Produto]]
)</f>
        <v>PROD193</v>
      </c>
      <c r="G462" t="str">
        <f ca="1">_xlfn.XLOOKUP(Tabela_Movimentacao_Geral[[#This Row],[ID Produto]], Tabela_Produtos[ID_Produto],Tabela_Produtos[Descricao_Produto],"Produto não encontrado")</f>
        <v>Mini Rack 6U Parede</v>
      </c>
      <c r="H462" cm="1">
        <f t="array" aca="1" ref="H462" ca="1">IF(
   $O$7="Desbloqueado",
   _xlfn.LET(
     _xlpm.saldo_atual, SUM(($C$2:$C461="Entrada")*($F$2:$F461=Tabela_Movimentacao_Geral[[#This Row],[ID Produto]])*($H$2:$H461) - ($C$2:$C461="Saida")*($F$2:$F461=Tabela_Movimentacao_Geral[[#This Row],[ID Produto]])*($H$2:$H461)),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462" s="5">
        <f ca="1">_xlfn.XLOOKUP(Tabela_Movimentacao_Geral[[#This Row],[ID Produto]], Tabela_Produtos[ID_Produto],Tabela_Produtos[Preco_Unitario_Venda])</f>
        <v>450</v>
      </c>
      <c r="J462" s="6">
        <f ca="1">Tabela_Movimentacao_Geral[[#This Row],[Quantidade]] * Tabela_Movimentacao_Geral[[#This Row],[Valor Unitário]]</f>
        <v>3600</v>
      </c>
      <c r="K462" t="str">
        <f ca="1">IF(
   $O$7="Desbloqueado",
   CHOOSE(RANDBETWEEN(1,3),"Pago","Pendente","Atrasado"),
   Tabela_Movimentacao_Geral[[#This Row],[Status Financeiro]]
)</f>
        <v>Pago</v>
      </c>
      <c r="L462" t="str">
        <f ca="1">IF(
   $O$7="Desbloqueado",
   CHOOSE(RANDBETWEEN(1,3),"Entregue","Em Rota","Aguardando"),
   Tabela_Movimentacao_Geral[[#This Row],[Status Logistico]]
)</f>
        <v>Entregue</v>
      </c>
      <c r="M46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63" spans="1:13" x14ac:dyDescent="0.3">
      <c r="A463" t="str">
        <f t="shared" si="6"/>
        <v>T0462</v>
      </c>
      <c r="B463" s="1">
        <v>45887</v>
      </c>
      <c r="C463" t="str" cm="1">
        <f t="array" aca="1" ref="C463" ca="1">IF($O$7="Desbloqueado",
  _xlfn.LET(
    _xlpm.saldo_atual, SUM(($C$2:$C462="Entrada")*($F$2:$F462=Tabela_Movimentacao_Geral[[#This Row],[ID Produto]])*($H$2:$H462) - ($C$2:$C462="Saida")*($F$2:$F462=Tabela_Movimentacao_Geral[[#This Row],[ID Produto]])*($H$2:$H462)),
    IF(_xlpm.saldo_atual &gt; 0, IF(RANDBETWEEN(0,10)&gt;3,"Saida","Entrada"), "Entrada")
  ),
  Tabela_Movimentacao_Geral[[#This Row],[Tipo Fluxo]]
)</f>
        <v>Saida</v>
      </c>
      <c r="D4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4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463" t="str">
        <f ca="1">IF(
  $O$7="Desbloqueado",
  "PROD"&amp;TEXT(RANDBETWEEN(1,200),"000"),
  Tabela_Movimentacao_Geral[[#This Row],[ID Produto]]
)</f>
        <v>PROD085</v>
      </c>
      <c r="G463" t="str">
        <f ca="1">_xlfn.XLOOKUP(Tabela_Movimentacao_Geral[[#This Row],[ID Produto]], Tabela_Produtos[ID_Produto],Tabela_Produtos[Descricao_Produto],"Produto não encontrado")</f>
        <v>Cabo Optico Patch Cord 3m</v>
      </c>
      <c r="H463" cm="1">
        <f t="array" aca="1" ref="H463" ca="1">IF(
   $O$7="Desbloqueado",
   _xlfn.LET(
     _xlpm.saldo_atual, SUM(($C$2:$C462="Entrada")*($F$2:$F462=Tabela_Movimentacao_Geral[[#This Row],[ID Produto]])*($H$2:$H462) - ($C$2:$C462="Saida")*($F$2:$F462=Tabela_Movimentacao_Geral[[#This Row],[ID Produto]])*($H$2:$H462)),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54</v>
      </c>
      <c r="I463" s="5">
        <f ca="1">_xlfn.XLOOKUP(Tabela_Movimentacao_Geral[[#This Row],[ID Produto]], Tabela_Produtos[ID_Produto],Tabela_Produtos[Preco_Unitario_Venda])</f>
        <v>85</v>
      </c>
      <c r="J463" s="6">
        <f ca="1">Tabela_Movimentacao_Geral[[#This Row],[Quantidade]] * Tabela_Movimentacao_Geral[[#This Row],[Valor Unitário]]</f>
        <v>4590</v>
      </c>
      <c r="K463" t="str">
        <f ca="1">IF(
   $O$7="Desbloqueado",
   CHOOSE(RANDBETWEEN(1,3),"Pago","Pendente","Atrasado"),
   Tabela_Movimentacao_Geral[[#This Row],[Status Financeiro]]
)</f>
        <v>Pendente</v>
      </c>
      <c r="L463" t="str">
        <f ca="1">IF(
   $O$7="Desbloqueado",
   CHOOSE(RANDBETWEEN(1,3),"Entregue","Em Rota","Aguardando"),
   Tabela_Movimentacao_Geral[[#This Row],[Status Logistico]]
)</f>
        <v>Em Rota</v>
      </c>
      <c r="M46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64" spans="1:13" x14ac:dyDescent="0.3">
      <c r="A464" t="str">
        <f t="shared" si="6"/>
        <v>T0463</v>
      </c>
      <c r="B464" s="1">
        <v>45887</v>
      </c>
      <c r="C464" t="str" cm="1">
        <f t="array" aca="1" ref="C464" ca="1">IF($O$7="Desbloqueado",
  _xlfn.LET(
    _xlpm.saldo_atual, SUM(($C$2:$C463="Entrada")*($F$2:$F463=Tabela_Movimentacao_Geral[[#This Row],[ID Produto]])*($H$2:$H463) - ($C$2:$C463="Saida")*($F$2:$F463=Tabela_Movimentacao_Geral[[#This Row],[ID Produto]])*($H$2:$H463)),
    IF(_xlpm.saldo_atual &gt; 0, IF(RANDBETWEEN(0,10)&gt;3,"Saida","Entrada"), "Entrada")
  ),
  Tabela_Movimentacao_Geral[[#This Row],[Tipo Fluxo]]
)</f>
        <v>Saida</v>
      </c>
      <c r="D4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4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464" t="str">
        <f ca="1">IF(
  $O$7="Desbloqueado",
  "PROD"&amp;TEXT(RANDBETWEEN(1,200),"000"),
  Tabela_Movimentacao_Geral[[#This Row],[ID Produto]]
)</f>
        <v>PROD007</v>
      </c>
      <c r="G464" t="str">
        <f ca="1">_xlfn.XLOOKUP(Tabela_Movimentacao_Geral[[#This Row],[ID Produto]], Tabela_Produtos[ID_Produto],Tabela_Produtos[Descricao_Produto],"Produto não encontrado")</f>
        <v>Impressora Laser Color</v>
      </c>
      <c r="H464" cm="1">
        <f t="array" aca="1" ref="H464" ca="1">IF(
   $O$7="Desbloqueado",
   _xlfn.LET(
     _xlpm.saldo_atual, SUM(($C$2:$C463="Entrada")*($F$2:$F463=Tabela_Movimentacao_Geral[[#This Row],[ID Produto]])*($H$2:$H463) - ($C$2:$C463="Saida")*($F$2:$F463=Tabela_Movimentacao_Geral[[#This Row],[ID Produto]])*($H$2:$H463)),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464" s="5">
        <f ca="1">_xlfn.XLOOKUP(Tabela_Movimentacao_Geral[[#This Row],[ID Produto]], Tabela_Produtos[ID_Produto],Tabela_Produtos[Preco_Unitario_Venda])</f>
        <v>1800</v>
      </c>
      <c r="J464" s="6">
        <f ca="1">Tabela_Movimentacao_Geral[[#This Row],[Quantidade]] * Tabela_Movimentacao_Geral[[#This Row],[Valor Unitário]]</f>
        <v>1800</v>
      </c>
      <c r="K464" t="str">
        <f ca="1">IF(
   $O$7="Desbloqueado",
   CHOOSE(RANDBETWEEN(1,3),"Pago","Pendente","Atrasado"),
   Tabela_Movimentacao_Geral[[#This Row],[Status Financeiro]]
)</f>
        <v>Pendente</v>
      </c>
      <c r="L464" t="str">
        <f ca="1">IF(
   $O$7="Desbloqueado",
   CHOOSE(RANDBETWEEN(1,3),"Entregue","Em Rota","Aguardando"),
   Tabela_Movimentacao_Geral[[#This Row],[Status Logistico]]
)</f>
        <v>Em Rota</v>
      </c>
      <c r="M46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65" spans="1:13" x14ac:dyDescent="0.3">
      <c r="A465" t="str">
        <f t="shared" si="6"/>
        <v>T0464</v>
      </c>
      <c r="B465" s="1">
        <v>45888</v>
      </c>
      <c r="C465" t="str" cm="1">
        <f t="array" aca="1" ref="C465" ca="1">IF($O$7="Desbloqueado",
  _xlfn.LET(
    _xlpm.saldo_atual, SUM(($C$2:$C464="Entrada")*($F$2:$F464=Tabela_Movimentacao_Geral[[#This Row],[ID Produto]])*($H$2:$H464) - ($C$2:$C464="Saida")*($F$2:$F464=Tabela_Movimentacao_Geral[[#This Row],[ID Produto]])*($H$2:$H464)),
    IF(_xlpm.saldo_atual &gt; 0, IF(RANDBETWEEN(0,10)&gt;3,"Saida","Entrada"), "Entrada")
  ),
  Tabela_Movimentacao_Geral[[#This Row],[Tipo Fluxo]]
)</f>
        <v>Saida</v>
      </c>
      <c r="D4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4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465" t="str">
        <f ca="1">IF(
  $O$7="Desbloqueado",
  "PROD"&amp;TEXT(RANDBETWEEN(1,200),"000"),
  Tabela_Movimentacao_Geral[[#This Row],[ID Produto]]
)</f>
        <v>PROD144</v>
      </c>
      <c r="G465" t="str">
        <f ca="1">_xlfn.XLOOKUP(Tabela_Movimentacao_Geral[[#This Row],[ID Produto]], Tabela_Produtos[ID_Produto],Tabela_Produtos[Descricao_Produto],"Produto não encontrado")</f>
        <v>Ar Comprimido Limpeza</v>
      </c>
      <c r="H465" cm="1">
        <f t="array" aca="1" ref="H465" ca="1">IF(
   $O$7="Desbloqueado",
   _xlfn.LET(
     _xlpm.saldo_atual, SUM(($C$2:$C464="Entrada")*($F$2:$F464=Tabela_Movimentacao_Geral[[#This Row],[ID Produto]])*($H$2:$H464) - ($C$2:$C464="Saida")*($F$2:$F464=Tabela_Movimentacao_Geral[[#This Row],[ID Produto]])*($H$2:$H464)),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465" s="5">
        <f ca="1">_xlfn.XLOOKUP(Tabela_Movimentacao_Geral[[#This Row],[ID Produto]], Tabela_Produtos[ID_Produto],Tabela_Produtos[Preco_Unitario_Venda])</f>
        <v>55</v>
      </c>
      <c r="J465" s="6">
        <f ca="1">Tabela_Movimentacao_Geral[[#This Row],[Quantidade]] * Tabela_Movimentacao_Geral[[#This Row],[Valor Unitário]]</f>
        <v>440</v>
      </c>
      <c r="K465" t="str">
        <f ca="1">IF(
   $O$7="Desbloqueado",
   CHOOSE(RANDBETWEEN(1,3),"Pago","Pendente","Atrasado"),
   Tabela_Movimentacao_Geral[[#This Row],[Status Financeiro]]
)</f>
        <v>Atrasado</v>
      </c>
      <c r="L465" t="str">
        <f ca="1">IF(
   $O$7="Desbloqueado",
   CHOOSE(RANDBETWEEN(1,3),"Entregue","Em Rota","Aguardando"),
   Tabela_Movimentacao_Geral[[#This Row],[Status Logistico]]
)</f>
        <v>Entregue</v>
      </c>
      <c r="M46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66" spans="1:13" x14ac:dyDescent="0.3">
      <c r="A466" t="str">
        <f t="shared" si="6"/>
        <v>T0465</v>
      </c>
      <c r="B466" s="1">
        <v>45889</v>
      </c>
      <c r="C466" t="str" cm="1">
        <f t="array" aca="1" ref="C466" ca="1">IF($O$7="Desbloqueado",
  _xlfn.LET(
    _xlpm.saldo_atual, SUM(($C$2:$C465="Entrada")*($F$2:$F465=Tabela_Movimentacao_Geral[[#This Row],[ID Produto]])*($H$2:$H465) - ($C$2:$C465="Saida")*($F$2:$F465=Tabela_Movimentacao_Geral[[#This Row],[ID Produto]])*($H$2:$H465)),
    IF(_xlpm.saldo_atual &gt; 0, IF(RANDBETWEEN(0,10)&gt;3,"Saida","Entrada"), "Entrada")
  ),
  Tabela_Movimentacao_Geral[[#This Row],[Tipo Fluxo]]
)</f>
        <v>Saida</v>
      </c>
      <c r="D4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4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466" t="str">
        <f ca="1">IF(
  $O$7="Desbloqueado",
  "PROD"&amp;TEXT(RANDBETWEEN(1,200),"000"),
  Tabela_Movimentacao_Geral[[#This Row],[ID Produto]]
)</f>
        <v>PROD069</v>
      </c>
      <c r="G466" t="str">
        <f ca="1">_xlfn.XLOOKUP(Tabela_Movimentacao_Geral[[#This Row],[ID Produto]], Tabela_Produtos[ID_Produto],Tabela_Produtos[Descricao_Produto],"Produto não encontrado")</f>
        <v>Apagador para Quadro</v>
      </c>
      <c r="H466" cm="1">
        <f t="array" aca="1" ref="H466" ca="1">IF(
   $O$7="Desbloqueado",
   _xlfn.LET(
     _xlpm.saldo_atual, SUM(($C$2:$C465="Entrada")*($F$2:$F465=Tabela_Movimentacao_Geral[[#This Row],[ID Produto]])*($H$2:$H465) - ($C$2:$C465="Saida")*($F$2:$F465=Tabela_Movimentacao_Geral[[#This Row],[ID Produto]])*($H$2:$H465)),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466" s="5">
        <f ca="1">_xlfn.XLOOKUP(Tabela_Movimentacao_Geral[[#This Row],[ID Produto]], Tabela_Produtos[ID_Produto],Tabela_Produtos[Preco_Unitario_Venda])</f>
        <v>15</v>
      </c>
      <c r="J466" s="6">
        <f ca="1">Tabela_Movimentacao_Geral[[#This Row],[Quantidade]] * Tabela_Movimentacao_Geral[[#This Row],[Valor Unitário]]</f>
        <v>15</v>
      </c>
      <c r="K466" t="str">
        <f ca="1">IF(
   $O$7="Desbloqueado",
   CHOOSE(RANDBETWEEN(1,3),"Pago","Pendente","Atrasado"),
   Tabela_Movimentacao_Geral[[#This Row],[Status Financeiro]]
)</f>
        <v>Atrasado</v>
      </c>
      <c r="L466" t="str">
        <f ca="1">IF(
   $O$7="Desbloqueado",
   CHOOSE(RANDBETWEEN(1,3),"Entregue","Em Rota","Aguardando"),
   Tabela_Movimentacao_Geral[[#This Row],[Status Logistico]]
)</f>
        <v>Aguardando</v>
      </c>
      <c r="M46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67" spans="1:13" x14ac:dyDescent="0.3">
      <c r="A467" t="str">
        <f t="shared" si="6"/>
        <v>T0466</v>
      </c>
      <c r="B467" s="1">
        <v>45889</v>
      </c>
      <c r="C467" t="str" cm="1">
        <f t="array" aca="1" ref="C467" ca="1">IF($O$7="Desbloqueado",
  _xlfn.LET(
    _xlpm.saldo_atual, SUM(($C$2:$C466="Entrada")*($F$2:$F466=Tabela_Movimentacao_Geral[[#This Row],[ID Produto]])*($H$2:$H466) - ($C$2:$C466="Saida")*($F$2:$F466=Tabela_Movimentacao_Geral[[#This Row],[ID Produto]])*($H$2:$H466)),
    IF(_xlpm.saldo_atual &gt; 0, IF(RANDBETWEEN(0,10)&gt;3,"Saida","Entrada"), "Entrada")
  ),
  Tabela_Movimentacao_Geral[[#This Row],[Tipo Fluxo]]
)</f>
        <v>Entrada</v>
      </c>
      <c r="D4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4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467" t="str">
        <f ca="1">IF(
  $O$7="Desbloqueado",
  "PROD"&amp;TEXT(RANDBETWEEN(1,200),"000"),
  Tabela_Movimentacao_Geral[[#This Row],[ID Produto]]
)</f>
        <v>PROD019</v>
      </c>
      <c r="G467" t="str">
        <f ca="1">_xlfn.XLOOKUP(Tabela_Movimentacao_Geral[[#This Row],[ID Produto]], Tabela_Produtos[ID_Produto],Tabela_Produtos[Descricao_Produto],"Produto não encontrado")</f>
        <v>Suporte para Monitor Articulado</v>
      </c>
      <c r="H467" cm="1">
        <f t="array" aca="1" ref="H467" ca="1">IF(
   $O$7="Desbloqueado",
   _xlfn.LET(
     _xlpm.saldo_atual, SUM(($C$2:$C466="Entrada")*($F$2:$F466=Tabela_Movimentacao_Geral[[#This Row],[ID Produto]])*($H$2:$H466) - ($C$2:$C466="Saida")*($F$2:$F466=Tabela_Movimentacao_Geral[[#This Row],[ID Produto]])*($H$2:$H466)),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</v>
      </c>
      <c r="I467" s="5">
        <f ca="1">_xlfn.XLOOKUP(Tabela_Movimentacao_Geral[[#This Row],[ID Produto]], Tabela_Produtos[ID_Produto],Tabela_Produtos[Preco_Unitario_Venda])</f>
        <v>220</v>
      </c>
      <c r="J467" s="6">
        <f ca="1">Tabela_Movimentacao_Geral[[#This Row],[Quantidade]] * Tabela_Movimentacao_Geral[[#This Row],[Valor Unitário]]</f>
        <v>7480</v>
      </c>
      <c r="K467" t="str">
        <f ca="1">IF(
   $O$7="Desbloqueado",
   CHOOSE(RANDBETWEEN(1,3),"Pago","Pendente","Atrasado"),
   Tabela_Movimentacao_Geral[[#This Row],[Status Financeiro]]
)</f>
        <v>Atrasado</v>
      </c>
      <c r="L467" t="str">
        <f ca="1">IF(
   $O$7="Desbloqueado",
   CHOOSE(RANDBETWEEN(1,3),"Entregue","Em Rota","Aguardando"),
   Tabela_Movimentacao_Geral[[#This Row],[Status Logistico]]
)</f>
        <v>Entregue</v>
      </c>
      <c r="M46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45892</v>
      </c>
    </row>
    <row r="468" spans="1:13" x14ac:dyDescent="0.3">
      <c r="A468" t="str">
        <f t="shared" si="6"/>
        <v>T0467</v>
      </c>
      <c r="B468" s="1">
        <v>45889</v>
      </c>
      <c r="C468" t="str" cm="1">
        <f t="array" aca="1" ref="C468" ca="1">IF($O$7="Desbloqueado",
  _xlfn.LET(
    _xlpm.saldo_atual, SUM(($C$2:$C467="Entrada")*($F$2:$F467=Tabela_Movimentacao_Geral[[#This Row],[ID Produto]])*($H$2:$H467) - ($C$2:$C467="Saida")*($F$2:$F467=Tabela_Movimentacao_Geral[[#This Row],[ID Produto]])*($H$2:$H467)),
    IF(_xlpm.saldo_atual &gt; 0, IF(RANDBETWEEN(0,10)&gt;3,"Saida","Entrada"), "Entrada")
  ),
  Tabela_Movimentacao_Geral[[#This Row],[Tipo Fluxo]]
)</f>
        <v>Entrada</v>
      </c>
      <c r="D4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4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468" t="str">
        <f ca="1">IF(
  $O$7="Desbloqueado",
  "PROD"&amp;TEXT(RANDBETWEEN(1,200),"000"),
  Tabela_Movimentacao_Geral[[#This Row],[ID Produto]]
)</f>
        <v>PROD049</v>
      </c>
      <c r="G468" t="str">
        <f ca="1">_xlfn.XLOOKUP(Tabela_Movimentacao_Geral[[#This Row],[ID Produto]], Tabela_Produtos[ID_Produto],Tabela_Produtos[Descricao_Produto],"Produto não encontrado")</f>
        <v>Scanner de Documentos</v>
      </c>
      <c r="H468" cm="1">
        <f t="array" aca="1" ref="H468" ca="1">IF(
   $O$7="Desbloqueado",
   _xlfn.LET(
     _xlpm.saldo_atual, SUM(($C$2:$C467="Entrada")*($F$2:$F467=Tabela_Movimentacao_Geral[[#This Row],[ID Produto]])*($H$2:$H467) - ($C$2:$C467="Saida")*($F$2:$F467=Tabela_Movimentacao_Geral[[#This Row],[ID Produto]])*($H$2:$H467)),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33</v>
      </c>
      <c r="I468" s="5">
        <f ca="1">_xlfn.XLOOKUP(Tabela_Movimentacao_Geral[[#This Row],[ID Produto]], Tabela_Produtos[ID_Produto],Tabela_Produtos[Preco_Unitario_Venda])</f>
        <v>1550</v>
      </c>
      <c r="J468" s="6">
        <f ca="1">Tabela_Movimentacao_Geral[[#This Row],[Quantidade]] * Tabela_Movimentacao_Geral[[#This Row],[Valor Unitário]]</f>
        <v>51150</v>
      </c>
      <c r="K468" t="str">
        <f ca="1">IF(
   $O$7="Desbloqueado",
   CHOOSE(RANDBETWEEN(1,3),"Pago","Pendente","Atrasado"),
   Tabela_Movimentacao_Geral[[#This Row],[Status Financeiro]]
)</f>
        <v>Pendente</v>
      </c>
      <c r="L468" t="str">
        <f ca="1">IF(
   $O$7="Desbloqueado",
   CHOOSE(RANDBETWEEN(1,3),"Entregue","Em Rota","Aguardando"),
   Tabela_Movimentacao_Geral[[#This Row],[Status Logistico]]
)</f>
        <v>Entregue</v>
      </c>
      <c r="M46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45890</v>
      </c>
    </row>
    <row r="469" spans="1:13" x14ac:dyDescent="0.3">
      <c r="A469" t="str">
        <f t="shared" si="6"/>
        <v>T0468</v>
      </c>
      <c r="B469" s="1">
        <v>45890</v>
      </c>
      <c r="C469" t="str" cm="1">
        <f t="array" aca="1" ref="C469" ca="1">IF($O$7="Desbloqueado",
  _xlfn.LET(
    _xlpm.saldo_atual, SUM(($C$2:$C468="Entrada")*($F$2:$F468=Tabela_Movimentacao_Geral[[#This Row],[ID Produto]])*($H$2:$H468) - ($C$2:$C468="Saida")*($F$2:$F468=Tabela_Movimentacao_Geral[[#This Row],[ID Produto]])*($H$2:$H468)),
    IF(_xlpm.saldo_atual &gt; 0, IF(RANDBETWEEN(0,10)&gt;3,"Saida","Entrada"), "Entrada")
  ),
  Tabela_Movimentacao_Geral[[#This Row],[Tipo Fluxo]]
)</f>
        <v>Saida</v>
      </c>
      <c r="D4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4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469" t="str">
        <f ca="1">IF(
  $O$7="Desbloqueado",
  "PROD"&amp;TEXT(RANDBETWEEN(1,200),"000"),
  Tabela_Movimentacao_Geral[[#This Row],[ID Produto]]
)</f>
        <v>PROD104</v>
      </c>
      <c r="G469" t="str">
        <f ca="1">_xlfn.XLOOKUP(Tabela_Movimentacao_Geral[[#This Row],[ID Produto]], Tabela_Produtos[ID_Produto],Tabela_Produtos[Descricao_Produto],"Produto não encontrado")</f>
        <v>Suporte Notebook Articulado</v>
      </c>
      <c r="H469" cm="1">
        <f t="array" aca="1" ref="H469" ca="1">IF(
   $O$7="Desbloqueado",
   _xlfn.LET(
     _xlpm.saldo_atual, SUM(($C$2:$C468="Entrada")*($F$2:$F468=Tabela_Movimentacao_Geral[[#This Row],[ID Produto]])*($H$2:$H468) - ($C$2:$C468="Saida")*($F$2:$F468=Tabela_Movimentacao_Geral[[#This Row],[ID Produto]])*($H$2:$H468)),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469" s="5">
        <f ca="1">_xlfn.XLOOKUP(Tabela_Movimentacao_Geral[[#This Row],[ID Produto]], Tabela_Produtos[ID_Produto],Tabela_Produtos[Preco_Unitario_Venda])</f>
        <v>185</v>
      </c>
      <c r="J469" s="6">
        <f ca="1">Tabela_Movimentacao_Geral[[#This Row],[Quantidade]] * Tabela_Movimentacao_Geral[[#This Row],[Valor Unitário]]</f>
        <v>3515</v>
      </c>
      <c r="K469" t="str">
        <f ca="1">IF(
   $O$7="Desbloqueado",
   CHOOSE(RANDBETWEEN(1,3),"Pago","Pendente","Atrasado"),
   Tabela_Movimentacao_Geral[[#This Row],[Status Financeiro]]
)</f>
        <v>Atrasado</v>
      </c>
      <c r="L469" t="str">
        <f ca="1">IF(
   $O$7="Desbloqueado",
   CHOOSE(RANDBETWEEN(1,3),"Entregue","Em Rota","Aguardando"),
   Tabela_Movimentacao_Geral[[#This Row],[Status Logistico]]
)</f>
        <v>Entregue</v>
      </c>
      <c r="M46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70" spans="1:13" x14ac:dyDescent="0.3">
      <c r="A470" t="str">
        <f t="shared" si="6"/>
        <v>T0469</v>
      </c>
      <c r="B470" s="1">
        <v>45890</v>
      </c>
      <c r="C470" t="str" cm="1">
        <f t="array" aca="1" ref="C470" ca="1">IF($O$7="Desbloqueado",
  _xlfn.LET(
    _xlpm.saldo_atual, SUM(($C$2:$C469="Entrada")*($F$2:$F469=Tabela_Movimentacao_Geral[[#This Row],[ID Produto]])*($H$2:$H469) - ($C$2:$C469="Saida")*($F$2:$F469=Tabela_Movimentacao_Geral[[#This Row],[ID Produto]])*($H$2:$H469)),
    IF(_xlpm.saldo_atual &gt; 0, IF(RANDBETWEEN(0,10)&gt;3,"Saida","Entrada"), "Entrada")
  ),
  Tabela_Movimentacao_Geral[[#This Row],[Tipo Fluxo]]
)</f>
        <v>Entrada</v>
      </c>
      <c r="D4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4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470" t="str">
        <f ca="1">IF(
  $O$7="Desbloqueado",
  "PROD"&amp;TEXT(RANDBETWEEN(1,200),"000"),
  Tabela_Movimentacao_Geral[[#This Row],[ID Produto]]
)</f>
        <v>PROD197</v>
      </c>
      <c r="G470" t="str">
        <f ca="1">_xlfn.XLOOKUP(Tabela_Movimentacao_Geral[[#This Row],[ID Produto]], Tabela_Produtos[ID_Produto],Tabela_Produtos[Descricao_Produto],"Produto não encontrado")</f>
        <v>Soprador Térmico 1800W</v>
      </c>
      <c r="H470" cm="1">
        <f t="array" aca="1" ref="H470" ca="1">IF(
   $O$7="Desbloqueado",
   _xlfn.LET(
     _xlpm.saldo_atual, SUM(($C$2:$C469="Entrada")*($F$2:$F469=Tabela_Movimentacao_Geral[[#This Row],[ID Produto]])*($H$2:$H469) - ($C$2:$C469="Saida")*($F$2:$F469=Tabela_Movimentacao_Geral[[#This Row],[ID Produto]])*($H$2:$H469)),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470" s="5">
        <f ca="1">_xlfn.XLOOKUP(Tabela_Movimentacao_Geral[[#This Row],[ID Produto]], Tabela_Produtos[ID_Produto],Tabela_Produtos[Preco_Unitario_Venda])</f>
        <v>280</v>
      </c>
      <c r="J470" s="6">
        <f ca="1">Tabela_Movimentacao_Geral[[#This Row],[Quantidade]] * Tabela_Movimentacao_Geral[[#This Row],[Valor Unitário]]</f>
        <v>4760</v>
      </c>
      <c r="K470" t="str">
        <f ca="1">IF(
   $O$7="Desbloqueado",
   CHOOSE(RANDBETWEEN(1,3),"Pago","Pendente","Atrasado"),
   Tabela_Movimentacao_Geral[[#This Row],[Status Financeiro]]
)</f>
        <v>Pago</v>
      </c>
      <c r="L470" t="str">
        <f ca="1">IF(
   $O$7="Desbloqueado",
   CHOOSE(RANDBETWEEN(1,3),"Entregue","Em Rota","Aguardando"),
   Tabela_Movimentacao_Geral[[#This Row],[Status Logistico]]
)</f>
        <v>Aguardando</v>
      </c>
      <c r="M47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45892</v>
      </c>
    </row>
    <row r="471" spans="1:13" x14ac:dyDescent="0.3">
      <c r="A471" t="str">
        <f t="shared" ref="A471:A534" si="7">"T"&amp;TEXT(ROW(A471)-1,"0000")</f>
        <v>T0470</v>
      </c>
      <c r="B471" s="1">
        <v>45890</v>
      </c>
      <c r="C471" t="str" cm="1">
        <f t="array" aca="1" ref="C471" ca="1">IF($O$7="Desbloqueado",
  _xlfn.LET(
    _xlpm.saldo_atual, SUM(($C$2:$C470="Entrada")*($F$2:$F470=Tabela_Movimentacao_Geral[[#This Row],[ID Produto]])*($H$2:$H470) - ($C$2:$C470="Saida")*($F$2:$F470=Tabela_Movimentacao_Geral[[#This Row],[ID Produto]])*($H$2:$H470)),
    IF(_xlpm.saldo_atual &gt; 0, IF(RANDBETWEEN(0,10)&gt;3,"Saida","Entrada"), "Entrada")
  ),
  Tabela_Movimentacao_Geral[[#This Row],[Tipo Fluxo]]
)</f>
        <v>Entrada</v>
      </c>
      <c r="D4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4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471" t="str">
        <f ca="1">IF(
  $O$7="Desbloqueado",
  "PROD"&amp;TEXT(RANDBETWEEN(1,200),"000"),
  Tabela_Movimentacao_Geral[[#This Row],[ID Produto]]
)</f>
        <v>PROD095</v>
      </c>
      <c r="G471" t="str">
        <f ca="1">_xlfn.XLOOKUP(Tabela_Movimentacao_Geral[[#This Row],[ID Produto]], Tabela_Produtos[ID_Produto],Tabela_Produtos[Descricao_Produto],"Produto não encontrado")</f>
        <v>Controladora RAID PCIe</v>
      </c>
      <c r="H471" cm="1">
        <f t="array" aca="1" ref="H471" ca="1">IF(
   $O$7="Desbloqueado",
   _xlfn.LET(
     _xlpm.saldo_atual, SUM(($C$2:$C470="Entrada")*($F$2:$F470=Tabela_Movimentacao_Geral[[#This Row],[ID Produto]])*($H$2:$H470) - ($C$2:$C470="Saida")*($F$2:$F470=Tabela_Movimentacao_Geral[[#This Row],[ID Produto]])*($H$2:$H470)),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100</v>
      </c>
      <c r="I471" s="5">
        <f ca="1">_xlfn.XLOOKUP(Tabela_Movimentacao_Geral[[#This Row],[ID Produto]], Tabela_Produtos[ID_Produto],Tabela_Produtos[Preco_Unitario_Venda])</f>
        <v>2100</v>
      </c>
      <c r="J471" s="6">
        <f ca="1">Tabela_Movimentacao_Geral[[#This Row],[Quantidade]] * Tabela_Movimentacao_Geral[[#This Row],[Valor Unitário]]</f>
        <v>210000</v>
      </c>
      <c r="K471" t="str">
        <f ca="1">IF(
   $O$7="Desbloqueado",
   CHOOSE(RANDBETWEEN(1,3),"Pago","Pendente","Atrasado"),
   Tabela_Movimentacao_Geral[[#This Row],[Status Financeiro]]
)</f>
        <v>Pago</v>
      </c>
      <c r="L471" t="str">
        <f ca="1">IF(
   $O$7="Desbloqueado",
   CHOOSE(RANDBETWEEN(1,3),"Entregue","Em Rota","Aguardando"),
   Tabela_Movimentacao_Geral[[#This Row],[Status Logistico]]
)</f>
        <v>Entregue</v>
      </c>
      <c r="M4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45892</v>
      </c>
    </row>
    <row r="472" spans="1:13" x14ac:dyDescent="0.3">
      <c r="A472" t="str">
        <f t="shared" si="7"/>
        <v>T0471</v>
      </c>
      <c r="B472" s="1">
        <v>45890</v>
      </c>
      <c r="C472" t="str" cm="1">
        <f t="array" aca="1" ref="C472" ca="1">IF($O$7="Desbloqueado",
  _xlfn.LET(
    _xlpm.saldo_atual, SUM(($C$2:$C471="Entrada")*($F$2:$F471=Tabela_Movimentacao_Geral[[#This Row],[ID Produto]])*($H$2:$H471) - ($C$2:$C471="Saida")*($F$2:$F471=Tabela_Movimentacao_Geral[[#This Row],[ID Produto]])*($H$2:$H471)),
    IF(_xlpm.saldo_atual &gt; 0, IF(RANDBETWEEN(0,10)&gt;3,"Saida","Entrada"), "Entrada")
  ),
  Tabela_Movimentacao_Geral[[#This Row],[Tipo Fluxo]]
)</f>
        <v>Saida</v>
      </c>
      <c r="D4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4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472" t="str">
        <f ca="1">IF(
  $O$7="Desbloqueado",
  "PROD"&amp;TEXT(RANDBETWEEN(1,200),"000"),
  Tabela_Movimentacao_Geral[[#This Row],[ID Produto]]
)</f>
        <v>PROD098</v>
      </c>
      <c r="G472" t="str">
        <f ca="1">_xlfn.XLOOKUP(Tabela_Movimentacao_Geral[[#This Row],[ID Produto]], Tabela_Produtos[ID_Produto],Tabela_Produtos[Descricao_Produto],"Produto não encontrado")</f>
        <v>Gravador NVR 8 Canais</v>
      </c>
      <c r="H472" cm="1">
        <f t="array" aca="1" ref="H472" ca="1">IF(
   $O$7="Desbloqueado",
   _xlfn.LET(
     _xlpm.saldo_atual, SUM(($C$2:$C471="Entrada")*($F$2:$F471=Tabela_Movimentacao_Geral[[#This Row],[ID Produto]])*($H$2:$H471) - ($C$2:$C471="Saida")*($F$2:$F471=Tabela_Movimentacao_Geral[[#This Row],[ID Produto]])*($H$2:$H471)),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472" s="5">
        <f ca="1">_xlfn.XLOOKUP(Tabela_Movimentacao_Geral[[#This Row],[ID Produto]], Tabela_Produtos[ID_Produto],Tabela_Produtos[Preco_Unitario_Venda])</f>
        <v>1550</v>
      </c>
      <c r="J472" s="6">
        <f ca="1">Tabela_Movimentacao_Geral[[#This Row],[Quantidade]] * Tabela_Movimentacao_Geral[[#This Row],[Valor Unitário]]</f>
        <v>46500</v>
      </c>
      <c r="K472" t="str">
        <f ca="1">IF(
   $O$7="Desbloqueado",
   CHOOSE(RANDBETWEEN(1,3),"Pago","Pendente","Atrasado"),
   Tabela_Movimentacao_Geral[[#This Row],[Status Financeiro]]
)</f>
        <v>Atrasado</v>
      </c>
      <c r="L472" t="str">
        <f ca="1">IF(
   $O$7="Desbloqueado",
   CHOOSE(RANDBETWEEN(1,3),"Entregue","Em Rota","Aguardando"),
   Tabela_Movimentacao_Geral[[#This Row],[Status Logistico]]
)</f>
        <v>Em Rota</v>
      </c>
      <c r="M47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73" spans="1:13" x14ac:dyDescent="0.3">
      <c r="A473" t="str">
        <f t="shared" si="7"/>
        <v>T0472</v>
      </c>
      <c r="B473" s="1">
        <v>45890</v>
      </c>
      <c r="C473" t="str" cm="1">
        <f t="array" aca="1" ref="C473" ca="1">IF($O$7="Desbloqueado",
  _xlfn.LET(
    _xlpm.saldo_atual, SUM(($C$2:$C472="Entrada")*($F$2:$F472=Tabela_Movimentacao_Geral[[#This Row],[ID Produto]])*($H$2:$H472) - ($C$2:$C472="Saida")*($F$2:$F472=Tabela_Movimentacao_Geral[[#This Row],[ID Produto]])*($H$2:$H472)),
    IF(_xlpm.saldo_atual &gt; 0, IF(RANDBETWEEN(0,10)&gt;3,"Saida","Entrada"), "Entrada")
  ),
  Tabela_Movimentacao_Geral[[#This Row],[Tipo Fluxo]]
)</f>
        <v>Saida</v>
      </c>
      <c r="D4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73" t="str">
        <f ca="1">IF(
  $O$7="Desbloqueado",
  "PROD"&amp;TEXT(RANDBETWEEN(1,200),"000"),
  Tabela_Movimentacao_Geral[[#This Row],[ID Produto]]
)</f>
        <v>PROD014</v>
      </c>
      <c r="G473" t="str">
        <f ca="1">_xlfn.XLOOKUP(Tabela_Movimentacao_Geral[[#This Row],[ID Produto]], Tabela_Produtos[ID_Produto],Tabela_Produtos[Descricao_Produto],"Produto não encontrado")</f>
        <v>Roteador Wi-Fi 6</v>
      </c>
      <c r="H473" cm="1">
        <f t="array" aca="1" ref="H473" ca="1">IF(
   $O$7="Desbloqueado",
   _xlfn.LET(
     _xlpm.saldo_atual, SUM(($C$2:$C472="Entrada")*($F$2:$F472=Tabela_Movimentacao_Geral[[#This Row],[ID Produto]])*($H$2:$H472) - ($C$2:$C472="Saida")*($F$2:$F472=Tabela_Movimentacao_Geral[[#This Row],[ID Produto]])*($H$2:$H472)),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473" s="5">
        <f ca="1">_xlfn.XLOOKUP(Tabela_Movimentacao_Geral[[#This Row],[ID Produto]], Tabela_Produtos[ID_Produto],Tabela_Produtos[Preco_Unitario_Venda])</f>
        <v>650</v>
      </c>
      <c r="J473" s="6">
        <f ca="1">Tabela_Movimentacao_Geral[[#This Row],[Quantidade]] * Tabela_Movimentacao_Geral[[#This Row],[Valor Unitário]]</f>
        <v>19500</v>
      </c>
      <c r="K473" t="str">
        <f ca="1">IF(
   $O$7="Desbloqueado",
   CHOOSE(RANDBETWEEN(1,3),"Pago","Pendente","Atrasado"),
   Tabela_Movimentacao_Geral[[#This Row],[Status Financeiro]]
)</f>
        <v>Atrasado</v>
      </c>
      <c r="L473" t="str">
        <f ca="1">IF(
   $O$7="Desbloqueado",
   CHOOSE(RANDBETWEEN(1,3),"Entregue","Em Rota","Aguardando"),
   Tabela_Movimentacao_Geral[[#This Row],[Status Logistico]]
)</f>
        <v>Em Rota</v>
      </c>
      <c r="M47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74" spans="1:13" x14ac:dyDescent="0.3">
      <c r="A474" t="str">
        <f t="shared" si="7"/>
        <v>T0473</v>
      </c>
      <c r="B474" s="1">
        <v>45891</v>
      </c>
      <c r="C474" t="str" cm="1">
        <f t="array" aca="1" ref="C474" ca="1">IF($O$7="Desbloqueado",
  _xlfn.LET(
    _xlpm.saldo_atual, SUM(($C$2:$C473="Entrada")*($F$2:$F473=Tabela_Movimentacao_Geral[[#This Row],[ID Produto]])*($H$2:$H473) - ($C$2:$C473="Saida")*($F$2:$F473=Tabela_Movimentacao_Geral[[#This Row],[ID Produto]])*($H$2:$H473)),
    IF(_xlpm.saldo_atual &gt; 0, IF(RANDBETWEEN(0,10)&gt;3,"Saida","Entrada"), "Entrada")
  ),
  Tabela_Movimentacao_Geral[[#This Row],[Tipo Fluxo]]
)</f>
        <v>Entrada</v>
      </c>
      <c r="D4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4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474" t="str">
        <f ca="1">IF(
  $O$7="Desbloqueado",
  "PROD"&amp;TEXT(RANDBETWEEN(1,200),"000"),
  Tabela_Movimentacao_Geral[[#This Row],[ID Produto]]
)</f>
        <v>PROD171</v>
      </c>
      <c r="G474" t="str">
        <f ca="1">_xlfn.XLOOKUP(Tabela_Movimentacao_Geral[[#This Row],[ID Produto]], Tabela_Produtos[ID_Produto],Tabela_Produtos[Descricao_Produto],"Produto não encontrado")</f>
        <v>Calculadora de Mesa 12 Dig</v>
      </c>
      <c r="H474" cm="1">
        <f t="array" aca="1" ref="H474" ca="1">IF(
   $O$7="Desbloqueado",
   _xlfn.LET(
     _xlpm.saldo_atual, SUM(($C$2:$C473="Entrada")*($F$2:$F473=Tabela_Movimentacao_Geral[[#This Row],[ID Produto]])*($H$2:$H473) - ($C$2:$C473="Saida")*($F$2:$F473=Tabela_Movimentacao_Geral[[#This Row],[ID Produto]])*($H$2:$H473)),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474" s="5">
        <f ca="1">_xlfn.XLOOKUP(Tabela_Movimentacao_Geral[[#This Row],[ID Produto]], Tabela_Produtos[ID_Produto],Tabela_Produtos[Preco_Unitario_Venda])</f>
        <v>65</v>
      </c>
      <c r="J474" s="6">
        <f ca="1">Tabela_Movimentacao_Geral[[#This Row],[Quantidade]] * Tabela_Movimentacao_Geral[[#This Row],[Valor Unitário]]</f>
        <v>2730</v>
      </c>
      <c r="K474" t="str">
        <f ca="1">IF(
   $O$7="Desbloqueado",
   CHOOSE(RANDBETWEEN(1,3),"Pago","Pendente","Atrasado"),
   Tabela_Movimentacao_Geral[[#This Row],[Status Financeiro]]
)</f>
        <v>Pago</v>
      </c>
      <c r="L474" t="str">
        <f ca="1">IF(
   $O$7="Desbloqueado",
   CHOOSE(RANDBETWEEN(1,3),"Entregue","Em Rota","Aguardando"),
   Tabela_Movimentacao_Geral[[#This Row],[Status Logistico]]
)</f>
        <v>Em Rota</v>
      </c>
      <c r="M47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45893</v>
      </c>
    </row>
    <row r="475" spans="1:13" x14ac:dyDescent="0.3">
      <c r="A475" t="str">
        <f t="shared" si="7"/>
        <v>T0474</v>
      </c>
      <c r="B475" s="1">
        <v>45892</v>
      </c>
      <c r="C475" t="str" cm="1">
        <f t="array" aca="1" ref="C475" ca="1">IF($O$7="Desbloqueado",
  _xlfn.LET(
    _xlpm.saldo_atual, SUM(($C$2:$C474="Entrada")*($F$2:$F474=Tabela_Movimentacao_Geral[[#This Row],[ID Produto]])*($H$2:$H474) - ($C$2:$C474="Saida")*($F$2:$F474=Tabela_Movimentacao_Geral[[#This Row],[ID Produto]])*($H$2:$H474)),
    IF(_xlpm.saldo_atual &gt; 0, IF(RANDBETWEEN(0,10)&gt;3,"Saida","Entrada"), "Entrada")
  ),
  Tabela_Movimentacao_Geral[[#This Row],[Tipo Fluxo]]
)</f>
        <v>Saida</v>
      </c>
      <c r="D4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75" t="str">
        <f ca="1">IF(
  $O$7="Desbloqueado",
  "PROD"&amp;TEXT(RANDBETWEEN(1,200),"000"),
  Tabela_Movimentacao_Geral[[#This Row],[ID Produto]]
)</f>
        <v>PROD009</v>
      </c>
      <c r="G475" t="str">
        <f ca="1">_xlfn.XLOOKUP(Tabela_Movimentacao_Geral[[#This Row],[ID Produto]], Tabela_Produtos[ID_Produto],Tabela_Produtos[Descricao_Produto],"Produto não encontrado")</f>
        <v>Cabo HDMI 2.0 2m</v>
      </c>
      <c r="H475" cm="1">
        <f t="array" aca="1" ref="H475" ca="1">IF(
   $O$7="Desbloqueado",
   _xlfn.LET(
     _xlpm.saldo_atual, SUM(($C$2:$C474="Entrada")*($F$2:$F474=Tabela_Movimentacao_Geral[[#This Row],[ID Produto]])*($H$2:$H474) - ($C$2:$C474="Saida")*($F$2:$F474=Tabela_Movimentacao_Geral[[#This Row],[ID Produto]])*($H$2:$H474)),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475" s="5">
        <f ca="1">_xlfn.XLOOKUP(Tabela_Movimentacao_Geral[[#This Row],[ID Produto]], Tabela_Produtos[ID_Produto],Tabela_Produtos[Preco_Unitario_Venda])</f>
        <v>45</v>
      </c>
      <c r="J475" s="6">
        <f ca="1">Tabela_Movimentacao_Geral[[#This Row],[Quantidade]] * Tabela_Movimentacao_Geral[[#This Row],[Valor Unitário]]</f>
        <v>2745</v>
      </c>
      <c r="K475" t="str">
        <f ca="1">IF(
   $O$7="Desbloqueado",
   CHOOSE(RANDBETWEEN(1,3),"Pago","Pendente","Atrasado"),
   Tabela_Movimentacao_Geral[[#This Row],[Status Financeiro]]
)</f>
        <v>Pendente</v>
      </c>
      <c r="L475" t="str">
        <f ca="1">IF(
   $O$7="Desbloqueado",
   CHOOSE(RANDBETWEEN(1,3),"Entregue","Em Rota","Aguardando"),
   Tabela_Movimentacao_Geral[[#This Row],[Status Logistico]]
)</f>
        <v>Aguardando</v>
      </c>
      <c r="M47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76" spans="1:13" x14ac:dyDescent="0.3">
      <c r="A476" t="str">
        <f t="shared" si="7"/>
        <v>T0475</v>
      </c>
      <c r="B476" s="1">
        <v>45892</v>
      </c>
      <c r="C476" t="str" cm="1">
        <f t="array" aca="1" ref="C476" ca="1">IF($O$7="Desbloqueado",
  _xlfn.LET(
    _xlpm.saldo_atual, SUM(($C$2:$C475="Entrada")*($F$2:$F475=Tabela_Movimentacao_Geral[[#This Row],[ID Produto]])*($H$2:$H475) - ($C$2:$C475="Saida")*($F$2:$F475=Tabela_Movimentacao_Geral[[#This Row],[ID Produto]])*($H$2:$H475)),
    IF(_xlpm.saldo_atual &gt; 0, IF(RANDBETWEEN(0,10)&gt;3,"Saida","Entrada"), "Entrada")
  ),
  Tabela_Movimentacao_Geral[[#This Row],[Tipo Fluxo]]
)</f>
        <v>Entrada</v>
      </c>
      <c r="D4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4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476" t="str">
        <f ca="1">IF(
  $O$7="Desbloqueado",
  "PROD"&amp;TEXT(RANDBETWEEN(1,200),"000"),
  Tabela_Movimentacao_Geral[[#This Row],[ID Produto]]
)</f>
        <v>PROD075</v>
      </c>
      <c r="G476" t="str">
        <f ca="1">_xlfn.XLOOKUP(Tabela_Movimentacao_Geral[[#This Row],[ID Produto]], Tabela_Produtos[ID_Produto],Tabela_Produtos[Descricao_Produto],"Produto não encontrado")</f>
        <v>Suporte de Pasta Acrilico</v>
      </c>
      <c r="H476" cm="1">
        <f t="array" aca="1" ref="H476" ca="1">IF(
   $O$7="Desbloqueado",
   _xlfn.LET(
     _xlpm.saldo_atual, SUM(($C$2:$C475="Entrada")*($F$2:$F475=Tabela_Movimentacao_Geral[[#This Row],[ID Produto]])*($H$2:$H475) - ($C$2:$C475="Saida")*($F$2:$F475=Tabela_Movimentacao_Geral[[#This Row],[ID Produto]])*($H$2:$H475)),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476" s="5">
        <f ca="1">_xlfn.XLOOKUP(Tabela_Movimentacao_Geral[[#This Row],[ID Produto]], Tabela_Produtos[ID_Produto],Tabela_Produtos[Preco_Unitario_Venda])</f>
        <v>38</v>
      </c>
      <c r="J476" s="6">
        <f ca="1">Tabela_Movimentacao_Geral[[#This Row],[Quantidade]] * Tabela_Movimentacao_Geral[[#This Row],[Valor Unitário]]</f>
        <v>874</v>
      </c>
      <c r="K476" t="str">
        <f ca="1">IF(
   $O$7="Desbloqueado",
   CHOOSE(RANDBETWEEN(1,3),"Pago","Pendente","Atrasado"),
   Tabela_Movimentacao_Geral[[#This Row],[Status Financeiro]]
)</f>
        <v>Pago</v>
      </c>
      <c r="L476" t="str">
        <f ca="1">IF(
   $O$7="Desbloqueado",
   CHOOSE(RANDBETWEEN(1,3),"Entregue","Em Rota","Aguardando"),
   Tabela_Movimentacao_Geral[[#This Row],[Status Logistico]]
)</f>
        <v>Em Rota</v>
      </c>
      <c r="M47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45893</v>
      </c>
    </row>
    <row r="477" spans="1:13" x14ac:dyDescent="0.3">
      <c r="A477" t="str">
        <f t="shared" si="7"/>
        <v>T0476</v>
      </c>
      <c r="B477" s="1">
        <v>45892</v>
      </c>
      <c r="C477" t="str" cm="1">
        <f t="array" aca="1" ref="C477" ca="1">IF($O$7="Desbloqueado",
  _xlfn.LET(
    _xlpm.saldo_atual, SUM(($C$2:$C476="Entrada")*($F$2:$F476=Tabela_Movimentacao_Geral[[#This Row],[ID Produto]])*($H$2:$H476) - ($C$2:$C476="Saida")*($F$2:$F476=Tabela_Movimentacao_Geral[[#This Row],[ID Produto]])*($H$2:$H476)),
    IF(_xlpm.saldo_atual &gt; 0, IF(RANDBETWEEN(0,10)&gt;3,"Saida","Entrada"), "Entrada")
  ),
  Tabela_Movimentacao_Geral[[#This Row],[Tipo Fluxo]]
)</f>
        <v>Entrada</v>
      </c>
      <c r="D4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4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477" t="str">
        <f ca="1">IF(
  $O$7="Desbloqueado",
  "PROD"&amp;TEXT(RANDBETWEEN(1,200),"000"),
  Tabela_Movimentacao_Geral[[#This Row],[ID Produto]]
)</f>
        <v>PROD163</v>
      </c>
      <c r="G477" t="str">
        <f ca="1">_xlfn.XLOOKUP(Tabela_Movimentacao_Geral[[#This Row],[ID Produto]], Tabela_Produtos[ID_Produto],Tabela_Produtos[Descricao_Produto],"Produto não encontrado")</f>
        <v>Porta Recados Aramado</v>
      </c>
      <c r="H477" cm="1">
        <f t="array" aca="1" ref="H477" ca="1">IF(
   $O$7="Desbloqueado",
   _xlfn.LET(
     _xlpm.saldo_atual, SUM(($C$2:$C476="Entrada")*($F$2:$F476=Tabela_Movimentacao_Geral[[#This Row],[ID Produto]])*($H$2:$H476) - ($C$2:$C476="Saida")*($F$2:$F476=Tabela_Movimentacao_Geral[[#This Row],[ID Produto]])*($H$2:$H476)),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94</v>
      </c>
      <c r="I477" s="5">
        <f ca="1">_xlfn.XLOOKUP(Tabela_Movimentacao_Geral[[#This Row],[ID Produto]], Tabela_Produtos[ID_Produto],Tabela_Produtos[Preco_Unitario_Venda])</f>
        <v>18</v>
      </c>
      <c r="J477" s="6">
        <f ca="1">Tabela_Movimentacao_Geral[[#This Row],[Quantidade]] * Tabela_Movimentacao_Geral[[#This Row],[Valor Unitário]]</f>
        <v>1692</v>
      </c>
      <c r="K477" t="str">
        <f ca="1">IF(
   $O$7="Desbloqueado",
   CHOOSE(RANDBETWEEN(1,3),"Pago","Pendente","Atrasado"),
   Tabela_Movimentacao_Geral[[#This Row],[Status Financeiro]]
)</f>
        <v>Atrasado</v>
      </c>
      <c r="L477" t="str">
        <f ca="1">IF(
   $O$7="Desbloqueado",
   CHOOSE(RANDBETWEEN(1,3),"Entregue","Em Rota","Aguardando"),
   Tabela_Movimentacao_Geral[[#This Row],[Status Logistico]]
)</f>
        <v>Em Rota</v>
      </c>
      <c r="M47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45900</v>
      </c>
    </row>
    <row r="478" spans="1:13" x14ac:dyDescent="0.3">
      <c r="A478" t="str">
        <f t="shared" si="7"/>
        <v>T0477</v>
      </c>
      <c r="B478" s="1">
        <v>45894</v>
      </c>
      <c r="C478" t="str" cm="1">
        <f t="array" aca="1" ref="C478" ca="1">IF($O$7="Desbloqueado",
  _xlfn.LET(
    _xlpm.saldo_atual, SUM(($C$2:$C477="Entrada")*($F$2:$F477=Tabela_Movimentacao_Geral[[#This Row],[ID Produto]])*($H$2:$H477) - ($C$2:$C477="Saida")*($F$2:$F477=Tabela_Movimentacao_Geral[[#This Row],[ID Produto]])*($H$2:$H477)),
    IF(_xlpm.saldo_atual &gt; 0, IF(RANDBETWEEN(0,10)&gt;3,"Saida","Entrada"), "Entrada")
  ),
  Tabela_Movimentacao_Geral[[#This Row],[Tipo Fluxo]]
)</f>
        <v>Saida</v>
      </c>
      <c r="D4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4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478" t="str">
        <f ca="1">IF(
  $O$7="Desbloqueado",
  "PROD"&amp;TEXT(RANDBETWEEN(1,200),"000"),
  Tabela_Movimentacao_Geral[[#This Row],[ID Produto]]
)</f>
        <v>PROD041</v>
      </c>
      <c r="G478" t="str">
        <f ca="1">_xlfn.XLOOKUP(Tabela_Movimentacao_Geral[[#This Row],[ID Produto]], Tabela_Produtos[ID_Produto],Tabela_Produtos[Descricao_Produto],"Produto não encontrado")</f>
        <v>Cartao de Memoria 128GB</v>
      </c>
      <c r="H478" cm="1">
        <f t="array" aca="1" ref="H478" ca="1">IF(
   $O$7="Desbloqueado",
   _xlfn.LET(
     _xlpm.saldo_atual, SUM(($C$2:$C477="Entrada")*($F$2:$F477=Tabela_Movimentacao_Geral[[#This Row],[ID Produto]])*($H$2:$H477) - ($C$2:$C477="Saida")*($F$2:$F477=Tabela_Movimentacao_Geral[[#This Row],[ID Produto]])*($H$2:$H477)),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46</v>
      </c>
      <c r="I478" s="5">
        <f ca="1">_xlfn.XLOOKUP(Tabela_Movimentacao_Geral[[#This Row],[ID Produto]], Tabela_Produtos[ID_Produto],Tabela_Produtos[Preco_Unitario_Venda])</f>
        <v>140</v>
      </c>
      <c r="J478" s="6">
        <f ca="1">Tabela_Movimentacao_Geral[[#This Row],[Quantidade]] * Tabela_Movimentacao_Geral[[#This Row],[Valor Unitário]]</f>
        <v>6440</v>
      </c>
      <c r="K478" t="str">
        <f ca="1">IF(
   $O$7="Desbloqueado",
   CHOOSE(RANDBETWEEN(1,3),"Pago","Pendente","Atrasado"),
   Tabela_Movimentacao_Geral[[#This Row],[Status Financeiro]]
)</f>
        <v>Pendente</v>
      </c>
      <c r="L478" t="str">
        <f ca="1">IF(
   $O$7="Desbloqueado",
   CHOOSE(RANDBETWEEN(1,3),"Entregue","Em Rota","Aguardando"),
   Tabela_Movimentacao_Geral[[#This Row],[Status Logistico]]
)</f>
        <v>Aguardando</v>
      </c>
      <c r="M47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79" spans="1:13" x14ac:dyDescent="0.3">
      <c r="A479" t="str">
        <f t="shared" si="7"/>
        <v>T0478</v>
      </c>
      <c r="B479" s="1">
        <v>45894</v>
      </c>
      <c r="C479" t="str" cm="1">
        <f t="array" aca="1" ref="C479" ca="1">IF($O$7="Desbloqueado",
  _xlfn.LET(
    _xlpm.saldo_atual, SUM(($C$2:$C478="Entrada")*($F$2:$F478=Tabela_Movimentacao_Geral[[#This Row],[ID Produto]])*($H$2:$H478) - ($C$2:$C478="Saida")*($F$2:$F478=Tabela_Movimentacao_Geral[[#This Row],[ID Produto]])*($H$2:$H478)),
    IF(_xlpm.saldo_atual &gt; 0, IF(RANDBETWEEN(0,10)&gt;3,"Saida","Entrada"), "Entrada")
  ),
  Tabela_Movimentacao_Geral[[#This Row],[Tipo Fluxo]]
)</f>
        <v>Entrada</v>
      </c>
      <c r="D4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4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479" t="str">
        <f ca="1">IF(
  $O$7="Desbloqueado",
  "PROD"&amp;TEXT(RANDBETWEEN(1,200),"000"),
  Tabela_Movimentacao_Geral[[#This Row],[ID Produto]]
)</f>
        <v>PROD016</v>
      </c>
      <c r="G479" t="str">
        <f ca="1">_xlfn.XLOOKUP(Tabela_Movimentacao_Geral[[#This Row],[ID Produto]], Tabela_Produtos[ID_Produto],Tabela_Produtos[Descricao_Produto],"Produto não encontrado")</f>
        <v>Filtro de Linha 6 Tomadas</v>
      </c>
      <c r="H479" cm="1">
        <f t="array" aca="1" ref="H479" ca="1">IF(
   $O$7="Desbloqueado",
   _xlfn.LET(
     _xlpm.saldo_atual, SUM(($C$2:$C478="Entrada")*($F$2:$F478=Tabela_Movimentacao_Geral[[#This Row],[ID Produto]])*($H$2:$H478) - ($C$2:$C478="Saida")*($F$2:$F478=Tabela_Movimentacao_Geral[[#This Row],[ID Produto]])*($H$2:$H478)),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479" s="5">
        <f ca="1">_xlfn.XLOOKUP(Tabela_Movimentacao_Geral[[#This Row],[ID Produto]], Tabela_Produtos[ID_Produto],Tabela_Produtos[Preco_Unitario_Venda])</f>
        <v>55</v>
      </c>
      <c r="J479" s="6">
        <f ca="1">Tabela_Movimentacao_Geral[[#This Row],[Quantidade]] * Tabela_Movimentacao_Geral[[#This Row],[Valor Unitário]]</f>
        <v>935</v>
      </c>
      <c r="K479" t="str">
        <f ca="1">IF(
   $O$7="Desbloqueado",
   CHOOSE(RANDBETWEEN(1,3),"Pago","Pendente","Atrasado"),
   Tabela_Movimentacao_Geral[[#This Row],[Status Financeiro]]
)</f>
        <v>Pago</v>
      </c>
      <c r="L479" t="str">
        <f ca="1">IF(
   $O$7="Desbloqueado",
   CHOOSE(RANDBETWEEN(1,3),"Entregue","Em Rota","Aguardando"),
   Tabela_Movimentacao_Geral[[#This Row],[Status Logistico]]
)</f>
        <v>Aguardando</v>
      </c>
      <c r="M47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45895</v>
      </c>
    </row>
    <row r="480" spans="1:13" x14ac:dyDescent="0.3">
      <c r="A480" t="str">
        <f t="shared" si="7"/>
        <v>T0479</v>
      </c>
      <c r="B480" s="1">
        <v>45894</v>
      </c>
      <c r="C480" t="str" cm="1">
        <f t="array" aca="1" ref="C480" ca="1">IF($O$7="Desbloqueado",
  _xlfn.LET(
    _xlpm.saldo_atual, SUM(($C$2:$C479="Entrada")*($F$2:$F479=Tabela_Movimentacao_Geral[[#This Row],[ID Produto]])*($H$2:$H479) - ($C$2:$C479="Saida")*($F$2:$F479=Tabela_Movimentacao_Geral[[#This Row],[ID Produto]])*($H$2:$H479)),
    IF(_xlpm.saldo_atual &gt; 0, IF(RANDBETWEEN(0,10)&gt;3,"Saida","Entrada"), "Entrada")
  ),
  Tabela_Movimentacao_Geral[[#This Row],[Tipo Fluxo]]
)</f>
        <v>Entrada</v>
      </c>
      <c r="D4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4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480" t="str">
        <f ca="1">IF(
  $O$7="Desbloqueado",
  "PROD"&amp;TEXT(RANDBETWEEN(1,200),"000"),
  Tabela_Movimentacao_Geral[[#This Row],[ID Produto]]
)</f>
        <v>PROD177</v>
      </c>
      <c r="G480" t="str">
        <f ca="1">_xlfn.XLOOKUP(Tabela_Movimentacao_Geral[[#This Row],[ID Produto]], Tabela_Produtos[ID_Produto],Tabela_Produtos[Descricao_Produto],"Produto não encontrado")</f>
        <v>Estante de Aco 6 Prateiras</v>
      </c>
      <c r="H480" cm="1">
        <f t="array" aca="1" ref="H480" ca="1">IF(
   $O$7="Desbloqueado",
   _xlfn.LET(
     _xlpm.saldo_atual, SUM(($C$2:$C479="Entrada")*($F$2:$F479=Tabela_Movimentacao_Geral[[#This Row],[ID Produto]])*($H$2:$H479) - ($C$2:$C479="Saida")*($F$2:$F479=Tabela_Movimentacao_Geral[[#This Row],[ID Produto]])*($H$2:$H479)),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480" s="5">
        <f ca="1">_xlfn.XLOOKUP(Tabela_Movimentacao_Geral[[#This Row],[ID Produto]], Tabela_Produtos[ID_Produto],Tabela_Produtos[Preco_Unitario_Venda])</f>
        <v>280</v>
      </c>
      <c r="J480" s="6">
        <f ca="1">Tabela_Movimentacao_Geral[[#This Row],[Quantidade]] * Tabela_Movimentacao_Geral[[#This Row],[Valor Unitário]]</f>
        <v>5600</v>
      </c>
      <c r="K480" t="str">
        <f ca="1">IF(
   $O$7="Desbloqueado",
   CHOOSE(RANDBETWEEN(1,3),"Pago","Pendente","Atrasado"),
   Tabela_Movimentacao_Geral[[#This Row],[Status Financeiro]]
)</f>
        <v>Atrasado</v>
      </c>
      <c r="L480" t="str">
        <f ca="1">IF(
   $O$7="Desbloqueado",
   CHOOSE(RANDBETWEEN(1,3),"Entregue","Em Rota","Aguardando"),
   Tabela_Movimentacao_Geral[[#This Row],[Status Logistico]]
)</f>
        <v>Entregue</v>
      </c>
      <c r="M4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45897</v>
      </c>
    </row>
    <row r="481" spans="1:13" x14ac:dyDescent="0.3">
      <c r="A481" t="str">
        <f t="shared" si="7"/>
        <v>T0480</v>
      </c>
      <c r="B481" s="1">
        <v>45894</v>
      </c>
      <c r="C481" t="str" cm="1">
        <f t="array" aca="1" ref="C481" ca="1">IF($O$7="Desbloqueado",
  _xlfn.LET(
    _xlpm.saldo_atual, SUM(($C$2:$C480="Entrada")*($F$2:$F480=Tabela_Movimentacao_Geral[[#This Row],[ID Produto]])*($H$2:$H480) - ($C$2:$C480="Saida")*($F$2:$F480=Tabela_Movimentacao_Geral[[#This Row],[ID Produto]])*($H$2:$H480)),
    IF(_xlpm.saldo_atual &gt; 0, IF(RANDBETWEEN(0,10)&gt;3,"Saida","Entrada"), "Entrada")
  ),
  Tabela_Movimentacao_Geral[[#This Row],[Tipo Fluxo]]
)</f>
        <v>Entrada</v>
      </c>
      <c r="D4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4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481" t="str">
        <f ca="1">IF(
  $O$7="Desbloqueado",
  "PROD"&amp;TEXT(RANDBETWEEN(1,200),"000"),
  Tabela_Movimentacao_Geral[[#This Row],[ID Produto]]
)</f>
        <v>PROD015</v>
      </c>
      <c r="G481" t="str">
        <f ca="1">_xlfn.XLOOKUP(Tabela_Movimentacao_Geral[[#This Row],[ID Produto]], Tabela_Produtos[ID_Produto],Tabela_Produtos[Descricao_Produto],"Produto não encontrado")</f>
        <v>Switch 24 Portas Giga</v>
      </c>
      <c r="H481" cm="1">
        <f t="array" aca="1" ref="H481" ca="1">IF(
   $O$7="Desbloqueado",
   _xlfn.LET(
     _xlpm.saldo_atual, SUM(($C$2:$C480="Entrada")*($F$2:$F480=Tabela_Movimentacao_Geral[[#This Row],[ID Produto]])*($H$2:$H480) - ($C$2:$C480="Saida")*($F$2:$F480=Tabela_Movimentacao_Geral[[#This Row],[ID Produto]])*($H$2:$H480)),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481" s="5">
        <f ca="1">_xlfn.XLOOKUP(Tabela_Movimentacao_Geral[[#This Row],[ID Produto]], Tabela_Produtos[ID_Produto],Tabela_Produtos[Preco_Unitario_Venda])</f>
        <v>1200</v>
      </c>
      <c r="J481" s="6">
        <f ca="1">Tabela_Movimentacao_Geral[[#This Row],[Quantidade]] * Tabela_Movimentacao_Geral[[#This Row],[Valor Unitário]]</f>
        <v>79200</v>
      </c>
      <c r="K481" t="str">
        <f ca="1">IF(
   $O$7="Desbloqueado",
   CHOOSE(RANDBETWEEN(1,3),"Pago","Pendente","Atrasado"),
   Tabela_Movimentacao_Geral[[#This Row],[Status Financeiro]]
)</f>
        <v>Pago</v>
      </c>
      <c r="L481" t="str">
        <f ca="1">IF(
   $O$7="Desbloqueado",
   CHOOSE(RANDBETWEEN(1,3),"Entregue","Em Rota","Aguardando"),
   Tabela_Movimentacao_Geral[[#This Row],[Status Logistico]]
)</f>
        <v>Aguardando</v>
      </c>
      <c r="M48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45895</v>
      </c>
    </row>
    <row r="482" spans="1:13" x14ac:dyDescent="0.3">
      <c r="A482" t="str">
        <f t="shared" si="7"/>
        <v>T0481</v>
      </c>
      <c r="B482" s="1">
        <v>45895</v>
      </c>
      <c r="C482" t="str" cm="1">
        <f t="array" aca="1" ref="C482" ca="1">IF($O$7="Desbloqueado",
  _xlfn.LET(
    _xlpm.saldo_atual, SUM(($C$2:$C481="Entrada")*($F$2:$F481=Tabela_Movimentacao_Geral[[#This Row],[ID Produto]])*($H$2:$H481) - ($C$2:$C481="Saida")*($F$2:$F481=Tabela_Movimentacao_Geral[[#This Row],[ID Produto]])*($H$2:$H481)),
    IF(_xlpm.saldo_atual &gt; 0, IF(RANDBETWEEN(0,10)&gt;3,"Saida","Entrada"), "Entrada")
  ),
  Tabela_Movimentacao_Geral[[#This Row],[Tipo Fluxo]]
)</f>
        <v>Saida</v>
      </c>
      <c r="D4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4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482" t="str">
        <f ca="1">IF(
  $O$7="Desbloqueado",
  "PROD"&amp;TEXT(RANDBETWEEN(1,200),"000"),
  Tabela_Movimentacao_Geral[[#This Row],[ID Produto]]
)</f>
        <v>PROD055</v>
      </c>
      <c r="G482" t="str">
        <f ca="1">_xlfn.XLOOKUP(Tabela_Movimentacao_Geral[[#This Row],[ID Produto]], Tabela_Produtos[ID_Produto],Tabela_Produtos[Descricao_Produto],"Produto não encontrado")</f>
        <v>Pasta Suspensa Kraft 10un</v>
      </c>
      <c r="H482" cm="1">
        <f t="array" aca="1" ref="H482" ca="1">IF(
   $O$7="Desbloqueado",
   _xlfn.LET(
     _xlpm.saldo_atual, SUM(($C$2:$C481="Entrada")*($F$2:$F481=Tabela_Movimentacao_Geral[[#This Row],[ID Produto]])*($H$2:$H481) - ($C$2:$C481="Saida")*($F$2:$F481=Tabela_Movimentacao_Geral[[#This Row],[ID Produto]])*($H$2:$H481)),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482" s="5">
        <f ca="1">_xlfn.XLOOKUP(Tabela_Movimentacao_Geral[[#This Row],[ID Produto]], Tabela_Produtos[ID_Produto],Tabela_Produtos[Preco_Unitario_Venda])</f>
        <v>42</v>
      </c>
      <c r="J482" s="6">
        <f ca="1">Tabela_Movimentacao_Geral[[#This Row],[Quantidade]] * Tabela_Movimentacao_Geral[[#This Row],[Valor Unitário]]</f>
        <v>1134</v>
      </c>
      <c r="K482" t="str">
        <f ca="1">IF(
   $O$7="Desbloqueado",
   CHOOSE(RANDBETWEEN(1,3),"Pago","Pendente","Atrasado"),
   Tabela_Movimentacao_Geral[[#This Row],[Status Financeiro]]
)</f>
        <v>Atrasado</v>
      </c>
      <c r="L482" t="str">
        <f ca="1">IF(
   $O$7="Desbloqueado",
   CHOOSE(RANDBETWEEN(1,3),"Entregue","Em Rota","Aguardando"),
   Tabela_Movimentacao_Geral[[#This Row],[Status Logistico]]
)</f>
        <v>Aguardando</v>
      </c>
      <c r="M48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83" spans="1:13" x14ac:dyDescent="0.3">
      <c r="A483" t="str">
        <f t="shared" si="7"/>
        <v>T0482</v>
      </c>
      <c r="B483" s="1">
        <v>45895</v>
      </c>
      <c r="C483" t="str" cm="1">
        <f t="array" aca="1" ref="C483" ca="1">IF($O$7="Desbloqueado",
  _xlfn.LET(
    _xlpm.saldo_atual, SUM(($C$2:$C482="Entrada")*($F$2:$F482=Tabela_Movimentacao_Geral[[#This Row],[ID Produto]])*($H$2:$H482) - ($C$2:$C482="Saida")*($F$2:$F482=Tabela_Movimentacao_Geral[[#This Row],[ID Produto]])*($H$2:$H482)),
    IF(_xlpm.saldo_atual &gt; 0, IF(RANDBETWEEN(0,10)&gt;3,"Saida","Entrada"), "Entrada")
  ),
  Tabela_Movimentacao_Geral[[#This Row],[Tipo Fluxo]]
)</f>
        <v>Saida</v>
      </c>
      <c r="D4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4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483" t="str">
        <f ca="1">IF(
  $O$7="Desbloqueado",
  "PROD"&amp;TEXT(RANDBETWEEN(1,200),"000"),
  Tabela_Movimentacao_Geral[[#This Row],[ID Produto]]
)</f>
        <v>PROD146</v>
      </c>
      <c r="G483" t="str">
        <f ca="1">_xlfn.XLOOKUP(Tabela_Movimentacao_Geral[[#This Row],[ID Produto]], Tabela_Produtos[ID_Produto],Tabela_Produtos[Descricao_Produto],"Produto não encontrado")</f>
        <v>Alicate de Crimpagem RJ45</v>
      </c>
      <c r="H483" cm="1">
        <f t="array" aca="1" ref="H483" ca="1">IF(
   $O$7="Desbloqueado",
   _xlfn.LET(
     _xlpm.saldo_atual, SUM(($C$2:$C482="Entrada")*($F$2:$F482=Tabela_Movimentacao_Geral[[#This Row],[ID Produto]])*($H$2:$H482) - ($C$2:$C482="Saida")*($F$2:$F482=Tabela_Movimentacao_Geral[[#This Row],[ID Produto]])*($H$2:$H482)),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483" s="5">
        <f ca="1">_xlfn.XLOOKUP(Tabela_Movimentacao_Geral[[#This Row],[ID Produto]], Tabela_Produtos[ID_Produto],Tabela_Produtos[Preco_Unitario_Venda])</f>
        <v>85</v>
      </c>
      <c r="J483" s="6">
        <f ca="1">Tabela_Movimentacao_Geral[[#This Row],[Quantidade]] * Tabela_Movimentacao_Geral[[#This Row],[Valor Unitário]]</f>
        <v>510</v>
      </c>
      <c r="K483" t="str">
        <f ca="1">IF(
   $O$7="Desbloqueado",
   CHOOSE(RANDBETWEEN(1,3),"Pago","Pendente","Atrasado"),
   Tabela_Movimentacao_Geral[[#This Row],[Status Financeiro]]
)</f>
        <v>Pago</v>
      </c>
      <c r="L483" t="str">
        <f ca="1">IF(
   $O$7="Desbloqueado",
   CHOOSE(RANDBETWEEN(1,3),"Entregue","Em Rota","Aguardando"),
   Tabela_Movimentacao_Geral[[#This Row],[Status Logistico]]
)</f>
        <v>Aguardando</v>
      </c>
      <c r="M48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84" spans="1:13" x14ac:dyDescent="0.3">
      <c r="A484" t="str">
        <f t="shared" si="7"/>
        <v>T0483</v>
      </c>
      <c r="B484" s="1">
        <v>45895</v>
      </c>
      <c r="C484" t="str" cm="1">
        <f t="array" aca="1" ref="C484" ca="1">IF($O$7="Desbloqueado",
  _xlfn.LET(
    _xlpm.saldo_atual, SUM(($C$2:$C483="Entrada")*($F$2:$F483=Tabela_Movimentacao_Geral[[#This Row],[ID Produto]])*($H$2:$H483) - ($C$2:$C483="Saida")*($F$2:$F483=Tabela_Movimentacao_Geral[[#This Row],[ID Produto]])*($H$2:$H483)),
    IF(_xlpm.saldo_atual &gt; 0, IF(RANDBETWEEN(0,10)&gt;3,"Saida","Entrada"), "Entrada")
  ),
  Tabela_Movimentacao_Geral[[#This Row],[Tipo Fluxo]]
)</f>
        <v>Saida</v>
      </c>
      <c r="D4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4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484" t="str">
        <f ca="1">IF(
  $O$7="Desbloqueado",
  "PROD"&amp;TEXT(RANDBETWEEN(1,200),"000"),
  Tabela_Movimentacao_Geral[[#This Row],[ID Produto]]
)</f>
        <v>PROD068</v>
      </c>
      <c r="G484" t="str">
        <f ca="1">_xlfn.XLOOKUP(Tabela_Movimentacao_Geral[[#This Row],[ID Produto]], Tabela_Produtos[ID_Produto],Tabela_Produtos[Descricao_Produto],"Produto não encontrado")</f>
        <v>Quadro Branco 90x60</v>
      </c>
      <c r="H484" cm="1">
        <f t="array" aca="1" ref="H484" ca="1">IF(
   $O$7="Desbloqueado",
   _xlfn.LET(
     _xlpm.saldo_atual, SUM(($C$2:$C483="Entrada")*($F$2:$F483=Tabela_Movimentacao_Geral[[#This Row],[ID Produto]])*($H$2:$H483) - ($C$2:$C483="Saida")*($F$2:$F483=Tabela_Movimentacao_Geral[[#This Row],[ID Produto]])*($H$2:$H483)),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76</v>
      </c>
      <c r="I484" s="5">
        <f ca="1">_xlfn.XLOOKUP(Tabela_Movimentacao_Geral[[#This Row],[ID Produto]], Tabela_Produtos[ID_Produto],Tabela_Produtos[Preco_Unitario_Venda])</f>
        <v>180</v>
      </c>
      <c r="J484" s="6">
        <f ca="1">Tabela_Movimentacao_Geral[[#This Row],[Quantidade]] * Tabela_Movimentacao_Geral[[#This Row],[Valor Unitário]]</f>
        <v>13680</v>
      </c>
      <c r="K484" t="str">
        <f ca="1">IF(
   $O$7="Desbloqueado",
   CHOOSE(RANDBETWEEN(1,3),"Pago","Pendente","Atrasado"),
   Tabela_Movimentacao_Geral[[#This Row],[Status Financeiro]]
)</f>
        <v>Atrasado</v>
      </c>
      <c r="L484" t="str">
        <f ca="1">IF(
   $O$7="Desbloqueado",
   CHOOSE(RANDBETWEEN(1,3),"Entregue","Em Rota","Aguardando"),
   Tabela_Movimentacao_Geral[[#This Row],[Status Logistico]]
)</f>
        <v>Aguardando</v>
      </c>
      <c r="M48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85" spans="1:13" x14ac:dyDescent="0.3">
      <c r="A485" t="str">
        <f t="shared" si="7"/>
        <v>T0484</v>
      </c>
      <c r="B485" s="1">
        <v>45897</v>
      </c>
      <c r="C485" t="str" cm="1">
        <f t="array" aca="1" ref="C485" ca="1">IF($O$7="Desbloqueado",
  _xlfn.LET(
    _xlpm.saldo_atual, SUM(($C$2:$C484="Entrada")*($F$2:$F484=Tabela_Movimentacao_Geral[[#This Row],[ID Produto]])*($H$2:$H484) - ($C$2:$C484="Saida")*($F$2:$F484=Tabela_Movimentacao_Geral[[#This Row],[ID Produto]])*($H$2:$H484)),
    IF(_xlpm.saldo_atual &gt; 0, IF(RANDBETWEEN(0,10)&gt;3,"Saida","Entrada"), "Entrada")
  ),
  Tabela_Movimentacao_Geral[[#This Row],[Tipo Fluxo]]
)</f>
        <v>Entrada</v>
      </c>
      <c r="D4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4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485" t="str">
        <f ca="1">IF(
  $O$7="Desbloqueado",
  "PROD"&amp;TEXT(RANDBETWEEN(1,200),"000"),
  Tabela_Movimentacao_Geral[[#This Row],[ID Produto]]
)</f>
        <v>PROD092</v>
      </c>
      <c r="G485" t="str">
        <f ca="1">_xlfn.XLOOKUP(Tabela_Movimentacao_Geral[[#This Row],[ID Produto]], Tabela_Produtos[ID_Produto],Tabela_Produtos[Descricao_Produto],"Produto não encontrado")</f>
        <v>Fita LTO-8 Ultrium</v>
      </c>
      <c r="H485" cm="1">
        <f t="array" aca="1" ref="H485" ca="1">IF(
   $O$7="Desbloqueado",
   _xlfn.LET(
     _xlpm.saldo_atual, SUM(($C$2:$C484="Entrada")*($F$2:$F484=Tabela_Movimentacao_Geral[[#This Row],[ID Produto]])*($H$2:$H484) - ($C$2:$C484="Saida")*($F$2:$F484=Tabela_Movimentacao_Geral[[#This Row],[ID Produto]])*($H$2:$H484)),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485" s="5">
        <f ca="1">_xlfn.XLOOKUP(Tabela_Movimentacao_Geral[[#This Row],[ID Produto]], Tabela_Produtos[ID_Produto],Tabela_Produtos[Preco_Unitario_Venda])</f>
        <v>950</v>
      </c>
      <c r="J485" s="6">
        <f ca="1">Tabela_Movimentacao_Geral[[#This Row],[Quantidade]] * Tabela_Movimentacao_Geral[[#This Row],[Valor Unitário]]</f>
        <v>28500</v>
      </c>
      <c r="K485" t="str">
        <f ca="1">IF(
   $O$7="Desbloqueado",
   CHOOSE(RANDBETWEEN(1,3),"Pago","Pendente","Atrasado"),
   Tabela_Movimentacao_Geral[[#This Row],[Status Financeiro]]
)</f>
        <v>Pago</v>
      </c>
      <c r="L485" t="str">
        <f ca="1">IF(
   $O$7="Desbloqueado",
   CHOOSE(RANDBETWEEN(1,3),"Entregue","Em Rota","Aguardando"),
   Tabela_Movimentacao_Geral[[#This Row],[Status Logistico]]
)</f>
        <v>Aguardando</v>
      </c>
      <c r="M48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45898</v>
      </c>
    </row>
    <row r="486" spans="1:13" x14ac:dyDescent="0.3">
      <c r="A486" t="str">
        <f t="shared" si="7"/>
        <v>T0485</v>
      </c>
      <c r="B486" s="1">
        <v>45897</v>
      </c>
      <c r="C486" t="str" cm="1">
        <f t="array" aca="1" ref="C486" ca="1">IF($O$7="Desbloqueado",
  _xlfn.LET(
    _xlpm.saldo_atual, SUM(($C$2:$C485="Entrada")*($F$2:$F485=Tabela_Movimentacao_Geral[[#This Row],[ID Produto]])*($H$2:$H485) - ($C$2:$C485="Saida")*($F$2:$F485=Tabela_Movimentacao_Geral[[#This Row],[ID Produto]])*($H$2:$H485)),
    IF(_xlpm.saldo_atual &gt; 0, IF(RANDBETWEEN(0,10)&gt;3,"Saida","Entrada"), "Entrada")
  ),
  Tabela_Movimentacao_Geral[[#This Row],[Tipo Fluxo]]
)</f>
        <v>Saida</v>
      </c>
      <c r="D4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4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486" t="str">
        <f ca="1">IF(
  $O$7="Desbloqueado",
  "PROD"&amp;TEXT(RANDBETWEEN(1,200),"000"),
  Tabela_Movimentacao_Geral[[#This Row],[ID Produto]]
)</f>
        <v>PROD109</v>
      </c>
      <c r="G486" t="str">
        <f ca="1">_xlfn.XLOOKUP(Tabela_Movimentacao_Geral[[#This Row],[ID Produto]], Tabela_Produtos[ID_Produto],Tabela_Produtos[Descricao_Produto],"Produto não encontrado")</f>
        <v>Cabo DisplayPort 1.4</v>
      </c>
      <c r="H486" cm="1">
        <f t="array" aca="1" ref="H486" ca="1">IF(
   $O$7="Desbloqueado",
   _xlfn.LET(
     _xlpm.saldo_atual, SUM(($C$2:$C485="Entrada")*($F$2:$F485=Tabela_Movimentacao_Geral[[#This Row],[ID Produto]])*($H$2:$H485) - ($C$2:$C485="Saida")*($F$2:$F485=Tabela_Movimentacao_Geral[[#This Row],[ID Produto]])*($H$2:$H485)),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46</v>
      </c>
      <c r="I486" s="5">
        <f ca="1">_xlfn.XLOOKUP(Tabela_Movimentacao_Geral[[#This Row],[ID Produto]], Tabela_Produtos[ID_Produto],Tabela_Produtos[Preco_Unitario_Venda])</f>
        <v>75</v>
      </c>
      <c r="J486" s="6">
        <f ca="1">Tabela_Movimentacao_Geral[[#This Row],[Quantidade]] * Tabela_Movimentacao_Geral[[#This Row],[Valor Unitário]]</f>
        <v>3450</v>
      </c>
      <c r="K486" t="str">
        <f ca="1">IF(
   $O$7="Desbloqueado",
   CHOOSE(RANDBETWEEN(1,3),"Pago","Pendente","Atrasado"),
   Tabela_Movimentacao_Geral[[#This Row],[Status Financeiro]]
)</f>
        <v>Pago</v>
      </c>
      <c r="L486" t="str">
        <f ca="1">IF(
   $O$7="Desbloqueado",
   CHOOSE(RANDBETWEEN(1,3),"Entregue","Em Rota","Aguardando"),
   Tabela_Movimentacao_Geral[[#This Row],[Status Logistico]]
)</f>
        <v>Aguardando</v>
      </c>
      <c r="M48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87" spans="1:13" x14ac:dyDescent="0.3">
      <c r="A487" t="str">
        <f t="shared" si="7"/>
        <v>T0486</v>
      </c>
      <c r="B487" s="1">
        <v>45897</v>
      </c>
      <c r="C487" t="str" cm="1">
        <f t="array" aca="1" ref="C487" ca="1">IF($O$7="Desbloqueado",
  _xlfn.LET(
    _xlpm.saldo_atual, SUM(($C$2:$C486="Entrada")*($F$2:$F486=Tabela_Movimentacao_Geral[[#This Row],[ID Produto]])*($H$2:$H486) - ($C$2:$C486="Saida")*($F$2:$F486=Tabela_Movimentacao_Geral[[#This Row],[ID Produto]])*($H$2:$H486)),
    IF(_xlpm.saldo_atual &gt; 0, IF(RANDBETWEEN(0,10)&gt;3,"Saida","Entrada"), "Entrada")
  ),
  Tabela_Movimentacao_Geral[[#This Row],[Tipo Fluxo]]
)</f>
        <v>Saida</v>
      </c>
      <c r="D4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4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487" t="str">
        <f ca="1">IF(
  $O$7="Desbloqueado",
  "PROD"&amp;TEXT(RANDBETWEEN(1,200),"000"),
  Tabela_Movimentacao_Geral[[#This Row],[ID Produto]]
)</f>
        <v>PROD023</v>
      </c>
      <c r="G487" t="str">
        <f ca="1">_xlfn.XLOOKUP(Tabela_Movimentacao_Geral[[#This Row],[ID Produto]], Tabela_Produtos[ID_Produto],Tabela_Produtos[Descricao_Produto],"Produto não encontrado")</f>
        <v>Antivirus Endpoint 1 Ano</v>
      </c>
      <c r="H487" cm="1">
        <f t="array" aca="1" ref="H487" ca="1">IF(
   $O$7="Desbloqueado",
   _xlfn.LET(
     _xlpm.saldo_atual, SUM(($C$2:$C486="Entrada")*($F$2:$F486=Tabela_Movimentacao_Geral[[#This Row],[ID Produto]])*($H$2:$H486) - ($C$2:$C486="Saida")*($F$2:$F486=Tabela_Movimentacao_Geral[[#This Row],[ID Produto]])*($H$2:$H486)),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121</v>
      </c>
      <c r="I487" s="5">
        <f ca="1">_xlfn.XLOOKUP(Tabela_Movimentacao_Geral[[#This Row],[ID Produto]], Tabela_Produtos[ID_Produto],Tabela_Produtos[Preco_Unitario_Venda])</f>
        <v>150</v>
      </c>
      <c r="J487" s="6">
        <f ca="1">Tabela_Movimentacao_Geral[[#This Row],[Quantidade]] * Tabela_Movimentacao_Geral[[#This Row],[Valor Unitário]]</f>
        <v>18150</v>
      </c>
      <c r="K487" t="str">
        <f ca="1">IF(
   $O$7="Desbloqueado",
   CHOOSE(RANDBETWEEN(1,3),"Pago","Pendente","Atrasado"),
   Tabela_Movimentacao_Geral[[#This Row],[Status Financeiro]]
)</f>
        <v>Atrasado</v>
      </c>
      <c r="L487" t="str">
        <f ca="1">IF(
   $O$7="Desbloqueado",
   CHOOSE(RANDBETWEEN(1,3),"Entregue","Em Rota","Aguardando"),
   Tabela_Movimentacao_Geral[[#This Row],[Status Logistico]]
)</f>
        <v>Aguardando</v>
      </c>
      <c r="M48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88" spans="1:13" x14ac:dyDescent="0.3">
      <c r="A488" t="str">
        <f t="shared" si="7"/>
        <v>T0487</v>
      </c>
      <c r="B488" s="1">
        <v>45898</v>
      </c>
      <c r="C488" t="str" cm="1">
        <f t="array" aca="1" ref="C488" ca="1">IF($O$7="Desbloqueado",
  _xlfn.LET(
    _xlpm.saldo_atual, SUM(($C$2:$C487="Entrada")*($F$2:$F487=Tabela_Movimentacao_Geral[[#This Row],[ID Produto]])*($H$2:$H487) - ($C$2:$C487="Saida")*($F$2:$F487=Tabela_Movimentacao_Geral[[#This Row],[ID Produto]])*($H$2:$H487)),
    IF(_xlpm.saldo_atual &gt; 0, IF(RANDBETWEEN(0,10)&gt;3,"Saida","Entrada"), "Entrada")
  ),
  Tabela_Movimentacao_Geral[[#This Row],[Tipo Fluxo]]
)</f>
        <v>Saida</v>
      </c>
      <c r="D4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4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488" t="str">
        <f ca="1">IF(
  $O$7="Desbloqueado",
  "PROD"&amp;TEXT(RANDBETWEEN(1,200),"000"),
  Tabela_Movimentacao_Geral[[#This Row],[ID Produto]]
)</f>
        <v>PROD143</v>
      </c>
      <c r="G488" t="str">
        <f ca="1">_xlfn.XLOOKUP(Tabela_Movimentacao_Geral[[#This Row],[ID Produto]], Tabela_Produtos[ID_Produto],Tabela_Produtos[Descricao_Produto],"Produto não encontrado")</f>
        <v>Spray Limpa Contatos</v>
      </c>
      <c r="H488" cm="1">
        <f t="array" aca="1" ref="H488" ca="1">IF(
   $O$7="Desbloqueado",
   _xlfn.LET(
     _xlpm.saldo_atual, SUM(($C$2:$C487="Entrada")*($F$2:$F487=Tabela_Movimentacao_Geral[[#This Row],[ID Produto]])*($H$2:$H487) - ($C$2:$C487="Saida")*($F$2:$F487=Tabela_Movimentacao_Geral[[#This Row],[ID Produto]])*($H$2:$H487)),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488" s="5">
        <f ca="1">_xlfn.XLOOKUP(Tabela_Movimentacao_Geral[[#This Row],[ID Produto]], Tabela_Produtos[ID_Produto],Tabela_Produtos[Preco_Unitario_Venda])</f>
        <v>35</v>
      </c>
      <c r="J488" s="6">
        <f ca="1">Tabela_Movimentacao_Geral[[#This Row],[Quantidade]] * Tabela_Movimentacao_Geral[[#This Row],[Valor Unitário]]</f>
        <v>2065</v>
      </c>
      <c r="K488" t="str">
        <f ca="1">IF(
   $O$7="Desbloqueado",
   CHOOSE(RANDBETWEEN(1,3),"Pago","Pendente","Atrasado"),
   Tabela_Movimentacao_Geral[[#This Row],[Status Financeiro]]
)</f>
        <v>Atrasado</v>
      </c>
      <c r="L488" t="str">
        <f ca="1">IF(
   $O$7="Desbloqueado",
   CHOOSE(RANDBETWEEN(1,3),"Entregue","Em Rota","Aguardando"),
   Tabela_Movimentacao_Geral[[#This Row],[Status Logistico]]
)</f>
        <v>Em Rota</v>
      </c>
      <c r="M48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89" spans="1:13" x14ac:dyDescent="0.3">
      <c r="A489" t="str">
        <f t="shared" si="7"/>
        <v>T0488</v>
      </c>
      <c r="B489" s="1">
        <v>45898</v>
      </c>
      <c r="C489" t="str" cm="1">
        <f t="array" aca="1" ref="C489" ca="1">IF($O$7="Desbloqueado",
  _xlfn.LET(
    _xlpm.saldo_atual, SUM(($C$2:$C488="Entrada")*($F$2:$F488=Tabela_Movimentacao_Geral[[#This Row],[ID Produto]])*($H$2:$H488) - ($C$2:$C488="Saida")*($F$2:$F488=Tabela_Movimentacao_Geral[[#This Row],[ID Produto]])*($H$2:$H488)),
    IF(_xlpm.saldo_atual &gt; 0, IF(RANDBETWEEN(0,10)&gt;3,"Saida","Entrada"), "Entrada")
  ),
  Tabela_Movimentacao_Geral[[#This Row],[Tipo Fluxo]]
)</f>
        <v>Saida</v>
      </c>
      <c r="D4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4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489" t="str">
        <f ca="1">IF(
  $O$7="Desbloqueado",
  "PROD"&amp;TEXT(RANDBETWEEN(1,200),"000"),
  Tabela_Movimentacao_Geral[[#This Row],[ID Produto]]
)</f>
        <v>PROD067</v>
      </c>
      <c r="G489" t="str">
        <f ca="1">_xlfn.XLOOKUP(Tabela_Movimentacao_Geral[[#This Row],[ID Produto]], Tabela_Produtos[ID_Produto],Tabela_Produtos[Descricao_Produto],"Produto não encontrado")</f>
        <v>Marcador de Texto Amarelo</v>
      </c>
      <c r="H489" cm="1">
        <f t="array" aca="1" ref="H489" ca="1">IF(
   $O$7="Desbloqueado",
   _xlfn.LET(
     _xlpm.saldo_atual, SUM(($C$2:$C488="Entrada")*($F$2:$F488=Tabela_Movimentacao_Geral[[#This Row],[ID Produto]])*($H$2:$H488) - ($C$2:$C488="Saida")*($F$2:$F488=Tabela_Movimentacao_Geral[[#This Row],[ID Produto]])*($H$2:$H488)),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83</v>
      </c>
      <c r="I489" s="5">
        <f ca="1">_xlfn.XLOOKUP(Tabela_Movimentacao_Geral[[#This Row],[ID Produto]], Tabela_Produtos[ID_Produto],Tabela_Produtos[Preco_Unitario_Venda])</f>
        <v>4.5</v>
      </c>
      <c r="J489" s="6">
        <f ca="1">Tabela_Movimentacao_Geral[[#This Row],[Quantidade]] * Tabela_Movimentacao_Geral[[#This Row],[Valor Unitário]]</f>
        <v>373.5</v>
      </c>
      <c r="K489" t="str">
        <f ca="1">IF(
   $O$7="Desbloqueado",
   CHOOSE(RANDBETWEEN(1,3),"Pago","Pendente","Atrasado"),
   Tabela_Movimentacao_Geral[[#This Row],[Status Financeiro]]
)</f>
        <v>Atrasado</v>
      </c>
      <c r="L489" t="str">
        <f ca="1">IF(
   $O$7="Desbloqueado",
   CHOOSE(RANDBETWEEN(1,3),"Entregue","Em Rota","Aguardando"),
   Tabela_Movimentacao_Geral[[#This Row],[Status Logistico]]
)</f>
        <v>Entregue</v>
      </c>
      <c r="M48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90" spans="1:13" x14ac:dyDescent="0.3">
      <c r="A490" t="str">
        <f t="shared" si="7"/>
        <v>T0489</v>
      </c>
      <c r="B490" s="1">
        <v>45899</v>
      </c>
      <c r="C490" t="str" cm="1">
        <f t="array" aca="1" ref="C490" ca="1">IF($O$7="Desbloqueado",
  _xlfn.LET(
    _xlpm.saldo_atual, SUM(($C$2:$C489="Entrada")*($F$2:$F489=Tabela_Movimentacao_Geral[[#This Row],[ID Produto]])*($H$2:$H489) - ($C$2:$C489="Saida")*($F$2:$F489=Tabela_Movimentacao_Geral[[#This Row],[ID Produto]])*($H$2:$H489)),
    IF(_xlpm.saldo_atual &gt; 0, IF(RANDBETWEEN(0,10)&gt;3,"Saida","Entrada"), "Entrada")
  ),
  Tabela_Movimentacao_Geral[[#This Row],[Tipo Fluxo]]
)</f>
        <v>Saida</v>
      </c>
      <c r="D4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4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490" t="str">
        <f ca="1">IF(
  $O$7="Desbloqueado",
  "PROD"&amp;TEXT(RANDBETWEEN(1,200),"000"),
  Tabela_Movimentacao_Geral[[#This Row],[ID Produto]]
)</f>
        <v>PROD175</v>
      </c>
      <c r="G490" t="str">
        <f ca="1">_xlfn.XLOOKUP(Tabela_Movimentacao_Geral[[#This Row],[ID Produto]], Tabela_Produtos[ID_Produto],Tabela_Produtos[Descricao_Produto],"Produto não encontrado")</f>
        <v>Plastico Bolha 1.2x50m</v>
      </c>
      <c r="H490" cm="1">
        <f t="array" aca="1" ref="H490" ca="1">IF(
   $O$7="Desbloqueado",
   _xlfn.LET(
     _xlpm.saldo_atual, SUM(($C$2:$C489="Entrada")*($F$2:$F489=Tabela_Movimentacao_Geral[[#This Row],[ID Produto]])*($H$2:$H489) - ($C$2:$C489="Saida")*($F$2:$F489=Tabela_Movimentacao_Geral[[#This Row],[ID Produto]])*($H$2:$H489)),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490" s="5">
        <f ca="1">_xlfn.XLOOKUP(Tabela_Movimentacao_Geral[[#This Row],[ID Produto]], Tabela_Produtos[ID_Produto],Tabela_Produtos[Preco_Unitario_Venda])</f>
        <v>110</v>
      </c>
      <c r="J490" s="6">
        <f ca="1">Tabela_Movimentacao_Geral[[#This Row],[Quantidade]] * Tabela_Movimentacao_Geral[[#This Row],[Valor Unitário]]</f>
        <v>1760</v>
      </c>
      <c r="K490" t="str">
        <f ca="1">IF(
   $O$7="Desbloqueado",
   CHOOSE(RANDBETWEEN(1,3),"Pago","Pendente","Atrasado"),
   Tabela_Movimentacao_Geral[[#This Row],[Status Financeiro]]
)</f>
        <v>Atrasado</v>
      </c>
      <c r="L490" t="str">
        <f ca="1">IF(
   $O$7="Desbloqueado",
   CHOOSE(RANDBETWEEN(1,3),"Entregue","Em Rota","Aguardando"),
   Tabela_Movimentacao_Geral[[#This Row],[Status Logistico]]
)</f>
        <v>Em Rota</v>
      </c>
      <c r="M49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91" spans="1:13" x14ac:dyDescent="0.3">
      <c r="A491" t="str">
        <f t="shared" si="7"/>
        <v>T0490</v>
      </c>
      <c r="B491" s="1">
        <v>45899</v>
      </c>
      <c r="C491" t="str" cm="1">
        <f t="array" aca="1" ref="C491" ca="1">IF($O$7="Desbloqueado",
  _xlfn.LET(
    _xlpm.saldo_atual, SUM(($C$2:$C490="Entrada")*($F$2:$F490=Tabela_Movimentacao_Geral[[#This Row],[ID Produto]])*($H$2:$H490) - ($C$2:$C490="Saida")*($F$2:$F490=Tabela_Movimentacao_Geral[[#This Row],[ID Produto]])*($H$2:$H490)),
    IF(_xlpm.saldo_atual &gt; 0, IF(RANDBETWEEN(0,10)&gt;3,"Saida","Entrada"), "Entrada")
  ),
  Tabela_Movimentacao_Geral[[#This Row],[Tipo Fluxo]]
)</f>
        <v>Entrada</v>
      </c>
      <c r="D4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4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491" t="str">
        <f ca="1">IF(
  $O$7="Desbloqueado",
  "PROD"&amp;TEXT(RANDBETWEEN(1,200),"000"),
  Tabela_Movimentacao_Geral[[#This Row],[ID Produto]]
)</f>
        <v>PROD152</v>
      </c>
      <c r="G491" t="str">
        <f ca="1">_xlfn.XLOOKUP(Tabela_Movimentacao_Geral[[#This Row],[ID Produto]], Tabela_Produtos[ID_Produto],Tabela_Produtos[Descricao_Produto],"Produto não encontrado")</f>
        <v>Bloco de Notas Espiral</v>
      </c>
      <c r="H491" cm="1">
        <f t="array" aca="1" ref="H491" ca="1">IF(
   $O$7="Desbloqueado",
   _xlfn.LET(
     _xlpm.saldo_atual, SUM(($C$2:$C490="Entrada")*($F$2:$F490=Tabela_Movimentacao_Geral[[#This Row],[ID Produto]])*($H$2:$H490) - ($C$2:$C490="Saida")*($F$2:$F490=Tabela_Movimentacao_Geral[[#This Row],[ID Produto]])*($H$2:$H490)),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105</v>
      </c>
      <c r="I491" s="5">
        <f ca="1">_xlfn.XLOOKUP(Tabela_Movimentacao_Geral[[#This Row],[ID Produto]], Tabela_Produtos[ID_Produto],Tabela_Produtos[Preco_Unitario_Venda])</f>
        <v>12</v>
      </c>
      <c r="J491" s="6">
        <f ca="1">Tabela_Movimentacao_Geral[[#This Row],[Quantidade]] * Tabela_Movimentacao_Geral[[#This Row],[Valor Unitário]]</f>
        <v>1260</v>
      </c>
      <c r="K491" t="str">
        <f ca="1">IF(
   $O$7="Desbloqueado",
   CHOOSE(RANDBETWEEN(1,3),"Pago","Pendente","Atrasado"),
   Tabela_Movimentacao_Geral[[#This Row],[Status Financeiro]]
)</f>
        <v>Pendente</v>
      </c>
      <c r="L491" t="str">
        <f ca="1">IF(
   $O$7="Desbloqueado",
   CHOOSE(RANDBETWEEN(1,3),"Entregue","Em Rota","Aguardando"),
   Tabela_Movimentacao_Geral[[#This Row],[Status Logistico]]
)</f>
        <v>Aguardando</v>
      </c>
      <c r="M49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45904</v>
      </c>
    </row>
    <row r="492" spans="1:13" x14ac:dyDescent="0.3">
      <c r="A492" t="str">
        <f t="shared" si="7"/>
        <v>T0491</v>
      </c>
      <c r="B492" s="1">
        <v>45899</v>
      </c>
      <c r="C492" t="str" cm="1">
        <f t="array" aca="1" ref="C492" ca="1">IF($O$7="Desbloqueado",
  _xlfn.LET(
    _xlpm.saldo_atual, SUM(($C$2:$C491="Entrada")*($F$2:$F491=Tabela_Movimentacao_Geral[[#This Row],[ID Produto]])*($H$2:$H491) - ($C$2:$C491="Saida")*($F$2:$F491=Tabela_Movimentacao_Geral[[#This Row],[ID Produto]])*($H$2:$H491)),
    IF(_xlpm.saldo_atual &gt; 0, IF(RANDBETWEEN(0,10)&gt;3,"Saida","Entrada"), "Entrada")
  ),
  Tabela_Movimentacao_Geral[[#This Row],[Tipo Fluxo]]
)</f>
        <v>Saida</v>
      </c>
      <c r="D4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4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492" t="str">
        <f ca="1">IF(
  $O$7="Desbloqueado",
  "PROD"&amp;TEXT(RANDBETWEEN(1,200),"000"),
  Tabela_Movimentacao_Geral[[#This Row],[ID Produto]]
)</f>
        <v>PROD045</v>
      </c>
      <c r="G492" t="str">
        <f ca="1">_xlfn.XLOOKUP(Tabela_Movimentacao_Geral[[#This Row],[ID Produto]], Tabela_Produtos[ID_Produto],Tabela_Produtos[Descricao_Produto],"Produto não encontrado")</f>
        <v>Microfone de Mesa USB</v>
      </c>
      <c r="H492" cm="1">
        <f t="array" aca="1" ref="H492" ca="1">IF(
   $O$7="Desbloqueado",
   _xlfn.LET(
     _xlpm.saldo_atual, SUM(($C$2:$C491="Entrada")*($F$2:$F491=Tabela_Movimentacao_Geral[[#This Row],[ID Produto]])*($H$2:$H491) - ($C$2:$C491="Saida")*($F$2:$F491=Tabela_Movimentacao_Geral[[#This Row],[ID Produto]])*($H$2:$H491)),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492" s="5">
        <f ca="1">_xlfn.XLOOKUP(Tabela_Movimentacao_Geral[[#This Row],[ID Produto]], Tabela_Produtos[ID_Produto],Tabela_Produtos[Preco_Unitario_Venda])</f>
        <v>280</v>
      </c>
      <c r="J492" s="6">
        <f ca="1">Tabela_Movimentacao_Geral[[#This Row],[Quantidade]] * Tabela_Movimentacao_Geral[[#This Row],[Valor Unitário]]</f>
        <v>5600</v>
      </c>
      <c r="K492" t="str">
        <f ca="1">IF(
   $O$7="Desbloqueado",
   CHOOSE(RANDBETWEEN(1,3),"Pago","Pendente","Atrasado"),
   Tabela_Movimentacao_Geral[[#This Row],[Status Financeiro]]
)</f>
        <v>Atrasado</v>
      </c>
      <c r="L492" t="str">
        <f ca="1">IF(
   $O$7="Desbloqueado",
   CHOOSE(RANDBETWEEN(1,3),"Entregue","Em Rota","Aguardando"),
   Tabela_Movimentacao_Geral[[#This Row],[Status Logistico]]
)</f>
        <v>Aguardando</v>
      </c>
      <c r="M49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93" spans="1:13" x14ac:dyDescent="0.3">
      <c r="A493" t="str">
        <f t="shared" si="7"/>
        <v>T0492</v>
      </c>
      <c r="B493" s="1">
        <v>45899</v>
      </c>
      <c r="C493" t="str" cm="1">
        <f t="array" aca="1" ref="C493" ca="1">IF($O$7="Desbloqueado",
  _xlfn.LET(
    _xlpm.saldo_atual, SUM(($C$2:$C492="Entrada")*($F$2:$F492=Tabela_Movimentacao_Geral[[#This Row],[ID Produto]])*($H$2:$H492) - ($C$2:$C492="Saida")*($F$2:$F492=Tabela_Movimentacao_Geral[[#This Row],[ID Produto]])*($H$2:$H492)),
    IF(_xlpm.saldo_atual &gt; 0, IF(RANDBETWEEN(0,10)&gt;3,"Saida","Entrada"), "Entrada")
  ),
  Tabela_Movimentacao_Geral[[#This Row],[Tipo Fluxo]]
)</f>
        <v>Entrada</v>
      </c>
      <c r="D4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4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493" t="str">
        <f ca="1">IF(
  $O$7="Desbloqueado",
  "PROD"&amp;TEXT(RANDBETWEEN(1,200),"000"),
  Tabela_Movimentacao_Geral[[#This Row],[ID Produto]]
)</f>
        <v>PROD049</v>
      </c>
      <c r="G493" t="str">
        <f ca="1">_xlfn.XLOOKUP(Tabela_Movimentacao_Geral[[#This Row],[ID Produto]], Tabela_Produtos[ID_Produto],Tabela_Produtos[Descricao_Produto],"Produto não encontrado")</f>
        <v>Scanner de Documentos</v>
      </c>
      <c r="H493" cm="1">
        <f t="array" aca="1" ref="H493" ca="1">IF(
   $O$7="Desbloqueado",
   _xlfn.LET(
     _xlpm.saldo_atual, SUM(($C$2:$C492="Entrada")*($F$2:$F492=Tabela_Movimentacao_Geral[[#This Row],[ID Produto]])*($H$2:$H492) - ($C$2:$C492="Saida")*($F$2:$F492=Tabela_Movimentacao_Geral[[#This Row],[ID Produto]])*($H$2:$H492)),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55</v>
      </c>
      <c r="I493" s="5">
        <f ca="1">_xlfn.XLOOKUP(Tabela_Movimentacao_Geral[[#This Row],[ID Produto]], Tabela_Produtos[ID_Produto],Tabela_Produtos[Preco_Unitario_Venda])</f>
        <v>1550</v>
      </c>
      <c r="J493" s="6">
        <f ca="1">Tabela_Movimentacao_Geral[[#This Row],[Quantidade]] * Tabela_Movimentacao_Geral[[#This Row],[Valor Unitário]]</f>
        <v>85250</v>
      </c>
      <c r="K493" t="str">
        <f ca="1">IF(
   $O$7="Desbloqueado",
   CHOOSE(RANDBETWEEN(1,3),"Pago","Pendente","Atrasado"),
   Tabela_Movimentacao_Geral[[#This Row],[Status Financeiro]]
)</f>
        <v>Pendente</v>
      </c>
      <c r="L493" t="str">
        <f ca="1">IF(
   $O$7="Desbloqueado",
   CHOOSE(RANDBETWEEN(1,3),"Entregue","Em Rota","Aguardando"),
   Tabela_Movimentacao_Geral[[#This Row],[Status Logistico]]
)</f>
        <v>Entregue</v>
      </c>
      <c r="M49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45901</v>
      </c>
    </row>
    <row r="494" spans="1:13" x14ac:dyDescent="0.3">
      <c r="A494" t="str">
        <f t="shared" si="7"/>
        <v>T0493</v>
      </c>
      <c r="B494" s="1">
        <v>45899</v>
      </c>
      <c r="C494" t="str" cm="1">
        <f t="array" aca="1" ref="C494" ca="1">IF($O$7="Desbloqueado",
  _xlfn.LET(
    _xlpm.saldo_atual, SUM(($C$2:$C493="Entrada")*($F$2:$F493=Tabela_Movimentacao_Geral[[#This Row],[ID Produto]])*($H$2:$H493) - ($C$2:$C493="Saida")*($F$2:$F493=Tabela_Movimentacao_Geral[[#This Row],[ID Produto]])*($H$2:$H493)),
    IF(_xlpm.saldo_atual &gt; 0, IF(RANDBETWEEN(0,10)&gt;3,"Saida","Entrada"), "Entrada")
  ),
  Tabela_Movimentacao_Geral[[#This Row],[Tipo Fluxo]]
)</f>
        <v>Entrada</v>
      </c>
      <c r="D4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4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494" t="str">
        <f ca="1">IF(
  $O$7="Desbloqueado",
  "PROD"&amp;TEXT(RANDBETWEEN(1,200),"000"),
  Tabela_Movimentacao_Geral[[#This Row],[ID Produto]]
)</f>
        <v>PROD042</v>
      </c>
      <c r="G494" t="str">
        <f ca="1">_xlfn.XLOOKUP(Tabela_Movimentacao_Geral[[#This Row],[ID Produto]], Tabela_Produtos[ID_Produto],Tabela_Produtos[Descricao_Produto],"Produto não encontrado")</f>
        <v>Docking Station Universal</v>
      </c>
      <c r="H494" cm="1">
        <f t="array" aca="1" ref="H494" ca="1">IF(
   $O$7="Desbloqueado",
   _xlfn.LET(
     _xlpm.saldo_atual, SUM(($C$2:$C493="Entrada")*($F$2:$F493=Tabela_Movimentacao_Geral[[#This Row],[ID Produto]])*($H$2:$H493) - ($C$2:$C493="Saida")*($F$2:$F493=Tabela_Movimentacao_Geral[[#This Row],[ID Produto]])*($H$2:$H493)),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494" s="5">
        <f ca="1">_xlfn.XLOOKUP(Tabela_Movimentacao_Geral[[#This Row],[ID Produto]], Tabela_Produtos[ID_Produto],Tabela_Produtos[Preco_Unitario_Venda])</f>
        <v>890</v>
      </c>
      <c r="J494" s="6">
        <f ca="1">Tabela_Movimentacao_Geral[[#This Row],[Quantidade]] * Tabela_Movimentacao_Geral[[#This Row],[Valor Unitário]]</f>
        <v>25810</v>
      </c>
      <c r="K494" t="str">
        <f ca="1">IF(
   $O$7="Desbloqueado",
   CHOOSE(RANDBETWEEN(1,3),"Pago","Pendente","Atrasado"),
   Tabela_Movimentacao_Geral[[#This Row],[Status Financeiro]]
)</f>
        <v>Pendente</v>
      </c>
      <c r="L494" t="str">
        <f ca="1">IF(
   $O$7="Desbloqueado",
   CHOOSE(RANDBETWEEN(1,3),"Entregue","Em Rota","Aguardando"),
   Tabela_Movimentacao_Geral[[#This Row],[Status Logistico]]
)</f>
        <v>Aguardando</v>
      </c>
      <c r="M49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45906</v>
      </c>
    </row>
    <row r="495" spans="1:13" x14ac:dyDescent="0.3">
      <c r="A495" t="str">
        <f t="shared" si="7"/>
        <v>T0494</v>
      </c>
      <c r="B495" s="1">
        <v>45900</v>
      </c>
      <c r="C495" t="str" cm="1">
        <f t="array" aca="1" ref="C495" ca="1">IF($O$7="Desbloqueado",
  _xlfn.LET(
    _xlpm.saldo_atual, SUM(($C$2:$C494="Entrada")*($F$2:$F494=Tabela_Movimentacao_Geral[[#This Row],[ID Produto]])*($H$2:$H494) - ($C$2:$C494="Saida")*($F$2:$F494=Tabela_Movimentacao_Geral[[#This Row],[ID Produto]])*($H$2:$H494)),
    IF(_xlpm.saldo_atual &gt; 0, IF(RANDBETWEEN(0,10)&gt;3,"Saida","Entrada"), "Entrada")
  ),
  Tabela_Movimentacao_Geral[[#This Row],[Tipo Fluxo]]
)</f>
        <v>Entrada</v>
      </c>
      <c r="D4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4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495" t="str">
        <f ca="1">IF(
  $O$7="Desbloqueado",
  "PROD"&amp;TEXT(RANDBETWEEN(1,200),"000"),
  Tabela_Movimentacao_Geral[[#This Row],[ID Produto]]
)</f>
        <v>PROD033</v>
      </c>
      <c r="G495" t="str">
        <f ca="1">_xlfn.XLOOKUP(Tabela_Movimentacao_Geral[[#This Row],[ID Produto]], Tabela_Produtos[ID_Produto],Tabela_Produtos[Descricao_Produto],"Produto não encontrado")</f>
        <v>Pendrive 64GB USB 3.1</v>
      </c>
      <c r="H495" cm="1">
        <f t="array" aca="1" ref="H495" ca="1">IF(
   $O$7="Desbloqueado",
   _xlfn.LET(
     _xlpm.saldo_atual, SUM(($C$2:$C494="Entrada")*($F$2:$F494=Tabela_Movimentacao_Geral[[#This Row],[ID Produto]])*($H$2:$H494) - ($C$2:$C494="Saida")*($F$2:$F494=Tabela_Movimentacao_Geral[[#This Row],[ID Produto]])*($H$2:$H494)),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495" s="5">
        <f ca="1">_xlfn.XLOOKUP(Tabela_Movimentacao_Geral[[#This Row],[ID Produto]], Tabela_Produtos[ID_Produto],Tabela_Produtos[Preco_Unitario_Venda])</f>
        <v>65</v>
      </c>
      <c r="J495" s="6">
        <f ca="1">Tabela_Movimentacao_Geral[[#This Row],[Quantidade]] * Tabela_Movimentacao_Geral[[#This Row],[Valor Unitário]]</f>
        <v>5460</v>
      </c>
      <c r="K495" t="str">
        <f ca="1">IF(
   $O$7="Desbloqueado",
   CHOOSE(RANDBETWEEN(1,3),"Pago","Pendente","Atrasado"),
   Tabela_Movimentacao_Geral[[#This Row],[Status Financeiro]]
)</f>
        <v>Pago</v>
      </c>
      <c r="L495" t="str">
        <f ca="1">IF(
   $O$7="Desbloqueado",
   CHOOSE(RANDBETWEEN(1,3),"Entregue","Em Rota","Aguardando"),
   Tabela_Movimentacao_Geral[[#This Row],[Status Logistico]]
)</f>
        <v>Em Rota</v>
      </c>
      <c r="M49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45915</v>
      </c>
    </row>
    <row r="496" spans="1:13" x14ac:dyDescent="0.3">
      <c r="A496" t="str">
        <f t="shared" si="7"/>
        <v>T0495</v>
      </c>
      <c r="B496" s="1">
        <v>45900</v>
      </c>
      <c r="C496" t="str" cm="1">
        <f t="array" aca="1" ref="C496" ca="1">IF($O$7="Desbloqueado",
  _xlfn.LET(
    _xlpm.saldo_atual, SUM(($C$2:$C495="Entrada")*($F$2:$F495=Tabela_Movimentacao_Geral[[#This Row],[ID Produto]])*($H$2:$H495) - ($C$2:$C495="Saida")*($F$2:$F495=Tabela_Movimentacao_Geral[[#This Row],[ID Produto]])*($H$2:$H495)),
    IF(_xlpm.saldo_atual &gt; 0, IF(RANDBETWEEN(0,10)&gt;3,"Saida","Entrada"), "Entrada")
  ),
  Tabela_Movimentacao_Geral[[#This Row],[Tipo Fluxo]]
)</f>
        <v>Entrada</v>
      </c>
      <c r="D4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4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496" t="str">
        <f ca="1">IF(
  $O$7="Desbloqueado",
  "PROD"&amp;TEXT(RANDBETWEEN(1,200),"000"),
  Tabela_Movimentacao_Geral[[#This Row],[ID Produto]]
)</f>
        <v>PROD137</v>
      </c>
      <c r="G496" t="str">
        <f ca="1">_xlfn.XLOOKUP(Tabela_Movimentacao_Geral[[#This Row],[ID Produto]], Tabela_Produtos[ID_Produto],Tabela_Produtos[Descricao_Produto],"Produto não encontrado")</f>
        <v>Fonte ATX 600W 80 Plus</v>
      </c>
      <c r="H496" cm="1">
        <f t="array" aca="1" ref="H496" ca="1">IF(
   $O$7="Desbloqueado",
   _xlfn.LET(
     _xlpm.saldo_atual, SUM(($C$2:$C495="Entrada")*($F$2:$F495=Tabela_Movimentacao_Geral[[#This Row],[ID Produto]])*($H$2:$H495) - ($C$2:$C495="Saida")*($F$2:$F495=Tabela_Movimentacao_Geral[[#This Row],[ID Produto]])*($H$2:$H495)),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496" s="5">
        <f ca="1">_xlfn.XLOOKUP(Tabela_Movimentacao_Geral[[#This Row],[ID Produto]], Tabela_Produtos[ID_Produto],Tabela_Produtos[Preco_Unitario_Venda])</f>
        <v>450</v>
      </c>
      <c r="J496" s="6">
        <f ca="1">Tabela_Movimentacao_Geral[[#This Row],[Quantidade]] * Tabela_Movimentacao_Geral[[#This Row],[Valor Unitário]]</f>
        <v>1800</v>
      </c>
      <c r="K496" t="str">
        <f ca="1">IF(
   $O$7="Desbloqueado",
   CHOOSE(RANDBETWEEN(1,3),"Pago","Pendente","Atrasado"),
   Tabela_Movimentacao_Geral[[#This Row],[Status Financeiro]]
)</f>
        <v>Pendente</v>
      </c>
      <c r="L496" t="str">
        <f ca="1">IF(
   $O$7="Desbloqueado",
   CHOOSE(RANDBETWEEN(1,3),"Entregue","Em Rota","Aguardando"),
   Tabela_Movimentacao_Geral[[#This Row],[Status Logistico]]
)</f>
        <v>Aguardando</v>
      </c>
      <c r="M49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45901</v>
      </c>
    </row>
    <row r="497" spans="1:13" x14ac:dyDescent="0.3">
      <c r="A497" t="str">
        <f t="shared" si="7"/>
        <v>T0496</v>
      </c>
      <c r="B497" s="1">
        <v>45901</v>
      </c>
      <c r="C497" t="str" cm="1">
        <f t="array" aca="1" ref="C497" ca="1">IF($O$7="Desbloqueado",
  _xlfn.LET(
    _xlpm.saldo_atual, SUM(($C$2:$C496="Entrada")*($F$2:$F496=Tabela_Movimentacao_Geral[[#This Row],[ID Produto]])*($H$2:$H496) - ($C$2:$C496="Saida")*($F$2:$F496=Tabela_Movimentacao_Geral[[#This Row],[ID Produto]])*($H$2:$H496)),
    IF(_xlpm.saldo_atual &gt; 0, IF(RANDBETWEEN(0,10)&gt;3,"Saida","Entrada"), "Entrada")
  ),
  Tabela_Movimentacao_Geral[[#This Row],[Tipo Fluxo]]
)</f>
        <v>Entrada</v>
      </c>
      <c r="D4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4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497" t="str">
        <f ca="1">IF(
  $O$7="Desbloqueado",
  "PROD"&amp;TEXT(RANDBETWEEN(1,200),"000"),
  Tabela_Movimentacao_Geral[[#This Row],[ID Produto]]
)</f>
        <v>PROD110</v>
      </c>
      <c r="G497" t="str">
        <f ca="1">_xlfn.XLOOKUP(Tabela_Movimentacao_Geral[[#This Row],[ID Produto]], Tabela_Produtos[ID_Produto],Tabela_Produtos[Descricao_Produto],"Produto não encontrado")</f>
        <v>SSD M.2 NVMe 1TB</v>
      </c>
      <c r="H497" cm="1">
        <f t="array" aca="1" ref="H497" ca="1">IF(
   $O$7="Desbloqueado",
   _xlfn.LET(
     _xlpm.saldo_atual, SUM(($C$2:$C496="Entrada")*($F$2:$F496=Tabela_Movimentacao_Geral[[#This Row],[ID Produto]])*($H$2:$H496) - ($C$2:$C496="Saida")*($F$2:$F496=Tabela_Movimentacao_Geral[[#This Row],[ID Produto]])*($H$2:$H496)),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497" s="5">
        <f ca="1">_xlfn.XLOOKUP(Tabela_Movimentacao_Geral[[#This Row],[ID Produto]], Tabela_Produtos[ID_Produto],Tabela_Produtos[Preco_Unitario_Venda])</f>
        <v>580</v>
      </c>
      <c r="J497" s="6">
        <f ca="1">Tabela_Movimentacao_Geral[[#This Row],[Quantidade]] * Tabela_Movimentacao_Geral[[#This Row],[Valor Unitário]]</f>
        <v>40020</v>
      </c>
      <c r="K497" t="str">
        <f ca="1">IF(
   $O$7="Desbloqueado",
   CHOOSE(RANDBETWEEN(1,3),"Pago","Pendente","Atrasado"),
   Tabela_Movimentacao_Geral[[#This Row],[Status Financeiro]]
)</f>
        <v>Pago</v>
      </c>
      <c r="L497" t="str">
        <f ca="1">IF(
   $O$7="Desbloqueado",
   CHOOSE(RANDBETWEEN(1,3),"Entregue","Em Rota","Aguardando"),
   Tabela_Movimentacao_Geral[[#This Row],[Status Logistico]]
)</f>
        <v>Aguardando</v>
      </c>
      <c r="M49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45904</v>
      </c>
    </row>
    <row r="498" spans="1:13" x14ac:dyDescent="0.3">
      <c r="A498" t="str">
        <f t="shared" si="7"/>
        <v>T0497</v>
      </c>
      <c r="B498" s="1">
        <v>45902</v>
      </c>
      <c r="C498" t="str" cm="1">
        <f t="array" aca="1" ref="C498" ca="1">IF($O$7="Desbloqueado",
  _xlfn.LET(
    _xlpm.saldo_atual, SUM(($C$2:$C497="Entrada")*($F$2:$F497=Tabela_Movimentacao_Geral[[#This Row],[ID Produto]])*($H$2:$H497) - ($C$2:$C497="Saida")*($F$2:$F497=Tabela_Movimentacao_Geral[[#This Row],[ID Produto]])*($H$2:$H497)),
    IF(_xlpm.saldo_atual &gt; 0, IF(RANDBETWEEN(0,10)&gt;3,"Saida","Entrada"), "Entrada")
  ),
  Tabela_Movimentacao_Geral[[#This Row],[Tipo Fluxo]]
)</f>
        <v>Saida</v>
      </c>
      <c r="D4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4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498" t="str">
        <f ca="1">IF(
  $O$7="Desbloqueado",
  "PROD"&amp;TEXT(RANDBETWEEN(1,200),"000"),
  Tabela_Movimentacao_Geral[[#This Row],[ID Produto]]
)</f>
        <v>PROD048</v>
      </c>
      <c r="G498" t="str">
        <f ca="1">_xlfn.XLOOKUP(Tabela_Movimentacao_Geral[[#This Row],[ID Produto]], Tabela_Produtos[ID_Produto],Tabela_Produtos[Descricao_Produto],"Produto não encontrado")</f>
        <v>Fita para Etiquetadora</v>
      </c>
      <c r="H498" cm="1">
        <f t="array" aca="1" ref="H498" ca="1">IF(
   $O$7="Desbloqueado",
   _xlfn.LET(
     _xlpm.saldo_atual, SUM(($C$2:$C497="Entrada")*($F$2:$F497=Tabela_Movimentacao_Geral[[#This Row],[ID Produto]])*($H$2:$H497) - ($C$2:$C497="Saida")*($F$2:$F497=Tabela_Movimentacao_Geral[[#This Row],[ID Produto]])*($H$2:$H497)),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498" s="5">
        <f ca="1">_xlfn.XLOOKUP(Tabela_Movimentacao_Geral[[#This Row],[ID Produto]], Tabela_Produtos[ID_Produto],Tabela_Produtos[Preco_Unitario_Venda])</f>
        <v>55</v>
      </c>
      <c r="J498" s="6">
        <f ca="1">Tabela_Movimentacao_Geral[[#This Row],[Quantidade]] * Tabela_Movimentacao_Geral[[#This Row],[Valor Unitário]]</f>
        <v>3795</v>
      </c>
      <c r="K498" t="str">
        <f ca="1">IF(
   $O$7="Desbloqueado",
   CHOOSE(RANDBETWEEN(1,3),"Pago","Pendente","Atrasado"),
   Tabela_Movimentacao_Geral[[#This Row],[Status Financeiro]]
)</f>
        <v>Atrasado</v>
      </c>
      <c r="L498" t="str">
        <f ca="1">IF(
   $O$7="Desbloqueado",
   CHOOSE(RANDBETWEEN(1,3),"Entregue","Em Rota","Aguardando"),
   Tabela_Movimentacao_Geral[[#This Row],[Status Logistico]]
)</f>
        <v>Em Rota</v>
      </c>
      <c r="M49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499" spans="1:13" x14ac:dyDescent="0.3">
      <c r="A499" t="str">
        <f t="shared" si="7"/>
        <v>T0498</v>
      </c>
      <c r="B499" s="1">
        <v>45902</v>
      </c>
      <c r="C499" t="str" cm="1">
        <f t="array" aca="1" ref="C499" ca="1">IF($O$7="Desbloqueado",
  _xlfn.LET(
    _xlpm.saldo_atual, SUM(($C$2:$C498="Entrada")*($F$2:$F498=Tabela_Movimentacao_Geral[[#This Row],[ID Produto]])*($H$2:$H498) - ($C$2:$C498="Saida")*($F$2:$F498=Tabela_Movimentacao_Geral[[#This Row],[ID Produto]])*($H$2:$H498)),
    IF(_xlpm.saldo_atual &gt; 0, IF(RANDBETWEEN(0,10)&gt;3,"Saida","Entrada"), "Entrada")
  ),
  Tabela_Movimentacao_Geral[[#This Row],[Tipo Fluxo]]
)</f>
        <v>Saida</v>
      </c>
      <c r="D4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4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499" t="str">
        <f ca="1">IF(
  $O$7="Desbloqueado",
  "PROD"&amp;TEXT(RANDBETWEEN(1,200),"000"),
  Tabela_Movimentacao_Geral[[#This Row],[ID Produto]]
)</f>
        <v>PROD149</v>
      </c>
      <c r="G499" t="str">
        <f ca="1">_xlfn.XLOOKUP(Tabela_Movimentacao_Geral[[#This Row],[ID Produto]], Tabela_Produtos[ID_Produto],Tabela_Produtos[Descricao_Produto],"Produto não encontrado")</f>
        <v>Multimetro Digital</v>
      </c>
      <c r="H499" cm="1">
        <f t="array" aca="1" ref="H499" ca="1">IF(
   $O$7="Desbloqueado",
   _xlfn.LET(
     _xlpm.saldo_atual, SUM(($C$2:$C498="Entrada")*($F$2:$F498=Tabela_Movimentacao_Geral[[#This Row],[ID Produto]])*($H$2:$H498) - ($C$2:$C498="Saida")*($F$2:$F498=Tabela_Movimentacao_Geral[[#This Row],[ID Produto]])*($H$2:$H498)),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499" s="5">
        <f ca="1">_xlfn.XLOOKUP(Tabela_Movimentacao_Geral[[#This Row],[ID Produto]], Tabela_Produtos[ID_Produto],Tabela_Produtos[Preco_Unitario_Venda])</f>
        <v>145</v>
      </c>
      <c r="J499" s="6">
        <f ca="1">Tabela_Movimentacao_Geral[[#This Row],[Quantidade]] * Tabela_Movimentacao_Geral[[#This Row],[Valor Unitário]]</f>
        <v>10585</v>
      </c>
      <c r="K499" t="str">
        <f ca="1">IF(
   $O$7="Desbloqueado",
   CHOOSE(RANDBETWEEN(1,3),"Pago","Pendente","Atrasado"),
   Tabela_Movimentacao_Geral[[#This Row],[Status Financeiro]]
)</f>
        <v>Pendente</v>
      </c>
      <c r="L499" t="str">
        <f ca="1">IF(
   $O$7="Desbloqueado",
   CHOOSE(RANDBETWEEN(1,3),"Entregue","Em Rota","Aguardando"),
   Tabela_Movimentacao_Geral[[#This Row],[Status Logistico]]
)</f>
        <v>Aguardando</v>
      </c>
      <c r="M49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00" spans="1:13" x14ac:dyDescent="0.3">
      <c r="A500" t="str">
        <f t="shared" si="7"/>
        <v>T0499</v>
      </c>
      <c r="B500" s="1">
        <v>45903</v>
      </c>
      <c r="C500" t="str" cm="1">
        <f t="array" aca="1" ref="C500" ca="1">IF($O$7="Desbloqueado",
  _xlfn.LET(
    _xlpm.saldo_atual, SUM(($C$2:$C499="Entrada")*($F$2:$F499=Tabela_Movimentacao_Geral[[#This Row],[ID Produto]])*($H$2:$H499) - ($C$2:$C499="Saida")*($F$2:$F499=Tabela_Movimentacao_Geral[[#This Row],[ID Produto]])*($H$2:$H499)),
    IF(_xlpm.saldo_atual &gt; 0, IF(RANDBETWEEN(0,10)&gt;3,"Saida","Entrada"), "Entrada")
  ),
  Tabela_Movimentacao_Geral[[#This Row],[Tipo Fluxo]]
)</f>
        <v>Saida</v>
      </c>
      <c r="D5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5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500" t="str">
        <f ca="1">IF(
  $O$7="Desbloqueado",
  "PROD"&amp;TEXT(RANDBETWEEN(1,200),"000"),
  Tabela_Movimentacao_Geral[[#This Row],[ID Produto]]
)</f>
        <v>PROD099</v>
      </c>
      <c r="G500" t="str">
        <f ca="1">_xlfn.XLOOKUP(Tabela_Movimentacao_Geral[[#This Row],[ID Produto]], Tabela_Produtos[ID_Produto],Tabela_Produtos[Descricao_Produto],"Produto não encontrado")</f>
        <v>HD SkyHawk 4TB (CFTV)</v>
      </c>
      <c r="H500" cm="1">
        <f t="array" aca="1" ref="H500" ca="1">IF(
   $O$7="Desbloqueado",
   _xlfn.LET(
     _xlpm.saldo_atual, SUM(($C$2:$C499="Entrada")*($F$2:$F499=Tabela_Movimentacao_Geral[[#This Row],[ID Produto]])*($H$2:$H499) - ($C$2:$C499="Saida")*($F$2:$F499=Tabela_Movimentacao_Geral[[#This Row],[ID Produto]])*($H$2:$H499)),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500" s="5">
        <f ca="1">_xlfn.XLOOKUP(Tabela_Movimentacao_Geral[[#This Row],[ID Produto]], Tabela_Produtos[ID_Produto],Tabela_Produtos[Preco_Unitario_Venda])</f>
        <v>750</v>
      </c>
      <c r="J500" s="6">
        <f ca="1">Tabela_Movimentacao_Geral[[#This Row],[Quantidade]] * Tabela_Movimentacao_Geral[[#This Row],[Valor Unitário]]</f>
        <v>17250</v>
      </c>
      <c r="K500" t="str">
        <f ca="1">IF(
   $O$7="Desbloqueado",
   CHOOSE(RANDBETWEEN(1,3),"Pago","Pendente","Atrasado"),
   Tabela_Movimentacao_Geral[[#This Row],[Status Financeiro]]
)</f>
        <v>Pendente</v>
      </c>
      <c r="L500" t="str">
        <f ca="1">IF(
   $O$7="Desbloqueado",
   CHOOSE(RANDBETWEEN(1,3),"Entregue","Em Rota","Aguardando"),
   Tabela_Movimentacao_Geral[[#This Row],[Status Logistico]]
)</f>
        <v>Entregue</v>
      </c>
      <c r="M50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01" spans="1:13" x14ac:dyDescent="0.3">
      <c r="A501" t="str">
        <f t="shared" si="7"/>
        <v>T0500</v>
      </c>
      <c r="B501" s="1">
        <v>45908</v>
      </c>
      <c r="C501" t="str" cm="1">
        <f t="array" aca="1" ref="C501" ca="1">IF($O$7="Desbloqueado",
  _xlfn.LET(
    _xlpm.saldo_atual, SUM(($C$2:$C500="Entrada")*($F$2:$F500=Tabela_Movimentacao_Geral[[#This Row],[ID Produto]])*($H$2:$H500) - ($C$2:$C500="Saida")*($F$2:$F500=Tabela_Movimentacao_Geral[[#This Row],[ID Produto]])*($H$2:$H500)),
    IF(_xlpm.saldo_atual &gt; 0, IF(RANDBETWEEN(0,10)&gt;3,"Saida","Entrada"), "Entrada")
  ),
  Tabela_Movimentacao_Geral[[#This Row],[Tipo Fluxo]]
)</f>
        <v>Saida</v>
      </c>
      <c r="D5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5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501" t="str">
        <f ca="1">IF(
  $O$7="Desbloqueado",
  "PROD"&amp;TEXT(RANDBETWEEN(1,200),"000"),
  Tabela_Movimentacao_Geral[[#This Row],[ID Produto]]
)</f>
        <v>PROD143</v>
      </c>
      <c r="G501" t="str">
        <f ca="1">_xlfn.XLOOKUP(Tabela_Movimentacao_Geral[[#This Row],[ID Produto]], Tabela_Produtos[ID_Produto],Tabela_Produtos[Descricao_Produto],"Produto não encontrado")</f>
        <v>Spray Limpa Contatos</v>
      </c>
      <c r="H501" cm="1">
        <f t="array" aca="1" ref="H501" ca="1">IF(
   $O$7="Desbloqueado",
   _xlfn.LET(
     _xlpm.saldo_atual, SUM(($C$2:$C500="Entrada")*($F$2:$F500=Tabela_Movimentacao_Geral[[#This Row],[ID Produto]])*($H$2:$H500) - ($C$2:$C500="Saida")*($F$2:$F500=Tabela_Movimentacao_Geral[[#This Row],[ID Produto]])*($H$2:$H500)),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501" s="5">
        <f ca="1">_xlfn.XLOOKUP(Tabela_Movimentacao_Geral[[#This Row],[ID Produto]], Tabela_Produtos[ID_Produto],Tabela_Produtos[Preco_Unitario_Venda])</f>
        <v>35</v>
      </c>
      <c r="J501" s="6">
        <f ca="1">Tabela_Movimentacao_Geral[[#This Row],[Quantidade]] * Tabela_Movimentacao_Geral[[#This Row],[Valor Unitário]]</f>
        <v>630</v>
      </c>
      <c r="K501" t="str">
        <f ca="1">IF(
   $O$7="Desbloqueado",
   CHOOSE(RANDBETWEEN(1,3),"Pago","Pendente","Atrasado"),
   Tabela_Movimentacao_Geral[[#This Row],[Status Financeiro]]
)</f>
        <v>Pago</v>
      </c>
      <c r="L501" t="str">
        <f ca="1">IF(
   $O$7="Desbloqueado",
   CHOOSE(RANDBETWEEN(1,3),"Entregue","Em Rota","Aguardando"),
   Tabela_Movimentacao_Geral[[#This Row],[Status Logistico]]
)</f>
        <v>Em Rota</v>
      </c>
      <c r="M50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02" spans="1:13" x14ac:dyDescent="0.3">
      <c r="A502" t="str">
        <f t="shared" si="7"/>
        <v>T0501</v>
      </c>
      <c r="B502" s="1">
        <v>45909</v>
      </c>
      <c r="C502" t="str" cm="1">
        <f t="array" aca="1" ref="C502" ca="1">IF($O$7="Desbloqueado",
  _xlfn.LET(
    _xlpm.saldo_atual, SUM(($C$2:$C501="Entrada")*($F$2:$F501=Tabela_Movimentacao_Geral[[#This Row],[ID Produto]])*($H$2:$H501) - ($C$2:$C501="Saida")*($F$2:$F501=Tabela_Movimentacao_Geral[[#This Row],[ID Produto]])*($H$2:$H501)),
    IF(_xlpm.saldo_atual &gt; 0, IF(RANDBETWEEN(0,10)&gt;3,"Saida","Entrada"), "Entrada")
  ),
  Tabela_Movimentacao_Geral[[#This Row],[Tipo Fluxo]]
)</f>
        <v>Entrada</v>
      </c>
      <c r="D5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5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502" t="str">
        <f ca="1">IF(
  $O$7="Desbloqueado",
  "PROD"&amp;TEXT(RANDBETWEEN(1,200),"000"),
  Tabela_Movimentacao_Geral[[#This Row],[ID Produto]]
)</f>
        <v>PROD159</v>
      </c>
      <c r="G502" t="str">
        <f ca="1">_xlfn.XLOOKUP(Tabela_Movimentacao_Geral[[#This Row],[ID Produto]], Tabela_Produtos[ID_Produto],Tabela_Produtos[Descricao_Produto],"Produto não encontrado")</f>
        <v>Elastico de Borracha 100g</v>
      </c>
      <c r="H502" cm="1">
        <f t="array" aca="1" ref="H502" ca="1">IF(
   $O$7="Desbloqueado",
   _xlfn.LET(
     _xlpm.saldo_atual, SUM(($C$2:$C501="Entrada")*($F$2:$F501=Tabela_Movimentacao_Geral[[#This Row],[ID Produto]])*($H$2:$H501) - ($C$2:$C501="Saida")*($F$2:$F501=Tabela_Movimentacao_Geral[[#This Row],[ID Produto]])*($H$2:$H501)),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502" s="5">
        <f ca="1">_xlfn.XLOOKUP(Tabela_Movimentacao_Geral[[#This Row],[ID Produto]], Tabela_Produtos[ID_Produto],Tabela_Produtos[Preco_Unitario_Venda])</f>
        <v>12</v>
      </c>
      <c r="J502" s="6">
        <f ca="1">Tabela_Movimentacao_Geral[[#This Row],[Quantidade]] * Tabela_Movimentacao_Geral[[#This Row],[Valor Unitário]]</f>
        <v>84</v>
      </c>
      <c r="K502" t="str">
        <f ca="1">IF(
   $O$7="Desbloqueado",
   CHOOSE(RANDBETWEEN(1,3),"Pago","Pendente","Atrasado"),
   Tabela_Movimentacao_Geral[[#This Row],[Status Financeiro]]
)</f>
        <v>Pago</v>
      </c>
      <c r="L502" t="str">
        <f ca="1">IF(
   $O$7="Desbloqueado",
   CHOOSE(RANDBETWEEN(1,3),"Entregue","Em Rota","Aguardando"),
   Tabela_Movimentacao_Geral[[#This Row],[Status Logistico]]
)</f>
        <v>Entregue</v>
      </c>
      <c r="M50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45910</v>
      </c>
    </row>
    <row r="503" spans="1:13" x14ac:dyDescent="0.3">
      <c r="A503" t="str">
        <f t="shared" si="7"/>
        <v>T0502</v>
      </c>
      <c r="B503" s="1">
        <v>45909</v>
      </c>
      <c r="C503" t="str" cm="1">
        <f t="array" aca="1" ref="C503" ca="1">IF($O$7="Desbloqueado",
  _xlfn.LET(
    _xlpm.saldo_atual, SUM(($C$2:$C502="Entrada")*($F$2:$F502=Tabela_Movimentacao_Geral[[#This Row],[ID Produto]])*($H$2:$H502) - ($C$2:$C502="Saida")*($F$2:$F502=Tabela_Movimentacao_Geral[[#This Row],[ID Produto]])*($H$2:$H502)),
    IF(_xlpm.saldo_atual &gt; 0, IF(RANDBETWEEN(0,10)&gt;3,"Saida","Entrada"), "Entrada")
  ),
  Tabela_Movimentacao_Geral[[#This Row],[Tipo Fluxo]]
)</f>
        <v>Entrada</v>
      </c>
      <c r="D5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5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503" t="str">
        <f ca="1">IF(
  $O$7="Desbloqueado",
  "PROD"&amp;TEXT(RANDBETWEEN(1,200),"000"),
  Tabela_Movimentacao_Geral[[#This Row],[ID Produto]]
)</f>
        <v>PROD085</v>
      </c>
      <c r="G503" t="str">
        <f ca="1">_xlfn.XLOOKUP(Tabela_Movimentacao_Geral[[#This Row],[ID Produto]], Tabela_Produtos[ID_Produto],Tabela_Produtos[Descricao_Produto],"Produto não encontrado")</f>
        <v>Cabo Optico Patch Cord 3m</v>
      </c>
      <c r="H503" cm="1">
        <f t="array" aca="1" ref="H503" ca="1">IF(
   $O$7="Desbloqueado",
   _xlfn.LET(
     _xlpm.saldo_atual, SUM(($C$2:$C502="Entrada")*($F$2:$F502=Tabela_Movimentacao_Geral[[#This Row],[ID Produto]])*($H$2:$H502) - ($C$2:$C502="Saida")*($F$2:$F502=Tabela_Movimentacao_Geral[[#This Row],[ID Produto]])*($H$2:$H502)),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103</v>
      </c>
      <c r="I503" s="5">
        <f ca="1">_xlfn.XLOOKUP(Tabela_Movimentacao_Geral[[#This Row],[ID Produto]], Tabela_Produtos[ID_Produto],Tabela_Produtos[Preco_Unitario_Venda])</f>
        <v>85</v>
      </c>
      <c r="J503" s="6">
        <f ca="1">Tabela_Movimentacao_Geral[[#This Row],[Quantidade]] * Tabela_Movimentacao_Geral[[#This Row],[Valor Unitário]]</f>
        <v>8755</v>
      </c>
      <c r="K503" t="str">
        <f ca="1">IF(
   $O$7="Desbloqueado",
   CHOOSE(RANDBETWEEN(1,3),"Pago","Pendente","Atrasado"),
   Tabela_Movimentacao_Geral[[#This Row],[Status Financeiro]]
)</f>
        <v>Pendente</v>
      </c>
      <c r="L503" t="str">
        <f ca="1">IF(
   $O$7="Desbloqueado",
   CHOOSE(RANDBETWEEN(1,3),"Entregue","Em Rota","Aguardando"),
   Tabela_Movimentacao_Geral[[#This Row],[Status Logistico]]
)</f>
        <v>Em Rota</v>
      </c>
      <c r="M50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45916</v>
      </c>
    </row>
    <row r="504" spans="1:13" x14ac:dyDescent="0.3">
      <c r="A504" t="str">
        <f t="shared" si="7"/>
        <v>T0503</v>
      </c>
      <c r="B504" s="1">
        <v>45909</v>
      </c>
      <c r="C504" t="str" cm="1">
        <f t="array" aca="1" ref="C504" ca="1">IF($O$7="Desbloqueado",
  _xlfn.LET(
    _xlpm.saldo_atual, SUM(($C$2:$C503="Entrada")*($F$2:$F503=Tabela_Movimentacao_Geral[[#This Row],[ID Produto]])*($H$2:$H503) - ($C$2:$C503="Saida")*($F$2:$F503=Tabela_Movimentacao_Geral[[#This Row],[ID Produto]])*($H$2:$H503)),
    IF(_xlpm.saldo_atual &gt; 0, IF(RANDBETWEEN(0,10)&gt;3,"Saida","Entrada"), "Entrada")
  ),
  Tabela_Movimentacao_Geral[[#This Row],[Tipo Fluxo]]
)</f>
        <v>Entrada</v>
      </c>
      <c r="D5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5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504" t="str">
        <f ca="1">IF(
  $O$7="Desbloqueado",
  "PROD"&amp;TEXT(RANDBETWEEN(1,200),"000"),
  Tabela_Movimentacao_Geral[[#This Row],[ID Produto]]
)</f>
        <v>PROD120</v>
      </c>
      <c r="G504" t="str">
        <f ca="1">_xlfn.XLOOKUP(Tabela_Movimentacao_Geral[[#This Row],[ID Produto]], Tabela_Produtos[ID_Produto],Tabela_Produtos[Descricao_Produto],"Produto não encontrado")</f>
        <v>Conversor de Midia Fibra</v>
      </c>
      <c r="H504" cm="1">
        <f t="array" aca="1" ref="H504" ca="1">IF(
   $O$7="Desbloqueado",
   _xlfn.LET(
     _xlpm.saldo_atual, SUM(($C$2:$C503="Entrada")*($F$2:$F503=Tabela_Movimentacao_Geral[[#This Row],[ID Produto]])*($H$2:$H503) - ($C$2:$C503="Saida")*($F$2:$F503=Tabela_Movimentacao_Geral[[#This Row],[ID Produto]])*($H$2:$H503)),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92</v>
      </c>
      <c r="I504" s="5">
        <f ca="1">_xlfn.XLOOKUP(Tabela_Movimentacao_Geral[[#This Row],[ID Produto]], Tabela_Produtos[ID_Produto],Tabela_Produtos[Preco_Unitario_Venda])</f>
        <v>320</v>
      </c>
      <c r="J504" s="6">
        <f ca="1">Tabela_Movimentacao_Geral[[#This Row],[Quantidade]] * Tabela_Movimentacao_Geral[[#This Row],[Valor Unitário]]</f>
        <v>29440</v>
      </c>
      <c r="K504" t="str">
        <f ca="1">IF(
   $O$7="Desbloqueado",
   CHOOSE(RANDBETWEEN(1,3),"Pago","Pendente","Atrasado"),
   Tabela_Movimentacao_Geral[[#This Row],[Status Financeiro]]
)</f>
        <v>Atrasado</v>
      </c>
      <c r="L504" t="str">
        <f ca="1">IF(
   $O$7="Desbloqueado",
   CHOOSE(RANDBETWEEN(1,3),"Entregue","Em Rota","Aguardando"),
   Tabela_Movimentacao_Geral[[#This Row],[Status Logistico]]
)</f>
        <v>Entregue</v>
      </c>
      <c r="M50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45921</v>
      </c>
    </row>
    <row r="505" spans="1:13" x14ac:dyDescent="0.3">
      <c r="A505" t="str">
        <f t="shared" si="7"/>
        <v>T0504</v>
      </c>
      <c r="B505" s="1">
        <v>45909</v>
      </c>
      <c r="C505" t="str" cm="1">
        <f t="array" aca="1" ref="C505" ca="1">IF($O$7="Desbloqueado",
  _xlfn.LET(
    _xlpm.saldo_atual, SUM(($C$2:$C504="Entrada")*($F$2:$F504=Tabela_Movimentacao_Geral[[#This Row],[ID Produto]])*($H$2:$H504) - ($C$2:$C504="Saida")*($F$2:$F504=Tabela_Movimentacao_Geral[[#This Row],[ID Produto]])*($H$2:$H504)),
    IF(_xlpm.saldo_atual &gt; 0, IF(RANDBETWEEN(0,10)&gt;3,"Saida","Entrada"), "Entrada")
  ),
  Tabela_Movimentacao_Geral[[#This Row],[Tipo Fluxo]]
)</f>
        <v>Saida</v>
      </c>
      <c r="D5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5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505" t="str">
        <f ca="1">IF(
  $O$7="Desbloqueado",
  "PROD"&amp;TEXT(RANDBETWEEN(1,200),"000"),
  Tabela_Movimentacao_Geral[[#This Row],[ID Produto]]
)</f>
        <v>PROD010</v>
      </c>
      <c r="G505" t="str">
        <f ca="1">_xlfn.XLOOKUP(Tabela_Movimentacao_Geral[[#This Row],[ID Produto]], Tabela_Produtos[ID_Produto],Tabela_Produtos[Descricao_Produto],"Produto não encontrado")</f>
        <v>SSD 480GB SATA3</v>
      </c>
      <c r="H505" cm="1">
        <f t="array" aca="1" ref="H505" ca="1">IF(
   $O$7="Desbloqueado",
   _xlfn.LET(
     _xlpm.saldo_atual, SUM(($C$2:$C504="Entrada")*($F$2:$F504=Tabela_Movimentacao_Geral[[#This Row],[ID Produto]])*($H$2:$H504) - ($C$2:$C504="Saida")*($F$2:$F504=Tabela_Movimentacao_Geral[[#This Row],[ID Produto]])*($H$2:$H504)),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505" s="5">
        <f ca="1">_xlfn.XLOOKUP(Tabela_Movimentacao_Geral[[#This Row],[ID Produto]], Tabela_Produtos[ID_Produto],Tabela_Produtos[Preco_Unitario_Venda])</f>
        <v>320</v>
      </c>
      <c r="J505" s="6">
        <f ca="1">Tabela_Movimentacao_Geral[[#This Row],[Quantidade]] * Tabela_Movimentacao_Geral[[#This Row],[Valor Unitário]]</f>
        <v>320</v>
      </c>
      <c r="K505" t="str">
        <f ca="1">IF(
   $O$7="Desbloqueado",
   CHOOSE(RANDBETWEEN(1,3),"Pago","Pendente","Atrasado"),
   Tabela_Movimentacao_Geral[[#This Row],[Status Financeiro]]
)</f>
        <v>Pendente</v>
      </c>
      <c r="L505" t="str">
        <f ca="1">IF(
   $O$7="Desbloqueado",
   CHOOSE(RANDBETWEEN(1,3),"Entregue","Em Rota","Aguardando"),
   Tabela_Movimentacao_Geral[[#This Row],[Status Logistico]]
)</f>
        <v>Em Rota</v>
      </c>
      <c r="M50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06" spans="1:13" x14ac:dyDescent="0.3">
      <c r="A506" t="str">
        <f t="shared" si="7"/>
        <v>T0505</v>
      </c>
      <c r="B506" s="1">
        <v>45910</v>
      </c>
      <c r="C506" t="str" cm="1">
        <f t="array" aca="1" ref="C506" ca="1">IF($O$7="Desbloqueado",
  _xlfn.LET(
    _xlpm.saldo_atual, SUM(($C$2:$C505="Entrada")*($F$2:$F505=Tabela_Movimentacao_Geral[[#This Row],[ID Produto]])*($H$2:$H505) - ($C$2:$C505="Saida")*($F$2:$F505=Tabela_Movimentacao_Geral[[#This Row],[ID Produto]])*($H$2:$H505)),
    IF(_xlpm.saldo_atual &gt; 0, IF(RANDBETWEEN(0,10)&gt;3,"Saida","Entrada"), "Entrada")
  ),
  Tabela_Movimentacao_Geral[[#This Row],[Tipo Fluxo]]
)</f>
        <v>Entrada</v>
      </c>
      <c r="D5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5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506" t="str">
        <f ca="1">IF(
  $O$7="Desbloqueado",
  "PROD"&amp;TEXT(RANDBETWEEN(1,200),"000"),
  Tabela_Movimentacao_Geral[[#This Row],[ID Produto]]
)</f>
        <v>PROD133</v>
      </c>
      <c r="G506" t="str">
        <f ca="1">_xlfn.XLOOKUP(Tabela_Movimentacao_Geral[[#This Row],[ID Produto]], Tabela_Produtos[ID_Produto],Tabela_Produtos[Descricao_Produto],"Produto não encontrado")</f>
        <v>Pendrive 128GB Metal</v>
      </c>
      <c r="H506" cm="1">
        <f t="array" aca="1" ref="H506" ca="1">IF(
   $O$7="Desbloqueado",
   _xlfn.LET(
     _xlpm.saldo_atual, SUM(($C$2:$C505="Entrada")*($F$2:$F505=Tabela_Movimentacao_Geral[[#This Row],[ID Produto]])*($H$2:$H505) - ($C$2:$C505="Saida")*($F$2:$F505=Tabela_Movimentacao_Geral[[#This Row],[ID Produto]])*($H$2:$H505)),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77</v>
      </c>
      <c r="I506" s="5">
        <f ca="1">_xlfn.XLOOKUP(Tabela_Movimentacao_Geral[[#This Row],[ID Produto]], Tabela_Produtos[ID_Produto],Tabela_Produtos[Preco_Unitario_Venda])</f>
        <v>110</v>
      </c>
      <c r="J506" s="6">
        <f ca="1">Tabela_Movimentacao_Geral[[#This Row],[Quantidade]] * Tabela_Movimentacao_Geral[[#This Row],[Valor Unitário]]</f>
        <v>8470</v>
      </c>
      <c r="K506" t="str">
        <f ca="1">IF(
   $O$7="Desbloqueado",
   CHOOSE(RANDBETWEEN(1,3),"Pago","Pendente","Atrasado"),
   Tabela_Movimentacao_Geral[[#This Row],[Status Financeiro]]
)</f>
        <v>Pago</v>
      </c>
      <c r="L506" t="str">
        <f ca="1">IF(
   $O$7="Desbloqueado",
   CHOOSE(RANDBETWEEN(1,3),"Entregue","Em Rota","Aguardando"),
   Tabela_Movimentacao_Geral[[#This Row],[Status Logistico]]
)</f>
        <v>Em Rota</v>
      </c>
      <c r="M50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45918</v>
      </c>
    </row>
    <row r="507" spans="1:13" x14ac:dyDescent="0.3">
      <c r="A507" t="str">
        <f t="shared" si="7"/>
        <v>T0506</v>
      </c>
      <c r="B507" s="1">
        <v>45911</v>
      </c>
      <c r="C507" t="str" cm="1">
        <f t="array" aca="1" ref="C507" ca="1">IF($O$7="Desbloqueado",
  _xlfn.LET(
    _xlpm.saldo_atual, SUM(($C$2:$C506="Entrada")*($F$2:$F506=Tabela_Movimentacao_Geral[[#This Row],[ID Produto]])*($H$2:$H506) - ($C$2:$C506="Saida")*($F$2:$F506=Tabela_Movimentacao_Geral[[#This Row],[ID Produto]])*($H$2:$H506)),
    IF(_xlpm.saldo_atual &gt; 0, IF(RANDBETWEEN(0,10)&gt;3,"Saida","Entrada"), "Entrada")
  ),
  Tabela_Movimentacao_Geral[[#This Row],[Tipo Fluxo]]
)</f>
        <v>Saida</v>
      </c>
      <c r="D5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5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507" t="str">
        <f ca="1">IF(
  $O$7="Desbloqueado",
  "PROD"&amp;TEXT(RANDBETWEEN(1,200),"000"),
  Tabela_Movimentacao_Geral[[#This Row],[ID Produto]]
)</f>
        <v>PROD155</v>
      </c>
      <c r="G507" t="str">
        <f ca="1">_xlfn.XLOOKUP(Tabela_Movimentacao_Geral[[#This Row],[ID Produto]], Tabela_Produtos[ID_Produto],Tabela_Produtos[Descricao_Produto],"Produto não encontrado")</f>
        <v>Lâmina Estilete 10un</v>
      </c>
      <c r="H507" cm="1">
        <f t="array" aca="1" ref="H507" ca="1">IF(
   $O$7="Desbloqueado",
   _xlfn.LET(
     _xlpm.saldo_atual, SUM(($C$2:$C506="Entrada")*($F$2:$F506=Tabela_Movimentacao_Geral[[#This Row],[ID Produto]])*($H$2:$H506) - ($C$2:$C506="Saida")*($F$2:$F506=Tabela_Movimentacao_Geral[[#This Row],[ID Produto]])*($H$2:$H506)),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58</v>
      </c>
      <c r="I507" s="5">
        <f ca="1">_xlfn.XLOOKUP(Tabela_Movimentacao_Geral[[#This Row],[ID Produto]], Tabela_Produtos[ID_Produto],Tabela_Produtos[Preco_Unitario_Venda])</f>
        <v>12</v>
      </c>
      <c r="J507" s="6">
        <f ca="1">Tabela_Movimentacao_Geral[[#This Row],[Quantidade]] * Tabela_Movimentacao_Geral[[#This Row],[Valor Unitário]]</f>
        <v>696</v>
      </c>
      <c r="K507" t="str">
        <f ca="1">IF(
   $O$7="Desbloqueado",
   CHOOSE(RANDBETWEEN(1,3),"Pago","Pendente","Atrasado"),
   Tabela_Movimentacao_Geral[[#This Row],[Status Financeiro]]
)</f>
        <v>Atrasado</v>
      </c>
      <c r="L507" t="str">
        <f ca="1">IF(
   $O$7="Desbloqueado",
   CHOOSE(RANDBETWEEN(1,3),"Entregue","Em Rota","Aguardando"),
   Tabela_Movimentacao_Geral[[#This Row],[Status Logistico]]
)</f>
        <v>Entregue</v>
      </c>
      <c r="M50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08" spans="1:13" x14ac:dyDescent="0.3">
      <c r="A508" t="str">
        <f t="shared" si="7"/>
        <v>T0507</v>
      </c>
      <c r="B508" s="1">
        <v>45912</v>
      </c>
      <c r="C508" t="str" cm="1">
        <f t="array" aca="1" ref="C508" ca="1">IF($O$7="Desbloqueado",
  _xlfn.LET(
    _xlpm.saldo_atual, SUM(($C$2:$C507="Entrada")*($F$2:$F507=Tabela_Movimentacao_Geral[[#This Row],[ID Produto]])*($H$2:$H507) - ($C$2:$C507="Saida")*($F$2:$F507=Tabela_Movimentacao_Geral[[#This Row],[ID Produto]])*($H$2:$H507)),
    IF(_xlpm.saldo_atual &gt; 0, IF(RANDBETWEEN(0,10)&gt;3,"Saida","Entrada"), "Entrada")
  ),
  Tabela_Movimentacao_Geral[[#This Row],[Tipo Fluxo]]
)</f>
        <v>Saida</v>
      </c>
      <c r="D5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5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508" t="str">
        <f ca="1">IF(
  $O$7="Desbloqueado",
  "PROD"&amp;TEXT(RANDBETWEEN(1,200),"000"),
  Tabela_Movimentacao_Geral[[#This Row],[ID Produto]]
)</f>
        <v>PROD031</v>
      </c>
      <c r="G508" t="str">
        <f ca="1">_xlfn.XLOOKUP(Tabela_Movimentacao_Geral[[#This Row],[ID Produto]], Tabela_Produtos[ID_Produto],Tabela_Produtos[Descricao_Produto],"Produto não encontrado")</f>
        <v>Nobreak 1500VA Biz</v>
      </c>
      <c r="H508" cm="1">
        <f t="array" aca="1" ref="H508" ca="1">IF(
   $O$7="Desbloqueado",
   _xlfn.LET(
     _xlpm.saldo_atual, SUM(($C$2:$C507="Entrada")*($F$2:$F507=Tabela_Movimentacao_Geral[[#This Row],[ID Produto]])*($H$2:$H507) - ($C$2:$C507="Saida")*($F$2:$F507=Tabela_Movimentacao_Geral[[#This Row],[ID Produto]])*($H$2:$H507)),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508" s="5">
        <f ca="1">_xlfn.XLOOKUP(Tabela_Movimentacao_Geral[[#This Row],[ID Produto]], Tabela_Produtos[ID_Produto],Tabela_Produtos[Preco_Unitario_Venda])</f>
        <v>1450</v>
      </c>
      <c r="J508" s="6">
        <f ca="1">Tabela_Movimentacao_Geral[[#This Row],[Quantidade]] * Tabela_Movimentacao_Geral[[#This Row],[Valor Unitário]]</f>
        <v>14500</v>
      </c>
      <c r="K508" t="str">
        <f ca="1">IF(
   $O$7="Desbloqueado",
   CHOOSE(RANDBETWEEN(1,3),"Pago","Pendente","Atrasado"),
   Tabela_Movimentacao_Geral[[#This Row],[Status Financeiro]]
)</f>
        <v>Atrasado</v>
      </c>
      <c r="L508" t="str">
        <f ca="1">IF(
   $O$7="Desbloqueado",
   CHOOSE(RANDBETWEEN(1,3),"Entregue","Em Rota","Aguardando"),
   Tabela_Movimentacao_Geral[[#This Row],[Status Logistico]]
)</f>
        <v>Em Rota</v>
      </c>
      <c r="M50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09" spans="1:13" x14ac:dyDescent="0.3">
      <c r="A509" t="str">
        <f t="shared" si="7"/>
        <v>T0508</v>
      </c>
      <c r="B509" s="1">
        <v>45915</v>
      </c>
      <c r="C509" t="str" cm="1">
        <f t="array" aca="1" ref="C509" ca="1">IF($O$7="Desbloqueado",
  _xlfn.LET(
    _xlpm.saldo_atual, SUM(($C$2:$C508="Entrada")*($F$2:$F508=Tabela_Movimentacao_Geral[[#This Row],[ID Produto]])*($H$2:$H508) - ($C$2:$C508="Saida")*($F$2:$F508=Tabela_Movimentacao_Geral[[#This Row],[ID Produto]])*($H$2:$H508)),
    IF(_xlpm.saldo_atual &gt; 0, IF(RANDBETWEEN(0,10)&gt;3,"Saida","Entrada"), "Entrada")
  ),
  Tabela_Movimentacao_Geral[[#This Row],[Tipo Fluxo]]
)</f>
        <v>Saida</v>
      </c>
      <c r="D5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5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509" t="str">
        <f ca="1">IF(
  $O$7="Desbloqueado",
  "PROD"&amp;TEXT(RANDBETWEEN(1,200),"000"),
  Tabela_Movimentacao_Geral[[#This Row],[ID Produto]]
)</f>
        <v>PROD122</v>
      </c>
      <c r="G509" t="str">
        <f ca="1">_xlfn.XLOOKUP(Tabela_Movimentacao_Geral[[#This Row],[ID Produto]], Tabela_Produtos[ID_Produto],Tabela_Produtos[Descricao_Produto],"Produto não encontrado")</f>
        <v>Windows Server 2022 CAL</v>
      </c>
      <c r="H509" cm="1">
        <f t="array" aca="1" ref="H509" ca="1">IF(
   $O$7="Desbloqueado",
   _xlfn.LET(
     _xlpm.saldo_atual, SUM(($C$2:$C508="Entrada")*($F$2:$F508=Tabela_Movimentacao_Geral[[#This Row],[ID Produto]])*($H$2:$H508) - ($C$2:$C508="Saida")*($F$2:$F508=Tabela_Movimentacao_Geral[[#This Row],[ID Produto]])*($H$2:$H508)),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40</v>
      </c>
      <c r="I509" s="5">
        <f ca="1">_xlfn.XLOOKUP(Tabela_Movimentacao_Geral[[#This Row],[ID Produto]], Tabela_Produtos[ID_Produto],Tabela_Produtos[Preco_Unitario_Venda])</f>
        <v>180</v>
      </c>
      <c r="J509" s="6">
        <f ca="1">Tabela_Movimentacao_Geral[[#This Row],[Quantidade]] * Tabela_Movimentacao_Geral[[#This Row],[Valor Unitário]]</f>
        <v>7200</v>
      </c>
      <c r="K509" t="str">
        <f ca="1">IF(
   $O$7="Desbloqueado",
   CHOOSE(RANDBETWEEN(1,3),"Pago","Pendente","Atrasado"),
   Tabela_Movimentacao_Geral[[#This Row],[Status Financeiro]]
)</f>
        <v>Pendente</v>
      </c>
      <c r="L509" t="str">
        <f ca="1">IF(
   $O$7="Desbloqueado",
   CHOOSE(RANDBETWEEN(1,3),"Entregue","Em Rota","Aguardando"),
   Tabela_Movimentacao_Geral[[#This Row],[Status Logistico]]
)</f>
        <v>Entregue</v>
      </c>
      <c r="M50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10" spans="1:13" x14ac:dyDescent="0.3">
      <c r="A510" t="str">
        <f t="shared" si="7"/>
        <v>T0509</v>
      </c>
      <c r="B510" s="1">
        <v>45915</v>
      </c>
      <c r="C510" t="str" cm="1">
        <f t="array" aca="1" ref="C510" ca="1">IF($O$7="Desbloqueado",
  _xlfn.LET(
    _xlpm.saldo_atual, SUM(($C$2:$C509="Entrada")*($F$2:$F509=Tabela_Movimentacao_Geral[[#This Row],[ID Produto]])*($H$2:$H509) - ($C$2:$C509="Saida")*($F$2:$F509=Tabela_Movimentacao_Geral[[#This Row],[ID Produto]])*($H$2:$H509)),
    IF(_xlpm.saldo_atual &gt; 0, IF(RANDBETWEEN(0,10)&gt;3,"Saida","Entrada"), "Entrada")
  ),
  Tabela_Movimentacao_Geral[[#This Row],[Tipo Fluxo]]
)</f>
        <v>Saida</v>
      </c>
      <c r="D5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5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510" t="str">
        <f ca="1">IF(
  $O$7="Desbloqueado",
  "PROD"&amp;TEXT(RANDBETWEEN(1,200),"000"),
  Tabela_Movimentacao_Geral[[#This Row],[ID Produto]]
)</f>
        <v>PROD018</v>
      </c>
      <c r="G510" t="str">
        <f ca="1">_xlfn.XLOOKUP(Tabela_Movimentacao_Geral[[#This Row],[ID Produto]], Tabela_Produtos[ID_Produto],Tabela_Produtos[Descricao_Produto],"Produto não encontrado")</f>
        <v>HD Externo 1TB</v>
      </c>
      <c r="H510" cm="1">
        <f t="array" aca="1" ref="H510" ca="1">IF(
   $O$7="Desbloqueado",
   _xlfn.LET(
     _xlpm.saldo_atual, SUM(($C$2:$C509="Entrada")*($F$2:$F509=Tabela_Movimentacao_Geral[[#This Row],[ID Produto]])*($H$2:$H509) - ($C$2:$C509="Saida")*($F$2:$F509=Tabela_Movimentacao_Geral[[#This Row],[ID Produto]])*($H$2:$H509)),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510" s="5">
        <f ca="1">_xlfn.XLOOKUP(Tabela_Movimentacao_Geral[[#This Row],[ID Produto]], Tabela_Produtos[ID_Produto],Tabela_Produtos[Preco_Unitario_Venda])</f>
        <v>380</v>
      </c>
      <c r="J510" s="6">
        <f ca="1">Tabela_Movimentacao_Geral[[#This Row],[Quantidade]] * Tabela_Movimentacao_Geral[[#This Row],[Valor Unitário]]</f>
        <v>3040</v>
      </c>
      <c r="K510" t="str">
        <f ca="1">IF(
   $O$7="Desbloqueado",
   CHOOSE(RANDBETWEEN(1,3),"Pago","Pendente","Atrasado"),
   Tabela_Movimentacao_Geral[[#This Row],[Status Financeiro]]
)</f>
        <v>Pago</v>
      </c>
      <c r="L510" t="str">
        <f ca="1">IF(
   $O$7="Desbloqueado",
   CHOOSE(RANDBETWEEN(1,3),"Entregue","Em Rota","Aguardando"),
   Tabela_Movimentacao_Geral[[#This Row],[Status Logistico]]
)</f>
        <v>Em Rota</v>
      </c>
      <c r="M51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11" spans="1:13" x14ac:dyDescent="0.3">
      <c r="A511" t="str">
        <f t="shared" si="7"/>
        <v>T0510</v>
      </c>
      <c r="B511" s="1">
        <v>45915</v>
      </c>
      <c r="C511" t="str" cm="1">
        <f t="array" aca="1" ref="C511" ca="1">IF($O$7="Desbloqueado",
  _xlfn.LET(
    _xlpm.saldo_atual, SUM(($C$2:$C510="Entrada")*($F$2:$F510=Tabela_Movimentacao_Geral[[#This Row],[ID Produto]])*($H$2:$H510) - ($C$2:$C510="Saida")*($F$2:$F510=Tabela_Movimentacao_Geral[[#This Row],[ID Produto]])*($H$2:$H510)),
    IF(_xlpm.saldo_atual &gt; 0, IF(RANDBETWEEN(0,10)&gt;3,"Saida","Entrada"), "Entrada")
  ),
  Tabela_Movimentacao_Geral[[#This Row],[Tipo Fluxo]]
)</f>
        <v>Saida</v>
      </c>
      <c r="D5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5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511" t="str">
        <f ca="1">IF(
  $O$7="Desbloqueado",
  "PROD"&amp;TEXT(RANDBETWEEN(1,200),"000"),
  Tabela_Movimentacao_Geral[[#This Row],[ID Produto]]
)</f>
        <v>PROD141</v>
      </c>
      <c r="G511" t="str">
        <f ca="1">_xlfn.XLOOKUP(Tabela_Movimentacao_Geral[[#This Row],[ID Produto]], Tabela_Produtos[ID_Produto],Tabela_Produtos[Descricao_Produto],"Produto não encontrado")</f>
        <v>Filtro Privacidade 14pol</v>
      </c>
      <c r="H511" cm="1">
        <f t="array" aca="1" ref="H511" ca="1">IF(
   $O$7="Desbloqueado",
   _xlfn.LET(
     _xlpm.saldo_atual, SUM(($C$2:$C510="Entrada")*($F$2:$F510=Tabela_Movimentacao_Geral[[#This Row],[ID Produto]])*($H$2:$H510) - ($C$2:$C510="Saida")*($F$2:$F510=Tabela_Movimentacao_Geral[[#This Row],[ID Produto]])*($H$2:$H510)),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511" s="5">
        <f ca="1">_xlfn.XLOOKUP(Tabela_Movimentacao_Geral[[#This Row],[ID Produto]], Tabela_Produtos[ID_Produto],Tabela_Produtos[Preco_Unitario_Venda])</f>
        <v>190</v>
      </c>
      <c r="J511" s="6">
        <f ca="1">Tabela_Movimentacao_Geral[[#This Row],[Quantidade]] * Tabela_Movimentacao_Geral[[#This Row],[Valor Unitário]]</f>
        <v>3040</v>
      </c>
      <c r="K511" t="str">
        <f ca="1">IF(
   $O$7="Desbloqueado",
   CHOOSE(RANDBETWEEN(1,3),"Pago","Pendente","Atrasado"),
   Tabela_Movimentacao_Geral[[#This Row],[Status Financeiro]]
)</f>
        <v>Pendente</v>
      </c>
      <c r="L511" t="str">
        <f ca="1">IF(
   $O$7="Desbloqueado",
   CHOOSE(RANDBETWEEN(1,3),"Entregue","Em Rota","Aguardando"),
   Tabela_Movimentacao_Geral[[#This Row],[Status Logistico]]
)</f>
        <v>Aguardando</v>
      </c>
      <c r="M51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12" spans="1:13" x14ac:dyDescent="0.3">
      <c r="A512" t="str">
        <f t="shared" si="7"/>
        <v>T0511</v>
      </c>
      <c r="B512" s="1">
        <v>45915</v>
      </c>
      <c r="C512" t="str" cm="1">
        <f t="array" aca="1" ref="C512" ca="1">IF($O$7="Desbloqueado",
  _xlfn.LET(
    _xlpm.saldo_atual, SUM(($C$2:$C511="Entrada")*($F$2:$F511=Tabela_Movimentacao_Geral[[#This Row],[ID Produto]])*($H$2:$H511) - ($C$2:$C511="Saida")*($F$2:$F511=Tabela_Movimentacao_Geral[[#This Row],[ID Produto]])*($H$2:$H511)),
    IF(_xlpm.saldo_atual &gt; 0, IF(RANDBETWEEN(0,10)&gt;3,"Saida","Entrada"), "Entrada")
  ),
  Tabela_Movimentacao_Geral[[#This Row],[Tipo Fluxo]]
)</f>
        <v>Entrada</v>
      </c>
      <c r="D5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5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512" t="str">
        <f ca="1">IF(
  $O$7="Desbloqueado",
  "PROD"&amp;TEXT(RANDBETWEEN(1,200),"000"),
  Tabela_Movimentacao_Geral[[#This Row],[ID Produto]]
)</f>
        <v>PROD079</v>
      </c>
      <c r="G512" t="str">
        <f ca="1">_xlfn.XLOOKUP(Tabela_Movimentacao_Geral[[#This Row],[ID Produto]], Tabela_Produtos[ID_Produto],Tabela_Produtos[Descricao_Produto],"Produto não encontrado")</f>
        <v>Maleta para Documentos</v>
      </c>
      <c r="H512" cm="1">
        <f t="array" aca="1" ref="H512" ca="1">IF(
   $O$7="Desbloqueado",
   _xlfn.LET(
     _xlpm.saldo_atual, SUM(($C$2:$C511="Entrada")*($F$2:$F511=Tabela_Movimentacao_Geral[[#This Row],[ID Produto]])*($H$2:$H511) - ($C$2:$C511="Saida")*($F$2:$F511=Tabela_Movimentacao_Geral[[#This Row],[ID Produto]])*($H$2:$H511)),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93</v>
      </c>
      <c r="I512" s="5">
        <f ca="1">_xlfn.XLOOKUP(Tabela_Movimentacao_Geral[[#This Row],[ID Produto]], Tabela_Produtos[ID_Produto],Tabela_Produtos[Preco_Unitario_Venda])</f>
        <v>65</v>
      </c>
      <c r="J512" s="6">
        <f ca="1">Tabela_Movimentacao_Geral[[#This Row],[Quantidade]] * Tabela_Movimentacao_Geral[[#This Row],[Valor Unitário]]</f>
        <v>6045</v>
      </c>
      <c r="K512" t="str">
        <f ca="1">IF(
   $O$7="Desbloqueado",
   CHOOSE(RANDBETWEEN(1,3),"Pago","Pendente","Atrasado"),
   Tabela_Movimentacao_Geral[[#This Row],[Status Financeiro]]
)</f>
        <v>Pago</v>
      </c>
      <c r="L512" t="str">
        <f ca="1">IF(
   $O$7="Desbloqueado",
   CHOOSE(RANDBETWEEN(1,3),"Entregue","Em Rota","Aguardando"),
   Tabela_Movimentacao_Geral[[#This Row],[Status Logistico]]
)</f>
        <v>Em Rota</v>
      </c>
      <c r="M51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45930</v>
      </c>
    </row>
    <row r="513" spans="1:13" x14ac:dyDescent="0.3">
      <c r="A513" t="str">
        <f t="shared" si="7"/>
        <v>T0512</v>
      </c>
      <c r="B513" s="1">
        <v>45917</v>
      </c>
      <c r="C513" t="str" cm="1">
        <f t="array" aca="1" ref="C513" ca="1">IF($O$7="Desbloqueado",
  _xlfn.LET(
    _xlpm.saldo_atual, SUM(($C$2:$C512="Entrada")*($F$2:$F512=Tabela_Movimentacao_Geral[[#This Row],[ID Produto]])*($H$2:$H512) - ($C$2:$C512="Saida")*($F$2:$F512=Tabela_Movimentacao_Geral[[#This Row],[ID Produto]])*($H$2:$H512)),
    IF(_xlpm.saldo_atual &gt; 0, IF(RANDBETWEEN(0,10)&gt;3,"Saida","Entrada"), "Entrada")
  ),
  Tabela_Movimentacao_Geral[[#This Row],[Tipo Fluxo]]
)</f>
        <v>Entrada</v>
      </c>
      <c r="D5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5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513" t="str">
        <f ca="1">IF(
  $O$7="Desbloqueado",
  "PROD"&amp;TEXT(RANDBETWEEN(1,200),"000"),
  Tabela_Movimentacao_Geral[[#This Row],[ID Produto]]
)</f>
        <v>PROD134</v>
      </c>
      <c r="G513" t="str">
        <f ca="1">_xlfn.XLOOKUP(Tabela_Movimentacao_Geral[[#This Row],[ID Produto]], Tabela_Produtos[ID_Produto],Tabela_Produtos[Descricao_Produto],"Produto não encontrado")</f>
        <v>Suporte Projetor Teto</v>
      </c>
      <c r="H513" cm="1">
        <f t="array" aca="1" ref="H513" ca="1">IF(
   $O$7="Desbloqueado",
   _xlfn.LET(
     _xlpm.saldo_atual, SUM(($C$2:$C512="Entrada")*($F$2:$F512=Tabela_Movimentacao_Geral[[#This Row],[ID Produto]])*($H$2:$H512) - ($C$2:$C512="Saida")*($F$2:$F512=Tabela_Movimentacao_Geral[[#This Row],[ID Produto]])*($H$2:$H512)),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51</v>
      </c>
      <c r="I513" s="5">
        <f ca="1">_xlfn.XLOOKUP(Tabela_Movimentacao_Geral[[#This Row],[ID Produto]], Tabela_Produtos[ID_Produto],Tabela_Produtos[Preco_Unitario_Venda])</f>
        <v>155</v>
      </c>
      <c r="J513" s="6">
        <f ca="1">Tabela_Movimentacao_Geral[[#This Row],[Quantidade]] * Tabela_Movimentacao_Geral[[#This Row],[Valor Unitário]]</f>
        <v>7905</v>
      </c>
      <c r="K513" t="str">
        <f ca="1">IF(
   $O$7="Desbloqueado",
   CHOOSE(RANDBETWEEN(1,3),"Pago","Pendente","Atrasado"),
   Tabela_Movimentacao_Geral[[#This Row],[Status Financeiro]]
)</f>
        <v>Pendente</v>
      </c>
      <c r="L513" t="str">
        <f ca="1">IF(
   $O$7="Desbloqueado",
   CHOOSE(RANDBETWEEN(1,3),"Entregue","Em Rota","Aguardando"),
   Tabela_Movimentacao_Geral[[#This Row],[Status Logistico]]
)</f>
        <v>Aguardando</v>
      </c>
      <c r="M51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45918</v>
      </c>
    </row>
    <row r="514" spans="1:13" x14ac:dyDescent="0.3">
      <c r="A514" t="str">
        <f t="shared" si="7"/>
        <v>T0513</v>
      </c>
      <c r="B514" s="1">
        <v>45917</v>
      </c>
      <c r="C514" t="str" cm="1">
        <f t="array" aca="1" ref="C514" ca="1">IF($O$7="Desbloqueado",
  _xlfn.LET(
    _xlpm.saldo_atual, SUM(($C$2:$C513="Entrada")*($F$2:$F513=Tabela_Movimentacao_Geral[[#This Row],[ID Produto]])*($H$2:$H513) - ($C$2:$C513="Saida")*($F$2:$F513=Tabela_Movimentacao_Geral[[#This Row],[ID Produto]])*($H$2:$H513)),
    IF(_xlpm.saldo_atual &gt; 0, IF(RANDBETWEEN(0,10)&gt;3,"Saida","Entrada"), "Entrada")
  ),
  Tabela_Movimentacao_Geral[[#This Row],[Tipo Fluxo]]
)</f>
        <v>Entrada</v>
      </c>
      <c r="D5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5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514" t="str">
        <f ca="1">IF(
  $O$7="Desbloqueado",
  "PROD"&amp;TEXT(RANDBETWEEN(1,200),"000"),
  Tabela_Movimentacao_Geral[[#This Row],[ID Produto]]
)</f>
        <v>PROD009</v>
      </c>
      <c r="G514" t="str">
        <f ca="1">_xlfn.XLOOKUP(Tabela_Movimentacao_Geral[[#This Row],[ID Produto]], Tabela_Produtos[ID_Produto],Tabela_Produtos[Descricao_Produto],"Produto não encontrado")</f>
        <v>Cabo HDMI 2.0 2m</v>
      </c>
      <c r="H514" cm="1">
        <f t="array" aca="1" ref="H514" ca="1">IF(
   $O$7="Desbloqueado",
   _xlfn.LET(
     _xlpm.saldo_atual, SUM(($C$2:$C513="Entrada")*($F$2:$F513=Tabela_Movimentacao_Geral[[#This Row],[ID Produto]])*($H$2:$H513) - ($C$2:$C513="Saida")*($F$2:$F513=Tabela_Movimentacao_Geral[[#This Row],[ID Produto]])*($H$2:$H513)),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514" s="5">
        <f ca="1">_xlfn.XLOOKUP(Tabela_Movimentacao_Geral[[#This Row],[ID Produto]], Tabela_Produtos[ID_Produto],Tabela_Produtos[Preco_Unitario_Venda])</f>
        <v>45</v>
      </c>
      <c r="J514" s="6">
        <f ca="1">Tabela_Movimentacao_Geral[[#This Row],[Quantidade]] * Tabela_Movimentacao_Geral[[#This Row],[Valor Unitário]]</f>
        <v>3240</v>
      </c>
      <c r="K514" t="str">
        <f ca="1">IF(
   $O$7="Desbloqueado",
   CHOOSE(RANDBETWEEN(1,3),"Pago","Pendente","Atrasado"),
   Tabela_Movimentacao_Geral[[#This Row],[Status Financeiro]]
)</f>
        <v>Pendente</v>
      </c>
      <c r="L514" t="str">
        <f ca="1">IF(
   $O$7="Desbloqueado",
   CHOOSE(RANDBETWEEN(1,3),"Entregue","Em Rota","Aguardando"),
   Tabela_Movimentacao_Geral[[#This Row],[Status Logistico]]
)</f>
        <v>Entregue</v>
      </c>
      <c r="M51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45921</v>
      </c>
    </row>
    <row r="515" spans="1:13" x14ac:dyDescent="0.3">
      <c r="A515" t="str">
        <f t="shared" si="7"/>
        <v>T0514</v>
      </c>
      <c r="B515" s="1">
        <v>45917</v>
      </c>
      <c r="C515" t="str" cm="1">
        <f t="array" aca="1" ref="C515" ca="1">IF($O$7="Desbloqueado",
  _xlfn.LET(
    _xlpm.saldo_atual, SUM(($C$2:$C514="Entrada")*($F$2:$F514=Tabela_Movimentacao_Geral[[#This Row],[ID Produto]])*($H$2:$H514) - ($C$2:$C514="Saida")*($F$2:$F514=Tabela_Movimentacao_Geral[[#This Row],[ID Produto]])*($H$2:$H514)),
    IF(_xlpm.saldo_atual &gt; 0, IF(RANDBETWEEN(0,10)&gt;3,"Saida","Entrada"), "Entrada")
  ),
  Tabela_Movimentacao_Geral[[#This Row],[Tipo Fluxo]]
)</f>
        <v>Entrada</v>
      </c>
      <c r="D5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5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515" t="str">
        <f ca="1">IF(
  $O$7="Desbloqueado",
  "PROD"&amp;TEXT(RANDBETWEEN(1,200),"000"),
  Tabela_Movimentacao_Geral[[#This Row],[ID Produto]]
)</f>
        <v>PROD131</v>
      </c>
      <c r="G515" t="str">
        <f ca="1">_xlfn.XLOOKUP(Tabela_Movimentacao_Geral[[#This Row],[ID Produto]], Tabela_Produtos[ID_Produto],Tabela_Produtos[Descricao_Produto],"Produto não encontrado")</f>
        <v>Bateria Nobreak 12V 7Ah</v>
      </c>
      <c r="H515" cm="1">
        <f t="array" aca="1" ref="H515" ca="1">IF(
   $O$7="Desbloqueado",
   _xlfn.LET(
     _xlpm.saldo_atual, SUM(($C$2:$C514="Entrada")*($F$2:$F514=Tabela_Movimentacao_Geral[[#This Row],[ID Produto]])*($H$2:$H514) - ($C$2:$C514="Saida")*($F$2:$F514=Tabela_Movimentacao_Geral[[#This Row],[ID Produto]])*($H$2:$H514)),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117</v>
      </c>
      <c r="I515" s="5">
        <f ca="1">_xlfn.XLOOKUP(Tabela_Movimentacao_Geral[[#This Row],[ID Produto]], Tabela_Produtos[ID_Produto],Tabela_Produtos[Preco_Unitario_Venda])</f>
        <v>145</v>
      </c>
      <c r="J515" s="6">
        <f ca="1">Tabela_Movimentacao_Geral[[#This Row],[Quantidade]] * Tabela_Movimentacao_Geral[[#This Row],[Valor Unitário]]</f>
        <v>16965</v>
      </c>
      <c r="K515" t="str">
        <f ca="1">IF(
   $O$7="Desbloqueado",
   CHOOSE(RANDBETWEEN(1,3),"Pago","Pendente","Atrasado"),
   Tabela_Movimentacao_Geral[[#This Row],[Status Financeiro]]
)</f>
        <v>Pendente</v>
      </c>
      <c r="L515" t="str">
        <f ca="1">IF(
   $O$7="Desbloqueado",
   CHOOSE(RANDBETWEEN(1,3),"Entregue","Em Rota","Aguardando"),
   Tabela_Movimentacao_Geral[[#This Row],[Status Logistico]]
)</f>
        <v>Em Rota</v>
      </c>
      <c r="M51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45920</v>
      </c>
    </row>
    <row r="516" spans="1:13" x14ac:dyDescent="0.3">
      <c r="A516" t="str">
        <f t="shared" si="7"/>
        <v>T0515</v>
      </c>
      <c r="B516" s="1">
        <v>45918</v>
      </c>
      <c r="C516" t="str" cm="1">
        <f t="array" aca="1" ref="C516" ca="1">IF($O$7="Desbloqueado",
  _xlfn.LET(
    _xlpm.saldo_atual, SUM(($C$2:$C515="Entrada")*($F$2:$F515=Tabela_Movimentacao_Geral[[#This Row],[ID Produto]])*($H$2:$H515) - ($C$2:$C515="Saida")*($F$2:$F515=Tabela_Movimentacao_Geral[[#This Row],[ID Produto]])*($H$2:$H515)),
    IF(_xlpm.saldo_atual &gt; 0, IF(RANDBETWEEN(0,10)&gt;3,"Saida","Entrada"), "Entrada")
  ),
  Tabela_Movimentacao_Geral[[#This Row],[Tipo Fluxo]]
)</f>
        <v>Entrada</v>
      </c>
      <c r="D5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5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516" t="str">
        <f ca="1">IF(
  $O$7="Desbloqueado",
  "PROD"&amp;TEXT(RANDBETWEEN(1,200),"000"),
  Tabela_Movimentacao_Geral[[#This Row],[ID Produto]]
)</f>
        <v>PROD015</v>
      </c>
      <c r="G516" t="str">
        <f ca="1">_xlfn.XLOOKUP(Tabela_Movimentacao_Geral[[#This Row],[ID Produto]], Tabela_Produtos[ID_Produto],Tabela_Produtos[Descricao_Produto],"Produto não encontrado")</f>
        <v>Switch 24 Portas Giga</v>
      </c>
      <c r="H516" cm="1">
        <f t="array" aca="1" ref="H516" ca="1">IF(
   $O$7="Desbloqueado",
   _xlfn.LET(
     _xlpm.saldo_atual, SUM(($C$2:$C515="Entrada")*($F$2:$F515=Tabela_Movimentacao_Geral[[#This Row],[ID Produto]])*($H$2:$H515) - ($C$2:$C515="Saida")*($F$2:$F515=Tabela_Movimentacao_Geral[[#This Row],[ID Produto]])*($H$2:$H515)),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516" s="5">
        <f ca="1">_xlfn.XLOOKUP(Tabela_Movimentacao_Geral[[#This Row],[ID Produto]], Tabela_Produtos[ID_Produto],Tabela_Produtos[Preco_Unitario_Venda])</f>
        <v>1200</v>
      </c>
      <c r="J516" s="6">
        <f ca="1">Tabela_Movimentacao_Geral[[#This Row],[Quantidade]] * Tabela_Movimentacao_Geral[[#This Row],[Valor Unitário]]</f>
        <v>6000</v>
      </c>
      <c r="K516" t="str">
        <f ca="1">IF(
   $O$7="Desbloqueado",
   CHOOSE(RANDBETWEEN(1,3),"Pago","Pendente","Atrasado"),
   Tabela_Movimentacao_Geral[[#This Row],[Status Financeiro]]
)</f>
        <v>Pago</v>
      </c>
      <c r="L516" t="str">
        <f ca="1">IF(
   $O$7="Desbloqueado",
   CHOOSE(RANDBETWEEN(1,3),"Entregue","Em Rota","Aguardando"),
   Tabela_Movimentacao_Geral[[#This Row],[Status Logistico]]
)</f>
        <v>Aguardando</v>
      </c>
      <c r="M51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45921</v>
      </c>
    </row>
    <row r="517" spans="1:13" x14ac:dyDescent="0.3">
      <c r="A517" t="str">
        <f t="shared" si="7"/>
        <v>T0516</v>
      </c>
      <c r="B517" s="1">
        <v>45919</v>
      </c>
      <c r="C517" t="str" cm="1">
        <f t="array" aca="1" ref="C517" ca="1">IF($O$7="Desbloqueado",
  _xlfn.LET(
    _xlpm.saldo_atual, SUM(($C$2:$C516="Entrada")*($F$2:$F516=Tabela_Movimentacao_Geral[[#This Row],[ID Produto]])*($H$2:$H516) - ($C$2:$C516="Saida")*($F$2:$F516=Tabela_Movimentacao_Geral[[#This Row],[ID Produto]])*($H$2:$H516)),
    IF(_xlpm.saldo_atual &gt; 0, IF(RANDBETWEEN(0,10)&gt;3,"Saida","Entrada"), "Entrada")
  ),
  Tabela_Movimentacao_Geral[[#This Row],[Tipo Fluxo]]
)</f>
        <v>Saida</v>
      </c>
      <c r="D5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5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517" t="str">
        <f ca="1">IF(
  $O$7="Desbloqueado",
  "PROD"&amp;TEXT(RANDBETWEEN(1,200),"000"),
  Tabela_Movimentacao_Geral[[#This Row],[ID Produto]]
)</f>
        <v>PROD158</v>
      </c>
      <c r="G517" t="str">
        <f ca="1">_xlfn.XLOOKUP(Tabela_Movimentacao_Geral[[#This Row],[ID Produto]], Tabela_Produtos[ID_Produto],Tabela_Produtos[Descricao_Produto],"Produto não encontrado")</f>
        <v>Extrator de Grampos</v>
      </c>
      <c r="H517" cm="1">
        <f t="array" aca="1" ref="H517" ca="1">IF(
   $O$7="Desbloqueado",
   _xlfn.LET(
     _xlpm.saldo_atual, SUM(($C$2:$C516="Entrada")*($F$2:$F516=Tabela_Movimentacao_Geral[[#This Row],[ID Produto]])*($H$2:$H516) - ($C$2:$C516="Saida")*($F$2:$F516=Tabela_Movimentacao_Geral[[#This Row],[ID Produto]])*($H$2:$H516)),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</v>
      </c>
      <c r="I517" s="5">
        <f ca="1">_xlfn.XLOOKUP(Tabela_Movimentacao_Geral[[#This Row],[ID Produto]], Tabela_Produtos[ID_Produto],Tabela_Produtos[Preco_Unitario_Venda])</f>
        <v>7</v>
      </c>
      <c r="J517" s="6">
        <f ca="1">Tabela_Movimentacao_Geral[[#This Row],[Quantidade]] * Tabela_Movimentacao_Geral[[#This Row],[Valor Unitário]]</f>
        <v>238</v>
      </c>
      <c r="K517" t="str">
        <f ca="1">IF(
   $O$7="Desbloqueado",
   CHOOSE(RANDBETWEEN(1,3),"Pago","Pendente","Atrasado"),
   Tabela_Movimentacao_Geral[[#This Row],[Status Financeiro]]
)</f>
        <v>Pago</v>
      </c>
      <c r="L517" t="str">
        <f ca="1">IF(
   $O$7="Desbloqueado",
   CHOOSE(RANDBETWEEN(1,3),"Entregue","Em Rota","Aguardando"),
   Tabela_Movimentacao_Geral[[#This Row],[Status Logistico]]
)</f>
        <v>Entregue</v>
      </c>
      <c r="M51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18" spans="1:13" x14ac:dyDescent="0.3">
      <c r="A518" t="str">
        <f t="shared" si="7"/>
        <v>T0517</v>
      </c>
      <c r="B518" s="1">
        <v>45921</v>
      </c>
      <c r="C518" t="str" cm="1">
        <f t="array" aca="1" ref="C518" ca="1">IF($O$7="Desbloqueado",
  _xlfn.LET(
    _xlpm.saldo_atual, SUM(($C$2:$C517="Entrada")*($F$2:$F517=Tabela_Movimentacao_Geral[[#This Row],[ID Produto]])*($H$2:$H517) - ($C$2:$C517="Saida")*($F$2:$F517=Tabela_Movimentacao_Geral[[#This Row],[ID Produto]])*($H$2:$H517)),
    IF(_xlpm.saldo_atual &gt; 0, IF(RANDBETWEEN(0,10)&gt;3,"Saida","Entrada"), "Entrada")
  ),
  Tabela_Movimentacao_Geral[[#This Row],[Tipo Fluxo]]
)</f>
        <v>Entrada</v>
      </c>
      <c r="D5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5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518" t="str">
        <f ca="1">IF(
  $O$7="Desbloqueado",
  "PROD"&amp;TEXT(RANDBETWEEN(1,200),"000"),
  Tabela_Movimentacao_Geral[[#This Row],[ID Produto]]
)</f>
        <v>PROD046</v>
      </c>
      <c r="G518" t="str">
        <f ca="1">_xlfn.XLOOKUP(Tabela_Movimentacao_Geral[[#This Row],[ID Produto]], Tabela_Produtos[ID_Produto],Tabela_Produtos[Descricao_Produto],"Produto não encontrado")</f>
        <v>Organizador de Cabos Spiral</v>
      </c>
      <c r="H518" cm="1">
        <f t="array" aca="1" ref="H518" ca="1">IF(
   $O$7="Desbloqueado",
   _xlfn.LET(
     _xlpm.saldo_atual, SUM(($C$2:$C517="Entrada")*($F$2:$F517=Tabela_Movimentacao_Geral[[#This Row],[ID Produto]])*($H$2:$H517) - ($C$2:$C517="Saida")*($F$2:$F517=Tabela_Movimentacao_Geral[[#This Row],[ID Produto]])*($H$2:$H517)),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160</v>
      </c>
      <c r="I518" s="5">
        <f ca="1">_xlfn.XLOOKUP(Tabela_Movimentacao_Geral[[#This Row],[ID Produto]], Tabela_Produtos[ID_Produto],Tabela_Produtos[Preco_Unitario_Venda])</f>
        <v>15</v>
      </c>
      <c r="J518" s="6">
        <f ca="1">Tabela_Movimentacao_Geral[[#This Row],[Quantidade]] * Tabela_Movimentacao_Geral[[#This Row],[Valor Unitário]]</f>
        <v>2400</v>
      </c>
      <c r="K518" t="str">
        <f ca="1">IF(
   $O$7="Desbloqueado",
   CHOOSE(RANDBETWEEN(1,3),"Pago","Pendente","Atrasado"),
   Tabela_Movimentacao_Geral[[#This Row],[Status Financeiro]]
)</f>
        <v>Atrasado</v>
      </c>
      <c r="L518" t="str">
        <f ca="1">IF(
   $O$7="Desbloqueado",
   CHOOSE(RANDBETWEEN(1,3),"Entregue","Em Rota","Aguardando"),
   Tabela_Movimentacao_Geral[[#This Row],[Status Logistico]]
)</f>
        <v>Entregue</v>
      </c>
      <c r="M51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45924</v>
      </c>
    </row>
    <row r="519" spans="1:13" x14ac:dyDescent="0.3">
      <c r="A519" t="str">
        <f t="shared" si="7"/>
        <v>T0518</v>
      </c>
      <c r="B519" s="1">
        <v>45922</v>
      </c>
      <c r="C519" t="str" cm="1">
        <f t="array" aca="1" ref="C519" ca="1">IF($O$7="Desbloqueado",
  _xlfn.LET(
    _xlpm.saldo_atual, SUM(($C$2:$C518="Entrada")*($F$2:$F518=Tabela_Movimentacao_Geral[[#This Row],[ID Produto]])*($H$2:$H518) - ($C$2:$C518="Saida")*($F$2:$F518=Tabela_Movimentacao_Geral[[#This Row],[ID Produto]])*($H$2:$H518)),
    IF(_xlpm.saldo_atual &gt; 0, IF(RANDBETWEEN(0,10)&gt;3,"Saida","Entrada"), "Entrada")
  ),
  Tabela_Movimentacao_Geral[[#This Row],[Tipo Fluxo]]
)</f>
        <v>Saida</v>
      </c>
      <c r="D5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5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519" t="str">
        <f ca="1">IF(
  $O$7="Desbloqueado",
  "PROD"&amp;TEXT(RANDBETWEEN(1,200),"000"),
  Tabela_Movimentacao_Geral[[#This Row],[ID Produto]]
)</f>
        <v>PROD026</v>
      </c>
      <c r="G519" t="str">
        <f ca="1">_xlfn.XLOOKUP(Tabela_Movimentacao_Geral[[#This Row],[ID Produto]], Tabela_Produtos[ID_Produto],Tabela_Produtos[Descricao_Produto],"Produto não encontrado")</f>
        <v>Mousepad Gamer Extra Large</v>
      </c>
      <c r="H519" cm="1">
        <f t="array" aca="1" ref="H519" ca="1">IF(
   $O$7="Desbloqueado",
   _xlfn.LET(
     _xlpm.saldo_atual, SUM(($C$2:$C518="Entrada")*($F$2:$F518=Tabela_Movimentacao_Geral[[#This Row],[ID Produto]])*($H$2:$H518) - ($C$2:$C518="Saida")*($F$2:$F518=Tabela_Movimentacao_Geral[[#This Row],[ID Produto]])*($H$2:$H518)),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40</v>
      </c>
      <c r="I519" s="5">
        <f ca="1">_xlfn.XLOOKUP(Tabela_Movimentacao_Geral[[#This Row],[ID Produto]], Tabela_Produtos[ID_Produto],Tabela_Produtos[Preco_Unitario_Venda])</f>
        <v>85</v>
      </c>
      <c r="J519" s="6">
        <f ca="1">Tabela_Movimentacao_Geral[[#This Row],[Quantidade]] * Tabela_Movimentacao_Geral[[#This Row],[Valor Unitário]]</f>
        <v>3400</v>
      </c>
      <c r="K519" t="str">
        <f ca="1">IF(
   $O$7="Desbloqueado",
   CHOOSE(RANDBETWEEN(1,3),"Pago","Pendente","Atrasado"),
   Tabela_Movimentacao_Geral[[#This Row],[Status Financeiro]]
)</f>
        <v>Pendente</v>
      </c>
      <c r="L519" t="str">
        <f ca="1">IF(
   $O$7="Desbloqueado",
   CHOOSE(RANDBETWEEN(1,3),"Entregue","Em Rota","Aguardando"),
   Tabela_Movimentacao_Geral[[#This Row],[Status Logistico]]
)</f>
        <v>Aguardando</v>
      </c>
      <c r="M51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20" spans="1:13" x14ac:dyDescent="0.3">
      <c r="A520" t="str">
        <f t="shared" si="7"/>
        <v>T0519</v>
      </c>
      <c r="B520" s="1">
        <v>45923</v>
      </c>
      <c r="C520" t="str" cm="1">
        <f t="array" aca="1" ref="C520" ca="1">IF($O$7="Desbloqueado",
  _xlfn.LET(
    _xlpm.saldo_atual, SUM(($C$2:$C519="Entrada")*($F$2:$F519=Tabela_Movimentacao_Geral[[#This Row],[ID Produto]])*($H$2:$H519) - ($C$2:$C519="Saida")*($F$2:$F519=Tabela_Movimentacao_Geral[[#This Row],[ID Produto]])*($H$2:$H519)),
    IF(_xlpm.saldo_atual &gt; 0, IF(RANDBETWEEN(0,10)&gt;3,"Saida","Entrada"), "Entrada")
  ),
  Tabela_Movimentacao_Geral[[#This Row],[Tipo Fluxo]]
)</f>
        <v>Saida</v>
      </c>
      <c r="D5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5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520" t="str">
        <f ca="1">IF(
  $O$7="Desbloqueado",
  "PROD"&amp;TEXT(RANDBETWEEN(1,200),"000"),
  Tabela_Movimentacao_Geral[[#This Row],[ID Produto]]
)</f>
        <v>PROD093</v>
      </c>
      <c r="G520" t="str">
        <f ca="1">_xlfn.XLOOKUP(Tabela_Movimentacao_Geral[[#This Row],[ID Produto]], Tabela_Produtos[ID_Produto],Tabela_Produtos[Descricao_Produto],"Produto não encontrado")</f>
        <v>KVM Switch 4 Portas</v>
      </c>
      <c r="H520" cm="1">
        <f t="array" aca="1" ref="H520" ca="1">IF(
   $O$7="Desbloqueado",
   _xlfn.LET(
     _xlpm.saldo_atual, SUM(($C$2:$C519="Entrada")*($F$2:$F519=Tabela_Movimentacao_Geral[[#This Row],[ID Produto]])*($H$2:$H519) - ($C$2:$C519="Saida")*($F$2:$F519=Tabela_Movimentacao_Geral[[#This Row],[ID Produto]])*($H$2:$H519)),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48</v>
      </c>
      <c r="I520" s="5">
        <f ca="1">_xlfn.XLOOKUP(Tabela_Movimentacao_Geral[[#This Row],[ID Produto]], Tabela_Produtos[ID_Produto],Tabela_Produtos[Preco_Unitario_Venda])</f>
        <v>1200</v>
      </c>
      <c r="J520" s="6">
        <f ca="1">Tabela_Movimentacao_Geral[[#This Row],[Quantidade]] * Tabela_Movimentacao_Geral[[#This Row],[Valor Unitário]]</f>
        <v>57600</v>
      </c>
      <c r="K520" t="str">
        <f ca="1">IF(
   $O$7="Desbloqueado",
   CHOOSE(RANDBETWEEN(1,3),"Pago","Pendente","Atrasado"),
   Tabela_Movimentacao_Geral[[#This Row],[Status Financeiro]]
)</f>
        <v>Pendente</v>
      </c>
      <c r="L520" t="str">
        <f ca="1">IF(
   $O$7="Desbloqueado",
   CHOOSE(RANDBETWEEN(1,3),"Entregue","Em Rota","Aguardando"),
   Tabela_Movimentacao_Geral[[#This Row],[Status Logistico]]
)</f>
        <v>Entregue</v>
      </c>
      <c r="M52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21" spans="1:13" x14ac:dyDescent="0.3">
      <c r="A521" t="str">
        <f t="shared" si="7"/>
        <v>T0520</v>
      </c>
      <c r="B521" s="1">
        <v>45923</v>
      </c>
      <c r="C521" t="str" cm="1">
        <f t="array" aca="1" ref="C521" ca="1">IF($O$7="Desbloqueado",
  _xlfn.LET(
    _xlpm.saldo_atual, SUM(($C$2:$C520="Entrada")*($F$2:$F520=Tabela_Movimentacao_Geral[[#This Row],[ID Produto]])*($H$2:$H520) - ($C$2:$C520="Saida")*($F$2:$F520=Tabela_Movimentacao_Geral[[#This Row],[ID Produto]])*($H$2:$H520)),
    IF(_xlpm.saldo_atual &gt; 0, IF(RANDBETWEEN(0,10)&gt;3,"Saida","Entrada"), "Entrada")
  ),
  Tabela_Movimentacao_Geral[[#This Row],[Tipo Fluxo]]
)</f>
        <v>Entrada</v>
      </c>
      <c r="D5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5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521" t="str">
        <f ca="1">IF(
  $O$7="Desbloqueado",
  "PROD"&amp;TEXT(RANDBETWEEN(1,200),"000"),
  Tabela_Movimentacao_Geral[[#This Row],[ID Produto]]
)</f>
        <v>PROD053</v>
      </c>
      <c r="G521" t="str">
        <f ca="1">_xlfn.XLOOKUP(Tabela_Movimentacao_Geral[[#This Row],[ID Produto]], Tabela_Produtos[ID_Produto],Tabela_Produtos[Descricao_Produto],"Produto não encontrado")</f>
        <v>Grampeador Ate 20 fls</v>
      </c>
      <c r="H521" cm="1">
        <f t="array" aca="1" ref="H521" ca="1">IF(
   $O$7="Desbloqueado",
   _xlfn.LET(
     _xlpm.saldo_atual, SUM(($C$2:$C520="Entrada")*($F$2:$F520=Tabela_Movimentacao_Geral[[#This Row],[ID Produto]])*($H$2:$H520) - ($C$2:$C520="Saida")*($F$2:$F520=Tabela_Movimentacao_Geral[[#This Row],[ID Produto]])*($H$2:$H520)),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85</v>
      </c>
      <c r="I521" s="5">
        <f ca="1">_xlfn.XLOOKUP(Tabela_Movimentacao_Geral[[#This Row],[ID Produto]], Tabela_Produtos[ID_Produto],Tabela_Produtos[Preco_Unitario_Venda])</f>
        <v>35</v>
      </c>
      <c r="J521" s="6">
        <f ca="1">Tabela_Movimentacao_Geral[[#This Row],[Quantidade]] * Tabela_Movimentacao_Geral[[#This Row],[Valor Unitário]]</f>
        <v>2975</v>
      </c>
      <c r="K521" t="str">
        <f ca="1">IF(
   $O$7="Desbloqueado",
   CHOOSE(RANDBETWEEN(1,3),"Pago","Pendente","Atrasado"),
   Tabela_Movimentacao_Geral[[#This Row],[Status Financeiro]]
)</f>
        <v>Pago</v>
      </c>
      <c r="L521" t="str">
        <f ca="1">IF(
   $O$7="Desbloqueado",
   CHOOSE(RANDBETWEEN(1,3),"Entregue","Em Rota","Aguardando"),
   Tabela_Movimentacao_Geral[[#This Row],[Status Logistico]]
)</f>
        <v>Em Rota</v>
      </c>
      <c r="M52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45925</v>
      </c>
    </row>
    <row r="522" spans="1:13" x14ac:dyDescent="0.3">
      <c r="A522" t="str">
        <f t="shared" si="7"/>
        <v>T0521</v>
      </c>
      <c r="B522" s="1">
        <v>45923</v>
      </c>
      <c r="C522" t="str" cm="1">
        <f t="array" aca="1" ref="C522" ca="1">IF($O$7="Desbloqueado",
  _xlfn.LET(
    _xlpm.saldo_atual, SUM(($C$2:$C521="Entrada")*($F$2:$F521=Tabela_Movimentacao_Geral[[#This Row],[ID Produto]])*($H$2:$H521) - ($C$2:$C521="Saida")*($F$2:$F521=Tabela_Movimentacao_Geral[[#This Row],[ID Produto]])*($H$2:$H521)),
    IF(_xlpm.saldo_atual &gt; 0, IF(RANDBETWEEN(0,10)&gt;3,"Saida","Entrada"), "Entrada")
  ),
  Tabela_Movimentacao_Geral[[#This Row],[Tipo Fluxo]]
)</f>
        <v>Entrada</v>
      </c>
      <c r="D5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5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522" t="str">
        <f ca="1">IF(
  $O$7="Desbloqueado",
  "PROD"&amp;TEXT(RANDBETWEEN(1,200),"000"),
  Tabela_Movimentacao_Geral[[#This Row],[ID Produto]]
)</f>
        <v>PROD029</v>
      </c>
      <c r="G522" t="str">
        <f ca="1">_xlfn.XLOOKUP(Tabela_Movimentacao_Geral[[#This Row],[ID Produto]], Tabela_Produtos[ID_Produto],Tabela_Produtos[Descricao_Produto],"Produto não encontrado")</f>
        <v>Caneta Digital para Tablet</v>
      </c>
      <c r="H522" cm="1">
        <f t="array" aca="1" ref="H522" ca="1">IF(
   $O$7="Desbloqueado",
   _xlfn.LET(
     _xlpm.saldo_atual, SUM(($C$2:$C521="Entrada")*($F$2:$F521=Tabela_Movimentacao_Geral[[#This Row],[ID Produto]])*($H$2:$H521) - ($C$2:$C521="Saida")*($F$2:$F521=Tabela_Movimentacao_Geral[[#This Row],[ID Produto]])*($H$2:$H521)),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522" s="5">
        <f ca="1">_xlfn.XLOOKUP(Tabela_Movimentacao_Geral[[#This Row],[ID Produto]], Tabela_Produtos[ID_Produto],Tabela_Produtos[Preco_Unitario_Venda])</f>
        <v>320</v>
      </c>
      <c r="J522" s="6">
        <f ca="1">Tabela_Movimentacao_Geral[[#This Row],[Quantidade]] * Tabela_Movimentacao_Geral[[#This Row],[Valor Unitário]]</f>
        <v>1280</v>
      </c>
      <c r="K522" t="str">
        <f ca="1">IF(
   $O$7="Desbloqueado",
   CHOOSE(RANDBETWEEN(1,3),"Pago","Pendente","Atrasado"),
   Tabela_Movimentacao_Geral[[#This Row],[Status Financeiro]]
)</f>
        <v>Pendente</v>
      </c>
      <c r="L522" t="str">
        <f ca="1">IF(
   $O$7="Desbloqueado",
   CHOOSE(RANDBETWEEN(1,3),"Entregue","Em Rota","Aguardando"),
   Tabela_Movimentacao_Geral[[#This Row],[Status Logistico]]
)</f>
        <v>Em Rota</v>
      </c>
      <c r="M52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45924</v>
      </c>
    </row>
    <row r="523" spans="1:13" x14ac:dyDescent="0.3">
      <c r="A523" t="str">
        <f t="shared" si="7"/>
        <v>T0522</v>
      </c>
      <c r="B523" s="1">
        <v>45923</v>
      </c>
      <c r="C523" t="str" cm="1">
        <f t="array" aca="1" ref="C523" ca="1">IF($O$7="Desbloqueado",
  _xlfn.LET(
    _xlpm.saldo_atual, SUM(($C$2:$C522="Entrada")*($F$2:$F522=Tabela_Movimentacao_Geral[[#This Row],[ID Produto]])*($H$2:$H522) - ($C$2:$C522="Saida")*($F$2:$F522=Tabela_Movimentacao_Geral[[#This Row],[ID Produto]])*($H$2:$H522)),
    IF(_xlpm.saldo_atual &gt; 0, IF(RANDBETWEEN(0,10)&gt;3,"Saida","Entrada"), "Entrada")
  ),
  Tabela_Movimentacao_Geral[[#This Row],[Tipo Fluxo]]
)</f>
        <v>Entrada</v>
      </c>
      <c r="D5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5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523" t="str">
        <f ca="1">IF(
  $O$7="Desbloqueado",
  "PROD"&amp;TEXT(RANDBETWEEN(1,200),"000"),
  Tabela_Movimentacao_Geral[[#This Row],[ID Produto]]
)</f>
        <v>PROD066</v>
      </c>
      <c r="G523" t="str">
        <f ca="1">_xlfn.XLOOKUP(Tabela_Movimentacao_Geral[[#This Row],[ID Produto]], Tabela_Produtos[ID_Produto],Tabela_Produtos[Descricao_Produto],"Produto não encontrado")</f>
        <v>Calculadora Cientifica</v>
      </c>
      <c r="H523" cm="1">
        <f t="array" aca="1" ref="H523" ca="1">IF(
   $O$7="Desbloqueado",
   _xlfn.LET(
     _xlpm.saldo_atual, SUM(($C$2:$C522="Entrada")*($F$2:$F522=Tabela_Movimentacao_Geral[[#This Row],[ID Produto]])*($H$2:$H522) - ($C$2:$C522="Saida")*($F$2:$F522=Tabela_Movimentacao_Geral[[#This Row],[ID Produto]])*($H$2:$H522)),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523" s="5">
        <f ca="1">_xlfn.XLOOKUP(Tabela_Movimentacao_Geral[[#This Row],[ID Produto]], Tabela_Produtos[ID_Produto],Tabela_Produtos[Preco_Unitario_Venda])</f>
        <v>95</v>
      </c>
      <c r="J523" s="6">
        <f ca="1">Tabela_Movimentacao_Geral[[#This Row],[Quantidade]] * Tabela_Movimentacao_Geral[[#This Row],[Valor Unitário]]</f>
        <v>5795</v>
      </c>
      <c r="K523" t="str">
        <f ca="1">IF(
   $O$7="Desbloqueado",
   CHOOSE(RANDBETWEEN(1,3),"Pago","Pendente","Atrasado"),
   Tabela_Movimentacao_Geral[[#This Row],[Status Financeiro]]
)</f>
        <v>Pago</v>
      </c>
      <c r="L523" t="str">
        <f ca="1">IF(
   $O$7="Desbloqueado",
   CHOOSE(RANDBETWEEN(1,3),"Entregue","Em Rota","Aguardando"),
   Tabela_Movimentacao_Geral[[#This Row],[Status Logistico]]
)</f>
        <v>Em Rota</v>
      </c>
      <c r="M52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45925</v>
      </c>
    </row>
    <row r="524" spans="1:13" x14ac:dyDescent="0.3">
      <c r="A524" t="str">
        <f t="shared" si="7"/>
        <v>T0523</v>
      </c>
      <c r="B524" s="1">
        <v>45925</v>
      </c>
      <c r="C524" t="str" cm="1">
        <f t="array" aca="1" ref="C524" ca="1">IF($O$7="Desbloqueado",
  _xlfn.LET(
    _xlpm.saldo_atual, SUM(($C$2:$C523="Entrada")*($F$2:$F523=Tabela_Movimentacao_Geral[[#This Row],[ID Produto]])*($H$2:$H523) - ($C$2:$C523="Saida")*($F$2:$F523=Tabela_Movimentacao_Geral[[#This Row],[ID Produto]])*($H$2:$H523)),
    IF(_xlpm.saldo_atual &gt; 0, IF(RANDBETWEEN(0,10)&gt;3,"Saida","Entrada"), "Entrada")
  ),
  Tabela_Movimentacao_Geral[[#This Row],[Tipo Fluxo]]
)</f>
        <v>Entrada</v>
      </c>
      <c r="D5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5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524" t="str">
        <f ca="1">IF(
  $O$7="Desbloqueado",
  "PROD"&amp;TEXT(RANDBETWEEN(1,200),"000"),
  Tabela_Movimentacao_Geral[[#This Row],[ID Produto]]
)</f>
        <v>PROD099</v>
      </c>
      <c r="G524" t="str">
        <f ca="1">_xlfn.XLOOKUP(Tabela_Movimentacao_Geral[[#This Row],[ID Produto]], Tabela_Produtos[ID_Produto],Tabela_Produtos[Descricao_Produto],"Produto não encontrado")</f>
        <v>HD SkyHawk 4TB (CFTV)</v>
      </c>
      <c r="H524" cm="1">
        <f t="array" aca="1" ref="H524" ca="1">IF(
   $O$7="Desbloqueado",
   _xlfn.LET(
     _xlpm.saldo_atual, SUM(($C$2:$C523="Entrada")*($F$2:$F523=Tabela_Movimentacao_Geral[[#This Row],[ID Produto]])*($H$2:$H523) - ($C$2:$C523="Saida")*($F$2:$F523=Tabela_Movimentacao_Geral[[#This Row],[ID Produto]])*($H$2:$H523)),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51</v>
      </c>
      <c r="I524" s="5">
        <f ca="1">_xlfn.XLOOKUP(Tabela_Movimentacao_Geral[[#This Row],[ID Produto]], Tabela_Produtos[ID_Produto],Tabela_Produtos[Preco_Unitario_Venda])</f>
        <v>750</v>
      </c>
      <c r="J524" s="6">
        <f ca="1">Tabela_Movimentacao_Geral[[#This Row],[Quantidade]] * Tabela_Movimentacao_Geral[[#This Row],[Valor Unitário]]</f>
        <v>38250</v>
      </c>
      <c r="K524" t="str">
        <f ca="1">IF(
   $O$7="Desbloqueado",
   CHOOSE(RANDBETWEEN(1,3),"Pago","Pendente","Atrasado"),
   Tabela_Movimentacao_Geral[[#This Row],[Status Financeiro]]
)</f>
        <v>Atrasado</v>
      </c>
      <c r="L524" t="str">
        <f ca="1">IF(
   $O$7="Desbloqueado",
   CHOOSE(RANDBETWEEN(1,3),"Entregue","Em Rota","Aguardando"),
   Tabela_Movimentacao_Geral[[#This Row],[Status Logistico]]
)</f>
        <v>Aguardando</v>
      </c>
      <c r="M52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45926</v>
      </c>
    </row>
    <row r="525" spans="1:13" x14ac:dyDescent="0.3">
      <c r="A525" t="str">
        <f t="shared" si="7"/>
        <v>T0524</v>
      </c>
      <c r="B525" s="1">
        <v>45926</v>
      </c>
      <c r="C525" t="str" cm="1">
        <f t="array" aca="1" ref="C525" ca="1">IF($O$7="Desbloqueado",
  _xlfn.LET(
    _xlpm.saldo_atual, SUM(($C$2:$C524="Entrada")*($F$2:$F524=Tabela_Movimentacao_Geral[[#This Row],[ID Produto]])*($H$2:$H524) - ($C$2:$C524="Saida")*($F$2:$F524=Tabela_Movimentacao_Geral[[#This Row],[ID Produto]])*($H$2:$H524)),
    IF(_xlpm.saldo_atual &gt; 0, IF(RANDBETWEEN(0,10)&gt;3,"Saida","Entrada"), "Entrada")
  ),
  Tabela_Movimentacao_Geral[[#This Row],[Tipo Fluxo]]
)</f>
        <v>Saida</v>
      </c>
      <c r="D5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5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525" t="str">
        <f ca="1">IF(
  $O$7="Desbloqueado",
  "PROD"&amp;TEXT(RANDBETWEEN(1,200),"000"),
  Tabela_Movimentacao_Geral[[#This Row],[ID Produto]]
)</f>
        <v>PROD014</v>
      </c>
      <c r="G525" t="str">
        <f ca="1">_xlfn.XLOOKUP(Tabela_Movimentacao_Geral[[#This Row],[ID Produto]], Tabela_Produtos[ID_Produto],Tabela_Produtos[Descricao_Produto],"Produto não encontrado")</f>
        <v>Roteador Wi-Fi 6</v>
      </c>
      <c r="H525" cm="1">
        <f t="array" aca="1" ref="H525" ca="1">IF(
   $O$7="Desbloqueado",
   _xlfn.LET(
     _xlpm.saldo_atual, SUM(($C$2:$C524="Entrada")*($F$2:$F524=Tabela_Movimentacao_Geral[[#This Row],[ID Produto]])*($H$2:$H524) - ($C$2:$C524="Saida")*($F$2:$F524=Tabela_Movimentacao_Geral[[#This Row],[ID Produto]])*($H$2:$H524)),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525" s="5">
        <f ca="1">_xlfn.XLOOKUP(Tabela_Movimentacao_Geral[[#This Row],[ID Produto]], Tabela_Produtos[ID_Produto],Tabela_Produtos[Preco_Unitario_Venda])</f>
        <v>650</v>
      </c>
      <c r="J525" s="6">
        <f ca="1">Tabela_Movimentacao_Geral[[#This Row],[Quantidade]] * Tabela_Movimentacao_Geral[[#This Row],[Valor Unitário]]</f>
        <v>4550</v>
      </c>
      <c r="K525" t="str">
        <f ca="1">IF(
   $O$7="Desbloqueado",
   CHOOSE(RANDBETWEEN(1,3),"Pago","Pendente","Atrasado"),
   Tabela_Movimentacao_Geral[[#This Row],[Status Financeiro]]
)</f>
        <v>Pendente</v>
      </c>
      <c r="L525" t="str">
        <f ca="1">IF(
   $O$7="Desbloqueado",
   CHOOSE(RANDBETWEEN(1,3),"Entregue","Em Rota","Aguardando"),
   Tabela_Movimentacao_Geral[[#This Row],[Status Logistico]]
)</f>
        <v>Aguardando</v>
      </c>
      <c r="M52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26" spans="1:13" x14ac:dyDescent="0.3">
      <c r="A526" t="str">
        <f t="shared" si="7"/>
        <v>T0525</v>
      </c>
      <c r="B526" s="1">
        <v>45927</v>
      </c>
      <c r="C526" t="str" cm="1">
        <f t="array" aca="1" ref="C526" ca="1">IF($O$7="Desbloqueado",
  _xlfn.LET(
    _xlpm.saldo_atual, SUM(($C$2:$C525="Entrada")*($F$2:$F525=Tabela_Movimentacao_Geral[[#This Row],[ID Produto]])*($H$2:$H525) - ($C$2:$C525="Saida")*($F$2:$F525=Tabela_Movimentacao_Geral[[#This Row],[ID Produto]])*($H$2:$H525)),
    IF(_xlpm.saldo_atual &gt; 0, IF(RANDBETWEEN(0,10)&gt;3,"Saida","Entrada"), "Entrada")
  ),
  Tabela_Movimentacao_Geral[[#This Row],[Tipo Fluxo]]
)</f>
        <v>Entrada</v>
      </c>
      <c r="D5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5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526" t="str">
        <f ca="1">IF(
  $O$7="Desbloqueado",
  "PROD"&amp;TEXT(RANDBETWEEN(1,200),"000"),
  Tabela_Movimentacao_Geral[[#This Row],[ID Produto]]
)</f>
        <v>PROD107</v>
      </c>
      <c r="G526" t="str">
        <f ca="1">_xlfn.XLOOKUP(Tabela_Movimentacao_Geral[[#This Row],[ID Produto]], Tabela_Produtos[ID_Produto],Tabela_Produtos[Descricao_Produto],"Produto não encontrado")</f>
        <v>Impressora Termica Cupom</v>
      </c>
      <c r="H526" cm="1">
        <f t="array" aca="1" ref="H526" ca="1">IF(
   $O$7="Desbloqueado",
   _xlfn.LET(
     _xlpm.saldo_atual, SUM(($C$2:$C525="Entrada")*($F$2:$F525=Tabela_Movimentacao_Geral[[#This Row],[ID Produto]])*($H$2:$H525) - ($C$2:$C525="Saida")*($F$2:$F525=Tabela_Movimentacao_Geral[[#This Row],[ID Produto]])*($H$2:$H525)),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526" s="5">
        <f ca="1">_xlfn.XLOOKUP(Tabela_Movimentacao_Geral[[#This Row],[ID Produto]], Tabela_Produtos[ID_Produto],Tabela_Produtos[Preco_Unitario_Venda])</f>
        <v>680</v>
      </c>
      <c r="J526" s="6">
        <f ca="1">Tabela_Movimentacao_Geral[[#This Row],[Quantidade]] * Tabela_Movimentacao_Geral[[#This Row],[Valor Unitário]]</f>
        <v>12920</v>
      </c>
      <c r="K526" t="str">
        <f ca="1">IF(
   $O$7="Desbloqueado",
   CHOOSE(RANDBETWEEN(1,3),"Pago","Pendente","Atrasado"),
   Tabela_Movimentacao_Geral[[#This Row],[Status Financeiro]]
)</f>
        <v>Atrasado</v>
      </c>
      <c r="L526" t="str">
        <f ca="1">IF(
   $O$7="Desbloqueado",
   CHOOSE(RANDBETWEEN(1,3),"Entregue","Em Rota","Aguardando"),
   Tabela_Movimentacao_Geral[[#This Row],[Status Logistico]]
)</f>
        <v>Entregue</v>
      </c>
      <c r="M52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45928</v>
      </c>
    </row>
    <row r="527" spans="1:13" x14ac:dyDescent="0.3">
      <c r="A527" t="str">
        <f t="shared" si="7"/>
        <v>T0526</v>
      </c>
      <c r="B527" s="1">
        <v>45927</v>
      </c>
      <c r="C527" t="str" cm="1">
        <f t="array" aca="1" ref="C527" ca="1">IF($O$7="Desbloqueado",
  _xlfn.LET(
    _xlpm.saldo_atual, SUM(($C$2:$C526="Entrada")*($F$2:$F526=Tabela_Movimentacao_Geral[[#This Row],[ID Produto]])*($H$2:$H526) - ($C$2:$C526="Saida")*($F$2:$F526=Tabela_Movimentacao_Geral[[#This Row],[ID Produto]])*($H$2:$H526)),
    IF(_xlpm.saldo_atual &gt; 0, IF(RANDBETWEEN(0,10)&gt;3,"Saida","Entrada"), "Entrada")
  ),
  Tabela_Movimentacao_Geral[[#This Row],[Tipo Fluxo]]
)</f>
        <v>Entrada</v>
      </c>
      <c r="D5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5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527" t="str">
        <f ca="1">IF(
  $O$7="Desbloqueado",
  "PROD"&amp;TEXT(RANDBETWEEN(1,200),"000"),
  Tabela_Movimentacao_Geral[[#This Row],[ID Produto]]
)</f>
        <v>PROD019</v>
      </c>
      <c r="G527" t="str">
        <f ca="1">_xlfn.XLOOKUP(Tabela_Movimentacao_Geral[[#This Row],[ID Produto]], Tabela_Produtos[ID_Produto],Tabela_Produtos[Descricao_Produto],"Produto não encontrado")</f>
        <v>Suporte para Monitor Articulado</v>
      </c>
      <c r="H527" cm="1">
        <f t="array" aca="1" ref="H527" ca="1">IF(
   $O$7="Desbloqueado",
   _xlfn.LET(
     _xlpm.saldo_atual, SUM(($C$2:$C526="Entrada")*($F$2:$F526=Tabela_Movimentacao_Geral[[#This Row],[ID Produto]])*($H$2:$H526) - ($C$2:$C526="Saida")*($F$2:$F526=Tabela_Movimentacao_Geral[[#This Row],[ID Produto]])*($H$2:$H526)),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527" s="5">
        <f ca="1">_xlfn.XLOOKUP(Tabela_Movimentacao_Geral[[#This Row],[ID Produto]], Tabela_Produtos[ID_Produto],Tabela_Produtos[Preco_Unitario_Venda])</f>
        <v>220</v>
      </c>
      <c r="J527" s="6">
        <f ca="1">Tabela_Movimentacao_Geral[[#This Row],[Quantidade]] * Tabela_Movimentacao_Geral[[#This Row],[Valor Unitário]]</f>
        <v>5940</v>
      </c>
      <c r="K527" t="str">
        <f ca="1">IF(
   $O$7="Desbloqueado",
   CHOOSE(RANDBETWEEN(1,3),"Pago","Pendente","Atrasado"),
   Tabela_Movimentacao_Geral[[#This Row],[Status Financeiro]]
)</f>
        <v>Pendente</v>
      </c>
      <c r="L527" t="str">
        <f ca="1">IF(
   $O$7="Desbloqueado",
   CHOOSE(RANDBETWEEN(1,3),"Entregue","Em Rota","Aguardando"),
   Tabela_Movimentacao_Geral[[#This Row],[Status Logistico]]
)</f>
        <v>Entregue</v>
      </c>
      <c r="M52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45929</v>
      </c>
    </row>
    <row r="528" spans="1:13" x14ac:dyDescent="0.3">
      <c r="A528" t="str">
        <f t="shared" si="7"/>
        <v>T0527</v>
      </c>
      <c r="B528" s="1">
        <v>45927</v>
      </c>
      <c r="C528" t="str" cm="1">
        <f t="array" aca="1" ref="C528" ca="1">IF($O$7="Desbloqueado",
  _xlfn.LET(
    _xlpm.saldo_atual, SUM(($C$2:$C527="Entrada")*($F$2:$F527=Tabela_Movimentacao_Geral[[#This Row],[ID Produto]])*($H$2:$H527) - ($C$2:$C527="Saida")*($F$2:$F527=Tabela_Movimentacao_Geral[[#This Row],[ID Produto]])*($H$2:$H527)),
    IF(_xlpm.saldo_atual &gt; 0, IF(RANDBETWEEN(0,10)&gt;3,"Saida","Entrada"), "Entrada")
  ),
  Tabela_Movimentacao_Geral[[#This Row],[Tipo Fluxo]]
)</f>
        <v>Saida</v>
      </c>
      <c r="D5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5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528" t="str">
        <f ca="1">IF(
  $O$7="Desbloqueado",
  "PROD"&amp;TEXT(RANDBETWEEN(1,200),"000"),
  Tabela_Movimentacao_Geral[[#This Row],[ID Produto]]
)</f>
        <v>PROD059</v>
      </c>
      <c r="G528" t="str">
        <f ca="1">_xlfn.XLOOKUP(Tabela_Movimentacao_Geral[[#This Row],[ID Produto]], Tabela_Produtos[ID_Produto],Tabela_Produtos[Descricao_Produto],"Produto não encontrado")</f>
        <v>Lapiseira 0.7mm</v>
      </c>
      <c r="H528" cm="1">
        <f t="array" aca="1" ref="H528" ca="1">IF(
   $O$7="Desbloqueado",
   _xlfn.LET(
     _xlpm.saldo_atual, SUM(($C$2:$C527="Entrada")*($F$2:$F527=Tabela_Movimentacao_Geral[[#This Row],[ID Produto]])*($H$2:$H527) - ($C$2:$C527="Saida")*($F$2:$F527=Tabela_Movimentacao_Geral[[#This Row],[ID Produto]])*($H$2:$H527)),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67</v>
      </c>
      <c r="I528" s="5">
        <f ca="1">_xlfn.XLOOKUP(Tabela_Movimentacao_Geral[[#This Row],[ID Produto]], Tabela_Produtos[ID_Produto],Tabela_Produtos[Preco_Unitario_Venda])</f>
        <v>12</v>
      </c>
      <c r="J528" s="6">
        <f ca="1">Tabela_Movimentacao_Geral[[#This Row],[Quantidade]] * Tabela_Movimentacao_Geral[[#This Row],[Valor Unitário]]</f>
        <v>804</v>
      </c>
      <c r="K528" t="str">
        <f ca="1">IF(
   $O$7="Desbloqueado",
   CHOOSE(RANDBETWEEN(1,3),"Pago","Pendente","Atrasado"),
   Tabela_Movimentacao_Geral[[#This Row],[Status Financeiro]]
)</f>
        <v>Pago</v>
      </c>
      <c r="L528" t="str">
        <f ca="1">IF(
   $O$7="Desbloqueado",
   CHOOSE(RANDBETWEEN(1,3),"Entregue","Em Rota","Aguardando"),
   Tabela_Movimentacao_Geral[[#This Row],[Status Logistico]]
)</f>
        <v>Aguardando</v>
      </c>
      <c r="M52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29" spans="1:13" x14ac:dyDescent="0.3">
      <c r="A529" t="str">
        <f t="shared" si="7"/>
        <v>T0528</v>
      </c>
      <c r="B529" s="1">
        <v>45927</v>
      </c>
      <c r="C529" t="str" cm="1">
        <f t="array" aca="1" ref="C529" ca="1">IF($O$7="Desbloqueado",
  _xlfn.LET(
    _xlpm.saldo_atual, SUM(($C$2:$C528="Entrada")*($F$2:$F528=Tabela_Movimentacao_Geral[[#This Row],[ID Produto]])*($H$2:$H528) - ($C$2:$C528="Saida")*($F$2:$F528=Tabela_Movimentacao_Geral[[#This Row],[ID Produto]])*($H$2:$H528)),
    IF(_xlpm.saldo_atual &gt; 0, IF(RANDBETWEEN(0,10)&gt;3,"Saida","Entrada"), "Entrada")
  ),
  Tabela_Movimentacao_Geral[[#This Row],[Tipo Fluxo]]
)</f>
        <v>Saida</v>
      </c>
      <c r="D5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5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529" t="str">
        <f ca="1">IF(
  $O$7="Desbloqueado",
  "PROD"&amp;TEXT(RANDBETWEEN(1,200),"000"),
  Tabela_Movimentacao_Geral[[#This Row],[ID Produto]]
)</f>
        <v>PROD040</v>
      </c>
      <c r="G529" t="str">
        <f ca="1">_xlfn.XLOOKUP(Tabela_Movimentacao_Geral[[#This Row],[ID Produto]], Tabela_Produtos[ID_Produto],Tabela_Produtos[Descricao_Produto],"Produto não encontrado")</f>
        <v>Bateria de CMOS CR2032</v>
      </c>
      <c r="H529" cm="1">
        <f t="array" aca="1" ref="H529" ca="1">IF(
   $O$7="Desbloqueado",
   _xlfn.LET(
     _xlpm.saldo_atual, SUM(($C$2:$C528="Entrada")*($F$2:$F528=Tabela_Movimentacao_Geral[[#This Row],[ID Produto]])*($H$2:$H528) - ($C$2:$C528="Saida")*($F$2:$F528=Tabela_Movimentacao_Geral[[#This Row],[ID Produto]])*($H$2:$H528)),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529" s="5">
        <f ca="1">_xlfn.XLOOKUP(Tabela_Movimentacao_Geral[[#This Row],[ID Produto]], Tabela_Produtos[ID_Produto],Tabela_Produtos[Preco_Unitario_Venda])</f>
        <v>5</v>
      </c>
      <c r="J529" s="6">
        <f ca="1">Tabela_Movimentacao_Geral[[#This Row],[Quantidade]] * Tabela_Movimentacao_Geral[[#This Row],[Valor Unitário]]</f>
        <v>235</v>
      </c>
      <c r="K529" t="str">
        <f ca="1">IF(
   $O$7="Desbloqueado",
   CHOOSE(RANDBETWEEN(1,3),"Pago","Pendente","Atrasado"),
   Tabela_Movimentacao_Geral[[#This Row],[Status Financeiro]]
)</f>
        <v>Pago</v>
      </c>
      <c r="L529" t="str">
        <f ca="1">IF(
   $O$7="Desbloqueado",
   CHOOSE(RANDBETWEEN(1,3),"Entregue","Em Rota","Aguardando"),
   Tabela_Movimentacao_Geral[[#This Row],[Status Logistico]]
)</f>
        <v>Aguardando</v>
      </c>
      <c r="M52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0" spans="1:13" x14ac:dyDescent="0.3">
      <c r="A530" t="str">
        <f t="shared" si="7"/>
        <v>T0529</v>
      </c>
      <c r="B530" s="1">
        <v>45928</v>
      </c>
      <c r="C530" t="str" cm="1">
        <f t="array" aca="1" ref="C530" ca="1">IF($O$7="Desbloqueado",
  _xlfn.LET(
    _xlpm.saldo_atual, SUM(($C$2:$C529="Entrada")*($F$2:$F529=Tabela_Movimentacao_Geral[[#This Row],[ID Produto]])*($H$2:$H529) - ($C$2:$C529="Saida")*($F$2:$F529=Tabela_Movimentacao_Geral[[#This Row],[ID Produto]])*($H$2:$H529)),
    IF(_xlpm.saldo_atual &gt; 0, IF(RANDBETWEEN(0,10)&gt;3,"Saida","Entrada"), "Entrada")
  ),
  Tabela_Movimentacao_Geral[[#This Row],[Tipo Fluxo]]
)</f>
        <v>Saida</v>
      </c>
      <c r="D5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5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530" t="str">
        <f ca="1">IF(
  $O$7="Desbloqueado",
  "PROD"&amp;TEXT(RANDBETWEEN(1,200),"000"),
  Tabela_Movimentacao_Geral[[#This Row],[ID Produto]]
)</f>
        <v>PROD068</v>
      </c>
      <c r="G530" t="str">
        <f ca="1">_xlfn.XLOOKUP(Tabela_Movimentacao_Geral[[#This Row],[ID Produto]], Tabela_Produtos[ID_Produto],Tabela_Produtos[Descricao_Produto],"Produto não encontrado")</f>
        <v>Quadro Branco 90x60</v>
      </c>
      <c r="H530" cm="1">
        <f t="array" aca="1" ref="H530" ca="1">IF(
   $O$7="Desbloqueado",
   _xlfn.LET(
     _xlpm.saldo_atual, SUM(($C$2:$C529="Entrada")*($F$2:$F529=Tabela_Movimentacao_Geral[[#This Row],[ID Produto]])*($H$2:$H529) - ($C$2:$C529="Saida")*($F$2:$F529=Tabela_Movimentacao_Geral[[#This Row],[ID Produto]])*($H$2:$H529)),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530" s="5">
        <f ca="1">_xlfn.XLOOKUP(Tabela_Movimentacao_Geral[[#This Row],[ID Produto]], Tabela_Produtos[ID_Produto],Tabela_Produtos[Preco_Unitario_Venda])</f>
        <v>180</v>
      </c>
      <c r="J530" s="6">
        <f ca="1">Tabela_Movimentacao_Geral[[#This Row],[Quantidade]] * Tabela_Movimentacao_Geral[[#This Row],[Valor Unitário]]</f>
        <v>360</v>
      </c>
      <c r="K530" t="str">
        <f ca="1">IF(
   $O$7="Desbloqueado",
   CHOOSE(RANDBETWEEN(1,3),"Pago","Pendente","Atrasado"),
   Tabela_Movimentacao_Geral[[#This Row],[Status Financeiro]]
)</f>
        <v>Pendente</v>
      </c>
      <c r="L530" t="str">
        <f ca="1">IF(
   $O$7="Desbloqueado",
   CHOOSE(RANDBETWEEN(1,3),"Entregue","Em Rota","Aguardando"),
   Tabela_Movimentacao_Geral[[#This Row],[Status Logistico]]
)</f>
        <v>Entregue</v>
      </c>
      <c r="M53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1" spans="1:13" x14ac:dyDescent="0.3">
      <c r="A531" t="str">
        <f t="shared" si="7"/>
        <v>T0530</v>
      </c>
      <c r="B531" s="1">
        <v>45928</v>
      </c>
      <c r="C531" t="str" cm="1">
        <f t="array" aca="1" ref="C531" ca="1">IF($O$7="Desbloqueado",
  _xlfn.LET(
    _xlpm.saldo_atual, SUM(($C$2:$C530="Entrada")*($F$2:$F530=Tabela_Movimentacao_Geral[[#This Row],[ID Produto]])*($H$2:$H530) - ($C$2:$C530="Saida")*($F$2:$F530=Tabela_Movimentacao_Geral[[#This Row],[ID Produto]])*($H$2:$H530)),
    IF(_xlpm.saldo_atual &gt; 0, IF(RANDBETWEEN(0,10)&gt;3,"Saida","Entrada"), "Entrada")
  ),
  Tabela_Movimentacao_Geral[[#This Row],[Tipo Fluxo]]
)</f>
        <v>Entrada</v>
      </c>
      <c r="D5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5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531" t="str">
        <f ca="1">IF(
  $O$7="Desbloqueado",
  "PROD"&amp;TEXT(RANDBETWEEN(1,200),"000"),
  Tabela_Movimentacao_Geral[[#This Row],[ID Produto]]
)</f>
        <v>PROD030</v>
      </c>
      <c r="G531" t="str">
        <f ca="1">_xlfn.XLOOKUP(Tabela_Movimentacao_Geral[[#This Row],[ID Produto]], Tabela_Produtos[ID_Produto],Tabela_Produtos[Descricao_Produto],"Produto não encontrado")</f>
        <v>Mochila para Notebook 15.6</v>
      </c>
      <c r="H531" cm="1">
        <f t="array" aca="1" ref="H531" ca="1">IF(
   $O$7="Desbloqueado",
   _xlfn.LET(
     _xlpm.saldo_atual, SUM(($C$2:$C530="Entrada")*($F$2:$F530=Tabela_Movimentacao_Geral[[#This Row],[ID Produto]])*($H$2:$H530) - ($C$2:$C530="Saida")*($F$2:$F530=Tabela_Movimentacao_Geral[[#This Row],[ID Produto]])*($H$2:$H530)),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531" s="5">
        <f ca="1">_xlfn.XLOOKUP(Tabela_Movimentacao_Geral[[#This Row],[ID Produto]], Tabela_Produtos[ID_Produto],Tabela_Produtos[Preco_Unitario_Venda])</f>
        <v>250</v>
      </c>
      <c r="J531" s="6">
        <f ca="1">Tabela_Movimentacao_Geral[[#This Row],[Quantidade]] * Tabela_Movimentacao_Geral[[#This Row],[Valor Unitário]]</f>
        <v>9500</v>
      </c>
      <c r="K531" t="str">
        <f ca="1">IF(
   $O$7="Desbloqueado",
   CHOOSE(RANDBETWEEN(1,3),"Pago","Pendente","Atrasado"),
   Tabela_Movimentacao_Geral[[#This Row],[Status Financeiro]]
)</f>
        <v>Pendente</v>
      </c>
      <c r="L531" t="str">
        <f ca="1">IF(
   $O$7="Desbloqueado",
   CHOOSE(RANDBETWEEN(1,3),"Entregue","Em Rota","Aguardando"),
   Tabela_Movimentacao_Geral[[#This Row],[Status Logistico]]
)</f>
        <v>Entregue</v>
      </c>
      <c r="M53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45929</v>
      </c>
    </row>
    <row r="532" spans="1:13" x14ac:dyDescent="0.3">
      <c r="A532" t="str">
        <f t="shared" si="7"/>
        <v>T0531</v>
      </c>
      <c r="B532" s="1">
        <v>45928</v>
      </c>
      <c r="C532" t="str" cm="1">
        <f t="array" aca="1" ref="C532" ca="1">IF($O$7="Desbloqueado",
  _xlfn.LET(
    _xlpm.saldo_atual, SUM(($C$2:$C531="Entrada")*($F$2:$F531=Tabela_Movimentacao_Geral[[#This Row],[ID Produto]])*($H$2:$H531) - ($C$2:$C531="Saida")*($F$2:$F531=Tabela_Movimentacao_Geral[[#This Row],[ID Produto]])*($H$2:$H531)),
    IF(_xlpm.saldo_atual &gt; 0, IF(RANDBETWEEN(0,10)&gt;3,"Saida","Entrada"), "Entrada")
  ),
  Tabela_Movimentacao_Geral[[#This Row],[Tipo Fluxo]]
)</f>
        <v>Saida</v>
      </c>
      <c r="D5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5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532" t="str">
        <f ca="1">IF(
  $O$7="Desbloqueado",
  "PROD"&amp;TEXT(RANDBETWEEN(1,200),"000"),
  Tabela_Movimentacao_Geral[[#This Row],[ID Produto]]
)</f>
        <v>PROD181</v>
      </c>
      <c r="G532" t="str">
        <f ca="1">_xlfn.XLOOKUP(Tabela_Movimentacao_Geral[[#This Row],[ID Produto]], Tabela_Produtos[ID_Produto],Tabela_Produtos[Descricao_Produto],"Produto não encontrado")</f>
        <v>Servidor Tower i3 16GB</v>
      </c>
      <c r="H532" cm="1">
        <f t="array" aca="1" ref="H532" ca="1">IF(
   $O$7="Desbloqueado",
   _xlfn.LET(
     _xlpm.saldo_atual, SUM(($C$2:$C531="Entrada")*($F$2:$F531=Tabela_Movimentacao_Geral[[#This Row],[ID Produto]])*($H$2:$H531) - ($C$2:$C531="Saida")*($F$2:$F531=Tabela_Movimentacao_Geral[[#This Row],[ID Produto]])*($H$2:$H531)),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39</v>
      </c>
      <c r="I532" s="5">
        <f ca="1">_xlfn.XLOOKUP(Tabela_Movimentacao_Geral[[#This Row],[ID Produto]], Tabela_Produtos[ID_Produto],Tabela_Produtos[Preco_Unitario_Venda])</f>
        <v>6500</v>
      </c>
      <c r="J532" s="6">
        <f ca="1">Tabela_Movimentacao_Geral[[#This Row],[Quantidade]] * Tabela_Movimentacao_Geral[[#This Row],[Valor Unitário]]</f>
        <v>253500</v>
      </c>
      <c r="K532" t="str">
        <f ca="1">IF(
   $O$7="Desbloqueado",
   CHOOSE(RANDBETWEEN(1,3),"Pago","Pendente","Atrasado"),
   Tabela_Movimentacao_Geral[[#This Row],[Status Financeiro]]
)</f>
        <v>Pendente</v>
      </c>
      <c r="L532" t="str">
        <f ca="1">IF(
   $O$7="Desbloqueado",
   CHOOSE(RANDBETWEEN(1,3),"Entregue","Em Rota","Aguardando"),
   Tabela_Movimentacao_Geral[[#This Row],[Status Logistico]]
)</f>
        <v>Aguardando</v>
      </c>
      <c r="M53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3" spans="1:13" x14ac:dyDescent="0.3">
      <c r="A533" t="str">
        <f t="shared" si="7"/>
        <v>T0532</v>
      </c>
      <c r="B533" s="1">
        <v>45929</v>
      </c>
      <c r="C533" t="str" cm="1">
        <f t="array" aca="1" ref="C533" ca="1">IF($O$7="Desbloqueado",
  _xlfn.LET(
    _xlpm.saldo_atual, SUM(($C$2:$C532="Entrada")*($F$2:$F532=Tabela_Movimentacao_Geral[[#This Row],[ID Produto]])*($H$2:$H532) - ($C$2:$C532="Saida")*($F$2:$F532=Tabela_Movimentacao_Geral[[#This Row],[ID Produto]])*($H$2:$H532)),
    IF(_xlpm.saldo_atual &gt; 0, IF(RANDBETWEEN(0,10)&gt;3,"Saida","Entrada"), "Entrada")
  ),
  Tabela_Movimentacao_Geral[[#This Row],[Tipo Fluxo]]
)</f>
        <v>Entrada</v>
      </c>
      <c r="D5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5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533" t="str">
        <f ca="1">IF(
  $O$7="Desbloqueado",
  "PROD"&amp;TEXT(RANDBETWEEN(1,200),"000"),
  Tabela_Movimentacao_Geral[[#This Row],[ID Produto]]
)</f>
        <v>PROD161</v>
      </c>
      <c r="G533" t="str">
        <f ca="1">_xlfn.XLOOKUP(Tabela_Movimentacao_Geral[[#This Row],[ID Produto]], Tabela_Produtos[ID_Produto],Tabela_Produtos[Descricao_Produto],"Produto não encontrado")</f>
        <v>Prancheta Oficio Madeira</v>
      </c>
      <c r="H533" cm="1">
        <f t="array" aca="1" ref="H533" ca="1">IF(
   $O$7="Desbloqueado",
   _xlfn.LET(
     _xlpm.saldo_atual, SUM(($C$2:$C532="Entrada")*($F$2:$F532=Tabela_Movimentacao_Geral[[#This Row],[ID Produto]])*($H$2:$H532) - ($C$2:$C532="Saida")*($F$2:$F532=Tabela_Movimentacao_Geral[[#This Row],[ID Produto]])*($H$2:$H532)),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104</v>
      </c>
      <c r="I533" s="5">
        <f ca="1">_xlfn.XLOOKUP(Tabela_Movimentacao_Geral[[#This Row],[ID Produto]], Tabela_Produtos[ID_Produto],Tabela_Produtos[Preco_Unitario_Venda])</f>
        <v>15</v>
      </c>
      <c r="J533" s="6">
        <f ca="1">Tabela_Movimentacao_Geral[[#This Row],[Quantidade]] * Tabela_Movimentacao_Geral[[#This Row],[Valor Unitário]]</f>
        <v>1560</v>
      </c>
      <c r="K533" t="str">
        <f ca="1">IF(
   $O$7="Desbloqueado",
   CHOOSE(RANDBETWEEN(1,3),"Pago","Pendente","Atrasado"),
   Tabela_Movimentacao_Geral[[#This Row],[Status Financeiro]]
)</f>
        <v>Pendente</v>
      </c>
      <c r="L533" t="str">
        <f ca="1">IF(
   $O$7="Desbloqueado",
   CHOOSE(RANDBETWEEN(1,3),"Entregue","Em Rota","Aguardando"),
   Tabela_Movimentacao_Geral[[#This Row],[Status Logistico]]
)</f>
        <v>Aguardando</v>
      </c>
      <c r="M53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45934</v>
      </c>
    </row>
    <row r="534" spans="1:13" x14ac:dyDescent="0.3">
      <c r="A534" t="str">
        <f t="shared" si="7"/>
        <v>T0533</v>
      </c>
      <c r="B534" s="1">
        <v>45929</v>
      </c>
      <c r="C534" t="str" cm="1">
        <f t="array" aca="1" ref="C534" ca="1">IF($O$7="Desbloqueado",
  _xlfn.LET(
    _xlpm.saldo_atual, SUM(($C$2:$C533="Entrada")*($F$2:$F533=Tabela_Movimentacao_Geral[[#This Row],[ID Produto]])*($H$2:$H533) - ($C$2:$C533="Saida")*($F$2:$F533=Tabela_Movimentacao_Geral[[#This Row],[ID Produto]])*($H$2:$H533)),
    IF(_xlpm.saldo_atual &gt; 0, IF(RANDBETWEEN(0,10)&gt;3,"Saida","Entrada"), "Entrada")
  ),
  Tabela_Movimentacao_Geral[[#This Row],[Tipo Fluxo]]
)</f>
        <v>Saida</v>
      </c>
      <c r="D5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5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534" t="str">
        <f ca="1">IF(
  $O$7="Desbloqueado",
  "PROD"&amp;TEXT(RANDBETWEEN(1,200),"000"),
  Tabela_Movimentacao_Geral[[#This Row],[ID Produto]]
)</f>
        <v>PROD133</v>
      </c>
      <c r="G534" t="str">
        <f ca="1">_xlfn.XLOOKUP(Tabela_Movimentacao_Geral[[#This Row],[ID Produto]], Tabela_Produtos[ID_Produto],Tabela_Produtos[Descricao_Produto],"Produto não encontrado")</f>
        <v>Pendrive 128GB Metal</v>
      </c>
      <c r="H534" cm="1">
        <f t="array" aca="1" ref="H534" ca="1">IF(
   $O$7="Desbloqueado",
   _xlfn.LET(
     _xlpm.saldo_atual, SUM(($C$2:$C533="Entrada")*($F$2:$F533=Tabela_Movimentacao_Geral[[#This Row],[ID Produto]])*($H$2:$H533) - ($C$2:$C533="Saida")*($F$2:$F533=Tabela_Movimentacao_Geral[[#This Row],[ID Produto]])*($H$2:$H533)),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534" s="5">
        <f ca="1">_xlfn.XLOOKUP(Tabela_Movimentacao_Geral[[#This Row],[ID Produto]], Tabela_Produtos[ID_Produto],Tabela_Produtos[Preco_Unitario_Venda])</f>
        <v>110</v>
      </c>
      <c r="J534" s="6">
        <f ca="1">Tabela_Movimentacao_Geral[[#This Row],[Quantidade]] * Tabela_Movimentacao_Geral[[#This Row],[Valor Unitário]]</f>
        <v>7920</v>
      </c>
      <c r="K534" t="str">
        <f ca="1">IF(
   $O$7="Desbloqueado",
   CHOOSE(RANDBETWEEN(1,3),"Pago","Pendente","Atrasado"),
   Tabela_Movimentacao_Geral[[#This Row],[Status Financeiro]]
)</f>
        <v>Atrasado</v>
      </c>
      <c r="L534" t="str">
        <f ca="1">IF(
   $O$7="Desbloqueado",
   CHOOSE(RANDBETWEEN(1,3),"Entregue","Em Rota","Aguardando"),
   Tabela_Movimentacao_Geral[[#This Row],[Status Logistico]]
)</f>
        <v>Em Rota</v>
      </c>
      <c r="M5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5" spans="1:13" x14ac:dyDescent="0.3">
      <c r="A535" t="str">
        <f t="shared" ref="A535:A598" si="8">"T"&amp;TEXT(ROW(A535)-1,"0000")</f>
        <v>T0534</v>
      </c>
      <c r="B535" s="1">
        <v>45930</v>
      </c>
      <c r="C535" t="str" cm="1">
        <f t="array" aca="1" ref="C535" ca="1">IF($O$7="Desbloqueado",
  _xlfn.LET(
    _xlpm.saldo_atual, SUM(($C$2:$C534="Entrada")*($F$2:$F534=Tabela_Movimentacao_Geral[[#This Row],[ID Produto]])*($H$2:$H534) - ($C$2:$C534="Saida")*($F$2:$F534=Tabela_Movimentacao_Geral[[#This Row],[ID Produto]])*($H$2:$H534)),
    IF(_xlpm.saldo_atual &gt; 0, IF(RANDBETWEEN(0,10)&gt;3,"Saida","Entrada"), "Entrada")
  ),
  Tabela_Movimentacao_Geral[[#This Row],[Tipo Fluxo]]
)</f>
        <v>Saida</v>
      </c>
      <c r="D5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5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535" t="str">
        <f ca="1">IF(
  $O$7="Desbloqueado",
  "PROD"&amp;TEXT(RANDBETWEEN(1,200),"000"),
  Tabela_Movimentacao_Geral[[#This Row],[ID Produto]]
)</f>
        <v>PROD076</v>
      </c>
      <c r="G535" t="str">
        <f ca="1">_xlfn.XLOOKUP(Tabela_Movimentacao_Geral[[#This Row],[ID Produto]], Tabela_Produtos[ID_Produto],Tabela_Produtos[Descricao_Produto],"Produto não encontrado")</f>
        <v>Fragmentadora de Papel</v>
      </c>
      <c r="H535" cm="1">
        <f t="array" aca="1" ref="H535" ca="1">IF(
   $O$7="Desbloqueado",
   _xlfn.LET(
     _xlpm.saldo_atual, SUM(($C$2:$C534="Entrada")*($F$2:$F534=Tabela_Movimentacao_Geral[[#This Row],[ID Produto]])*($H$2:$H534) - ($C$2:$C534="Saida")*($F$2:$F534=Tabela_Movimentacao_Geral[[#This Row],[ID Produto]])*($H$2:$H534)),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535" s="5">
        <f ca="1">_xlfn.XLOOKUP(Tabela_Movimentacao_Geral[[#This Row],[ID Produto]], Tabela_Produtos[ID_Produto],Tabela_Produtos[Preco_Unitario_Venda])</f>
        <v>750</v>
      </c>
      <c r="J535" s="6">
        <f ca="1">Tabela_Movimentacao_Geral[[#This Row],[Quantidade]] * Tabela_Movimentacao_Geral[[#This Row],[Valor Unitário]]</f>
        <v>1500</v>
      </c>
      <c r="K535" t="str">
        <f ca="1">IF(
   $O$7="Desbloqueado",
   CHOOSE(RANDBETWEEN(1,3),"Pago","Pendente","Atrasado"),
   Tabela_Movimentacao_Geral[[#This Row],[Status Financeiro]]
)</f>
        <v>Pendente</v>
      </c>
      <c r="L535" t="str">
        <f ca="1">IF(
   $O$7="Desbloqueado",
   CHOOSE(RANDBETWEEN(1,3),"Entregue","Em Rota","Aguardando"),
   Tabela_Movimentacao_Geral[[#This Row],[Status Logistico]]
)</f>
        <v>Em Rota</v>
      </c>
      <c r="M53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6" spans="1:13" x14ac:dyDescent="0.3">
      <c r="A536" t="str">
        <f t="shared" si="8"/>
        <v>T0535</v>
      </c>
      <c r="B536" s="1">
        <v>45930</v>
      </c>
      <c r="C536" t="str" cm="1">
        <f t="array" aca="1" ref="C536" ca="1">IF($O$7="Desbloqueado",
  _xlfn.LET(
    _xlpm.saldo_atual, SUM(($C$2:$C535="Entrada")*($F$2:$F535=Tabela_Movimentacao_Geral[[#This Row],[ID Produto]])*($H$2:$H535) - ($C$2:$C535="Saida")*($F$2:$F535=Tabela_Movimentacao_Geral[[#This Row],[ID Produto]])*($H$2:$H535)),
    IF(_xlpm.saldo_atual &gt; 0, IF(RANDBETWEEN(0,10)&gt;3,"Saida","Entrada"), "Entrada")
  ),
  Tabela_Movimentacao_Geral[[#This Row],[Tipo Fluxo]]
)</f>
        <v>Saida</v>
      </c>
      <c r="D5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5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536" t="str">
        <f ca="1">IF(
  $O$7="Desbloqueado",
  "PROD"&amp;TEXT(RANDBETWEEN(1,200),"000"),
  Tabela_Movimentacao_Geral[[#This Row],[ID Produto]]
)</f>
        <v>PROD103</v>
      </c>
      <c r="G536" t="str">
        <f ca="1">_xlfn.XLOOKUP(Tabela_Movimentacao_Geral[[#This Row],[ID Produto]], Tabela_Produtos[ID_Produto],Tabela_Produtos[Descricao_Produto],"Produto não encontrado")</f>
        <v>Mouse Gamer 12000 DPI</v>
      </c>
      <c r="H536" cm="1">
        <f t="array" aca="1" ref="H536" ca="1">IF(
   $O$7="Desbloqueado",
   _xlfn.LET(
     _xlpm.saldo_atual, SUM(($C$2:$C535="Entrada")*($F$2:$F535=Tabela_Movimentacao_Geral[[#This Row],[ID Produto]])*($H$2:$H535) - ($C$2:$C535="Saida")*($F$2:$F535=Tabela_Movimentacao_Geral[[#This Row],[ID Produto]])*($H$2:$H535)),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536" s="5">
        <f ca="1">_xlfn.XLOOKUP(Tabela_Movimentacao_Geral[[#This Row],[ID Produto]], Tabela_Produtos[ID_Produto],Tabela_Produtos[Preco_Unitario_Venda])</f>
        <v>240</v>
      </c>
      <c r="J536" s="6">
        <f ca="1">Tabela_Movimentacao_Geral[[#This Row],[Quantidade]] * Tabela_Movimentacao_Geral[[#This Row],[Valor Unitário]]</f>
        <v>2880</v>
      </c>
      <c r="K536" t="str">
        <f ca="1">IF(
   $O$7="Desbloqueado",
   CHOOSE(RANDBETWEEN(1,3),"Pago","Pendente","Atrasado"),
   Tabela_Movimentacao_Geral[[#This Row],[Status Financeiro]]
)</f>
        <v>Atrasado</v>
      </c>
      <c r="L536" t="str">
        <f ca="1">IF(
   $O$7="Desbloqueado",
   CHOOSE(RANDBETWEEN(1,3),"Entregue","Em Rota","Aguardando"),
   Tabela_Movimentacao_Geral[[#This Row],[Status Logistico]]
)</f>
        <v>Aguardando</v>
      </c>
      <c r="M53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7" spans="1:13" x14ac:dyDescent="0.3">
      <c r="A537" t="str">
        <f t="shared" si="8"/>
        <v>T0536</v>
      </c>
      <c r="B537" s="1">
        <v>45930</v>
      </c>
      <c r="C537" t="str" cm="1">
        <f t="array" aca="1" ref="C537" ca="1">IF($O$7="Desbloqueado",
  _xlfn.LET(
    _xlpm.saldo_atual, SUM(($C$2:$C536="Entrada")*($F$2:$F536=Tabela_Movimentacao_Geral[[#This Row],[ID Produto]])*($H$2:$H536) - ($C$2:$C536="Saida")*($F$2:$F536=Tabela_Movimentacao_Geral[[#This Row],[ID Produto]])*($H$2:$H536)),
    IF(_xlpm.saldo_atual &gt; 0, IF(RANDBETWEEN(0,10)&gt;3,"Saida","Entrada"), "Entrada")
  ),
  Tabela_Movimentacao_Geral[[#This Row],[Tipo Fluxo]]
)</f>
        <v>Saida</v>
      </c>
      <c r="D5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5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537" t="str">
        <f ca="1">IF(
  $O$7="Desbloqueado",
  "PROD"&amp;TEXT(RANDBETWEEN(1,200),"000"),
  Tabela_Movimentacao_Geral[[#This Row],[ID Produto]]
)</f>
        <v>PROD046</v>
      </c>
      <c r="G537" t="str">
        <f ca="1">_xlfn.XLOOKUP(Tabela_Movimentacao_Geral[[#This Row],[ID Produto]], Tabela_Produtos[ID_Produto],Tabela_Produtos[Descricao_Produto],"Produto não encontrado")</f>
        <v>Organizador de Cabos Spiral</v>
      </c>
      <c r="H537" cm="1">
        <f t="array" aca="1" ref="H537" ca="1">IF(
   $O$7="Desbloqueado",
   _xlfn.LET(
     _xlpm.saldo_atual, SUM(($C$2:$C536="Entrada")*($F$2:$F536=Tabela_Movimentacao_Geral[[#This Row],[ID Produto]])*($H$2:$H536) - ($C$2:$C536="Saida")*($F$2:$F536=Tabela_Movimentacao_Geral[[#This Row],[ID Produto]])*($H$2:$H536)),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144</v>
      </c>
      <c r="I537" s="5">
        <f ca="1">_xlfn.XLOOKUP(Tabela_Movimentacao_Geral[[#This Row],[ID Produto]], Tabela_Produtos[ID_Produto],Tabela_Produtos[Preco_Unitario_Venda])</f>
        <v>15</v>
      </c>
      <c r="J537" s="6">
        <f ca="1">Tabela_Movimentacao_Geral[[#This Row],[Quantidade]] * Tabela_Movimentacao_Geral[[#This Row],[Valor Unitário]]</f>
        <v>2160</v>
      </c>
      <c r="K537" t="str">
        <f ca="1">IF(
   $O$7="Desbloqueado",
   CHOOSE(RANDBETWEEN(1,3),"Pago","Pendente","Atrasado"),
   Tabela_Movimentacao_Geral[[#This Row],[Status Financeiro]]
)</f>
        <v>Pendente</v>
      </c>
      <c r="L537" t="str">
        <f ca="1">IF(
   $O$7="Desbloqueado",
   CHOOSE(RANDBETWEEN(1,3),"Entregue","Em Rota","Aguardando"),
   Tabela_Movimentacao_Geral[[#This Row],[Status Logistico]]
)</f>
        <v>Entregue</v>
      </c>
      <c r="M53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8" spans="1:13" x14ac:dyDescent="0.3">
      <c r="A538" t="str">
        <f t="shared" si="8"/>
        <v>T0537</v>
      </c>
      <c r="B538" s="1">
        <v>45930</v>
      </c>
      <c r="C538" t="str" cm="1">
        <f t="array" aca="1" ref="C538" ca="1">IF($O$7="Desbloqueado",
  _xlfn.LET(
    _xlpm.saldo_atual, SUM(($C$2:$C537="Entrada")*($F$2:$F537=Tabela_Movimentacao_Geral[[#This Row],[ID Produto]])*($H$2:$H537) - ($C$2:$C537="Saida")*($F$2:$F537=Tabela_Movimentacao_Geral[[#This Row],[ID Produto]])*($H$2:$H537)),
    IF(_xlpm.saldo_atual &gt; 0, IF(RANDBETWEEN(0,10)&gt;3,"Saida","Entrada"), "Entrada")
  ),
  Tabela_Movimentacao_Geral[[#This Row],[Tipo Fluxo]]
)</f>
        <v>Saida</v>
      </c>
      <c r="D5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5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538" t="str">
        <f ca="1">IF(
  $O$7="Desbloqueado",
  "PROD"&amp;TEXT(RANDBETWEEN(1,200),"000"),
  Tabela_Movimentacao_Geral[[#This Row],[ID Produto]]
)</f>
        <v>PROD119</v>
      </c>
      <c r="G538" t="str">
        <f ca="1">_xlfn.XLOOKUP(Tabela_Movimentacao_Geral[[#This Row],[ID Produto]], Tabela_Produtos[ID_Produto],Tabela_Produtos[Descricao_Produto],"Produto não encontrado")</f>
        <v>Suporte CPU com Rodas</v>
      </c>
      <c r="H538" cm="1">
        <f t="array" aca="1" ref="H538" ca="1">IF(
   $O$7="Desbloqueado",
   _xlfn.LET(
     _xlpm.saldo_atual, SUM(($C$2:$C537="Entrada")*($F$2:$F537=Tabela_Movimentacao_Geral[[#This Row],[ID Produto]])*($H$2:$H537) - ($C$2:$C537="Saida")*($F$2:$F537=Tabela_Movimentacao_Geral[[#This Row],[ID Produto]])*($H$2:$H537)),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538" s="5">
        <f ca="1">_xlfn.XLOOKUP(Tabela_Movimentacao_Geral[[#This Row],[ID Produto]], Tabela_Produtos[ID_Produto],Tabela_Produtos[Preco_Unitario_Venda])</f>
        <v>75</v>
      </c>
      <c r="J538" s="6">
        <f ca="1">Tabela_Movimentacao_Geral[[#This Row],[Quantidade]] * Tabela_Movimentacao_Geral[[#This Row],[Valor Unitário]]</f>
        <v>375</v>
      </c>
      <c r="K538" t="str">
        <f ca="1">IF(
   $O$7="Desbloqueado",
   CHOOSE(RANDBETWEEN(1,3),"Pago","Pendente","Atrasado"),
   Tabela_Movimentacao_Geral[[#This Row],[Status Financeiro]]
)</f>
        <v>Pago</v>
      </c>
      <c r="L538" t="str">
        <f ca="1">IF(
   $O$7="Desbloqueado",
   CHOOSE(RANDBETWEEN(1,3),"Entregue","Em Rota","Aguardando"),
   Tabela_Movimentacao_Geral[[#This Row],[Status Logistico]]
)</f>
        <v>Aguardando</v>
      </c>
      <c r="M5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39" spans="1:13" x14ac:dyDescent="0.3">
      <c r="A539" t="str">
        <f t="shared" si="8"/>
        <v>T0538</v>
      </c>
      <c r="B539" s="1">
        <v>45931</v>
      </c>
      <c r="C539" t="str" cm="1">
        <f t="array" aca="1" ref="C539" ca="1">IF($O$7="Desbloqueado",
  _xlfn.LET(
    _xlpm.saldo_atual, SUM(($C$2:$C538="Entrada")*($F$2:$F538=Tabela_Movimentacao_Geral[[#This Row],[ID Produto]])*($H$2:$H538) - ($C$2:$C538="Saida")*($F$2:$F538=Tabela_Movimentacao_Geral[[#This Row],[ID Produto]])*($H$2:$H538)),
    IF(_xlpm.saldo_atual &gt; 0, IF(RANDBETWEEN(0,10)&gt;3,"Saida","Entrada"), "Entrada")
  ),
  Tabela_Movimentacao_Geral[[#This Row],[Tipo Fluxo]]
)</f>
        <v>Saida</v>
      </c>
      <c r="D5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5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539" t="str">
        <f ca="1">IF(
  $O$7="Desbloqueado",
  "PROD"&amp;TEXT(RANDBETWEEN(1,200),"000"),
  Tabela_Movimentacao_Geral[[#This Row],[ID Produto]]
)</f>
        <v>PROD143</v>
      </c>
      <c r="G539" t="str">
        <f ca="1">_xlfn.XLOOKUP(Tabela_Movimentacao_Geral[[#This Row],[ID Produto]], Tabela_Produtos[ID_Produto],Tabela_Produtos[Descricao_Produto],"Produto não encontrado")</f>
        <v>Spray Limpa Contatos</v>
      </c>
      <c r="H539" cm="1">
        <f t="array" aca="1" ref="H539" ca="1">IF(
   $O$7="Desbloqueado",
   _xlfn.LET(
     _xlpm.saldo_atual, SUM(($C$2:$C538="Entrada")*($F$2:$F538=Tabela_Movimentacao_Geral[[#This Row],[ID Produto]])*($H$2:$H538) - ($C$2:$C538="Saida")*($F$2:$F538=Tabela_Movimentacao_Geral[[#This Row],[ID Produto]])*($H$2:$H538)),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539" s="5">
        <f ca="1">_xlfn.XLOOKUP(Tabela_Movimentacao_Geral[[#This Row],[ID Produto]], Tabela_Produtos[ID_Produto],Tabela_Produtos[Preco_Unitario_Venda])</f>
        <v>35</v>
      </c>
      <c r="J539" s="6">
        <f ca="1">Tabela_Movimentacao_Geral[[#This Row],[Quantidade]] * Tabela_Movimentacao_Geral[[#This Row],[Valor Unitário]]</f>
        <v>385</v>
      </c>
      <c r="K539" t="str">
        <f ca="1">IF(
   $O$7="Desbloqueado",
   CHOOSE(RANDBETWEEN(1,3),"Pago","Pendente","Atrasado"),
   Tabela_Movimentacao_Geral[[#This Row],[Status Financeiro]]
)</f>
        <v>Pendente</v>
      </c>
      <c r="L539" t="str">
        <f ca="1">IF(
   $O$7="Desbloqueado",
   CHOOSE(RANDBETWEEN(1,3),"Entregue","Em Rota","Aguardando"),
   Tabela_Movimentacao_Geral[[#This Row],[Status Logistico]]
)</f>
        <v>Entregue</v>
      </c>
      <c r="M53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40" spans="1:13" x14ac:dyDescent="0.3">
      <c r="A540" t="str">
        <f t="shared" si="8"/>
        <v>T0539</v>
      </c>
      <c r="B540" s="1">
        <v>45932</v>
      </c>
      <c r="C540" t="str" cm="1">
        <f t="array" aca="1" ref="C540" ca="1">IF($O$7="Desbloqueado",
  _xlfn.LET(
    _xlpm.saldo_atual, SUM(($C$2:$C539="Entrada")*($F$2:$F539=Tabela_Movimentacao_Geral[[#This Row],[ID Produto]])*($H$2:$H539) - ($C$2:$C539="Saida")*($F$2:$F539=Tabela_Movimentacao_Geral[[#This Row],[ID Produto]])*($H$2:$H539)),
    IF(_xlpm.saldo_atual &gt; 0, IF(RANDBETWEEN(0,10)&gt;3,"Saida","Entrada"), "Entrada")
  ),
  Tabela_Movimentacao_Geral[[#This Row],[Tipo Fluxo]]
)</f>
        <v>Saida</v>
      </c>
      <c r="D5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5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540" t="str">
        <f ca="1">IF(
  $O$7="Desbloqueado",
  "PROD"&amp;TEXT(RANDBETWEEN(1,200),"000"),
  Tabela_Movimentacao_Geral[[#This Row],[ID Produto]]
)</f>
        <v>PROD128</v>
      </c>
      <c r="G540" t="str">
        <f ca="1">_xlfn.XLOOKUP(Tabela_Movimentacao_Geral[[#This Row],[ID Produto]], Tabela_Produtos[ID_Produto],Tabela_Produtos[Descricao_Produto],"Produto não encontrado")</f>
        <v>Cabo de Rede Cat5e 5m</v>
      </c>
      <c r="H540" cm="1">
        <f t="array" aca="1" ref="H540" ca="1">IF(
   $O$7="Desbloqueado",
   _xlfn.LET(
     _xlpm.saldo_atual, SUM(($C$2:$C539="Entrada")*($F$2:$F539=Tabela_Movimentacao_Geral[[#This Row],[ID Produto]])*($H$2:$H539) - ($C$2:$C539="Saida")*($F$2:$F539=Tabela_Movimentacao_Geral[[#This Row],[ID Produto]])*($H$2:$H539)),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148</v>
      </c>
      <c r="I540" s="5">
        <f ca="1">_xlfn.XLOOKUP(Tabela_Movimentacao_Geral[[#This Row],[ID Produto]], Tabela_Produtos[ID_Produto],Tabela_Produtos[Preco_Unitario_Venda])</f>
        <v>18</v>
      </c>
      <c r="J540" s="6">
        <f ca="1">Tabela_Movimentacao_Geral[[#This Row],[Quantidade]] * Tabela_Movimentacao_Geral[[#This Row],[Valor Unitário]]</f>
        <v>2664</v>
      </c>
      <c r="K540" t="str">
        <f ca="1">IF(
   $O$7="Desbloqueado",
   CHOOSE(RANDBETWEEN(1,3),"Pago","Pendente","Atrasado"),
   Tabela_Movimentacao_Geral[[#This Row],[Status Financeiro]]
)</f>
        <v>Pendente</v>
      </c>
      <c r="L540" t="str">
        <f ca="1">IF(
   $O$7="Desbloqueado",
   CHOOSE(RANDBETWEEN(1,3),"Entregue","Em Rota","Aguardando"),
   Tabela_Movimentacao_Geral[[#This Row],[Status Logistico]]
)</f>
        <v>Em Rota</v>
      </c>
      <c r="M54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41" spans="1:13" x14ac:dyDescent="0.3">
      <c r="A541" t="str">
        <f t="shared" si="8"/>
        <v>T0540</v>
      </c>
      <c r="B541" s="1">
        <v>45933</v>
      </c>
      <c r="C541" t="str" cm="1">
        <f t="array" aca="1" ref="C541" ca="1">IF($O$7="Desbloqueado",
  _xlfn.LET(
    _xlpm.saldo_atual, SUM(($C$2:$C540="Entrada")*($F$2:$F540=Tabela_Movimentacao_Geral[[#This Row],[ID Produto]])*($H$2:$H540) - ($C$2:$C540="Saida")*($F$2:$F540=Tabela_Movimentacao_Geral[[#This Row],[ID Produto]])*($H$2:$H540)),
    IF(_xlpm.saldo_atual &gt; 0, IF(RANDBETWEEN(0,10)&gt;3,"Saida","Entrada"), "Entrada")
  ),
  Tabela_Movimentacao_Geral[[#This Row],[Tipo Fluxo]]
)</f>
        <v>Entrada</v>
      </c>
      <c r="D5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5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541" t="str">
        <f ca="1">IF(
  $O$7="Desbloqueado",
  "PROD"&amp;TEXT(RANDBETWEEN(1,200),"000"),
  Tabela_Movimentacao_Geral[[#This Row],[ID Produto]]
)</f>
        <v>PROD158</v>
      </c>
      <c r="G541" t="str">
        <f ca="1">_xlfn.XLOOKUP(Tabela_Movimentacao_Geral[[#This Row],[ID Produto]], Tabela_Produtos[ID_Produto],Tabela_Produtos[Descricao_Produto],"Produto não encontrado")</f>
        <v>Extrator de Grampos</v>
      </c>
      <c r="H541" cm="1">
        <f t="array" aca="1" ref="H541" ca="1">IF(
   $O$7="Desbloqueado",
   _xlfn.LET(
     _xlpm.saldo_atual, SUM(($C$2:$C540="Entrada")*($F$2:$F540=Tabela_Movimentacao_Geral[[#This Row],[ID Produto]])*($H$2:$H540) - ($C$2:$C540="Saida")*($F$2:$F540=Tabela_Movimentacao_Geral[[#This Row],[ID Produto]])*($H$2:$H540)),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161</v>
      </c>
      <c r="I541" s="5">
        <f ca="1">_xlfn.XLOOKUP(Tabela_Movimentacao_Geral[[#This Row],[ID Produto]], Tabela_Produtos[ID_Produto],Tabela_Produtos[Preco_Unitario_Venda])</f>
        <v>7</v>
      </c>
      <c r="J541" s="6">
        <f ca="1">Tabela_Movimentacao_Geral[[#This Row],[Quantidade]] * Tabela_Movimentacao_Geral[[#This Row],[Valor Unitário]]</f>
        <v>1127</v>
      </c>
      <c r="K541" t="str">
        <f ca="1">IF(
   $O$7="Desbloqueado",
   CHOOSE(RANDBETWEEN(1,3),"Pago","Pendente","Atrasado"),
   Tabela_Movimentacao_Geral[[#This Row],[Status Financeiro]]
)</f>
        <v>Atrasado</v>
      </c>
      <c r="L541" t="str">
        <f ca="1">IF(
   $O$7="Desbloqueado",
   CHOOSE(RANDBETWEEN(1,3),"Entregue","Em Rota","Aguardando"),
   Tabela_Movimentacao_Geral[[#This Row],[Status Logistico]]
)</f>
        <v>Aguardando</v>
      </c>
      <c r="M54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45937</v>
      </c>
    </row>
    <row r="542" spans="1:13" x14ac:dyDescent="0.3">
      <c r="A542" t="str">
        <f t="shared" si="8"/>
        <v>T0541</v>
      </c>
      <c r="B542" s="1">
        <v>45934</v>
      </c>
      <c r="C542" t="str" cm="1">
        <f t="array" aca="1" ref="C542" ca="1">IF($O$7="Desbloqueado",
  _xlfn.LET(
    _xlpm.saldo_atual, SUM(($C$2:$C541="Entrada")*($F$2:$F541=Tabela_Movimentacao_Geral[[#This Row],[ID Produto]])*($H$2:$H541) - ($C$2:$C541="Saida")*($F$2:$F541=Tabela_Movimentacao_Geral[[#This Row],[ID Produto]])*($H$2:$H541)),
    IF(_xlpm.saldo_atual &gt; 0, IF(RANDBETWEEN(0,10)&gt;3,"Saida","Entrada"), "Entrada")
  ),
  Tabela_Movimentacao_Geral[[#This Row],[Tipo Fluxo]]
)</f>
        <v>Saida</v>
      </c>
      <c r="D5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5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542" t="str">
        <f ca="1">IF(
  $O$7="Desbloqueado",
  "PROD"&amp;TEXT(RANDBETWEEN(1,200),"000"),
  Tabela_Movimentacao_Geral[[#This Row],[ID Produto]]
)</f>
        <v>PROD004</v>
      </c>
      <c r="G542" t="str">
        <f ca="1">_xlfn.XLOOKUP(Tabela_Movimentacao_Geral[[#This Row],[ID Produto]], Tabela_Produtos[ID_Produto],Tabela_Produtos[Descricao_Produto],"Produto não encontrado")</f>
        <v>Cadeira Ergonomica Office</v>
      </c>
      <c r="H542" cm="1">
        <f t="array" aca="1" ref="H542" ca="1">IF(
   $O$7="Desbloqueado",
   _xlfn.LET(
     _xlpm.saldo_atual, SUM(($C$2:$C541="Entrada")*($F$2:$F541=Tabela_Movimentacao_Geral[[#This Row],[ID Produto]])*($H$2:$H541) - ($C$2:$C541="Saida")*($F$2:$F541=Tabela_Movimentacao_Geral[[#This Row],[ID Produto]])*($H$2:$H541)),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86</v>
      </c>
      <c r="I542" s="5">
        <f ca="1">_xlfn.XLOOKUP(Tabela_Movimentacao_Geral[[#This Row],[ID Produto]], Tabela_Produtos[ID_Produto],Tabela_Produtos[Preco_Unitario_Venda])</f>
        <v>1200</v>
      </c>
      <c r="J542" s="6">
        <f ca="1">Tabela_Movimentacao_Geral[[#This Row],[Quantidade]] * Tabela_Movimentacao_Geral[[#This Row],[Valor Unitário]]</f>
        <v>103200</v>
      </c>
      <c r="K542" t="str">
        <f ca="1">IF(
   $O$7="Desbloqueado",
   CHOOSE(RANDBETWEEN(1,3),"Pago","Pendente","Atrasado"),
   Tabela_Movimentacao_Geral[[#This Row],[Status Financeiro]]
)</f>
        <v>Atrasado</v>
      </c>
      <c r="L542" t="str">
        <f ca="1">IF(
   $O$7="Desbloqueado",
   CHOOSE(RANDBETWEEN(1,3),"Entregue","Em Rota","Aguardando"),
   Tabela_Movimentacao_Geral[[#This Row],[Status Logistico]]
)</f>
        <v>Aguardando</v>
      </c>
      <c r="M54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43" spans="1:13" x14ac:dyDescent="0.3">
      <c r="A543" t="str">
        <f t="shared" si="8"/>
        <v>T0542</v>
      </c>
      <c r="B543" s="1">
        <v>45934</v>
      </c>
      <c r="C543" t="str" cm="1">
        <f t="array" aca="1" ref="C543" ca="1">IF($O$7="Desbloqueado",
  _xlfn.LET(
    _xlpm.saldo_atual, SUM(($C$2:$C542="Entrada")*($F$2:$F542=Tabela_Movimentacao_Geral[[#This Row],[ID Produto]])*($H$2:$H542) - ($C$2:$C542="Saida")*($F$2:$F542=Tabela_Movimentacao_Geral[[#This Row],[ID Produto]])*($H$2:$H542)),
    IF(_xlpm.saldo_atual &gt; 0, IF(RANDBETWEEN(0,10)&gt;3,"Saida","Entrada"), "Entrada")
  ),
  Tabela_Movimentacao_Geral[[#This Row],[Tipo Fluxo]]
)</f>
        <v>Saida</v>
      </c>
      <c r="D5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5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543" t="str">
        <f ca="1">IF(
  $O$7="Desbloqueado",
  "PROD"&amp;TEXT(RANDBETWEEN(1,200),"000"),
  Tabela_Movimentacao_Geral[[#This Row],[ID Produto]]
)</f>
        <v>PROD151</v>
      </c>
      <c r="G543" t="str">
        <f ca="1">_xlfn.XLOOKUP(Tabela_Movimentacao_Geral[[#This Row],[ID Produto]], Tabela_Produtos[ID_Produto],Tabela_Produtos[Descricao_Produto],"Produto não encontrado")</f>
        <v>Papel Fotografico A4 20fls</v>
      </c>
      <c r="H543" cm="1">
        <f t="array" aca="1" ref="H543" ca="1">IF(
   $O$7="Desbloqueado",
   _xlfn.LET(
     _xlpm.saldo_atual, SUM(($C$2:$C542="Entrada")*($F$2:$F542=Tabela_Movimentacao_Geral[[#This Row],[ID Produto]])*($H$2:$H542) - ($C$2:$C542="Saida")*($F$2:$F542=Tabela_Movimentacao_Geral[[#This Row],[ID Produto]])*($H$2:$H542)),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122</v>
      </c>
      <c r="I543" s="5">
        <f ca="1">_xlfn.XLOOKUP(Tabela_Movimentacao_Geral[[#This Row],[ID Produto]], Tabela_Produtos[ID_Produto],Tabela_Produtos[Preco_Unitario_Venda])</f>
        <v>45</v>
      </c>
      <c r="J543" s="6">
        <f ca="1">Tabela_Movimentacao_Geral[[#This Row],[Quantidade]] * Tabela_Movimentacao_Geral[[#This Row],[Valor Unitário]]</f>
        <v>5490</v>
      </c>
      <c r="K543" t="str">
        <f ca="1">IF(
   $O$7="Desbloqueado",
   CHOOSE(RANDBETWEEN(1,3),"Pago","Pendente","Atrasado"),
   Tabela_Movimentacao_Geral[[#This Row],[Status Financeiro]]
)</f>
        <v>Pendente</v>
      </c>
      <c r="L543" t="str">
        <f ca="1">IF(
   $O$7="Desbloqueado",
   CHOOSE(RANDBETWEEN(1,3),"Entregue","Em Rota","Aguardando"),
   Tabela_Movimentacao_Geral[[#This Row],[Status Logistico]]
)</f>
        <v>Aguardando</v>
      </c>
      <c r="M5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44" spans="1:13" x14ac:dyDescent="0.3">
      <c r="A544" t="str">
        <f t="shared" si="8"/>
        <v>T0543</v>
      </c>
      <c r="B544" s="1">
        <v>45934</v>
      </c>
      <c r="C544" t="str" cm="1">
        <f t="array" aca="1" ref="C544" ca="1">IF($O$7="Desbloqueado",
  _xlfn.LET(
    _xlpm.saldo_atual, SUM(($C$2:$C543="Entrada")*($F$2:$F543=Tabela_Movimentacao_Geral[[#This Row],[ID Produto]])*($H$2:$H543) - ($C$2:$C543="Saida")*($F$2:$F543=Tabela_Movimentacao_Geral[[#This Row],[ID Produto]])*($H$2:$H543)),
    IF(_xlpm.saldo_atual &gt; 0, IF(RANDBETWEEN(0,10)&gt;3,"Saida","Entrada"), "Entrada")
  ),
  Tabela_Movimentacao_Geral[[#This Row],[Tipo Fluxo]]
)</f>
        <v>Saida</v>
      </c>
      <c r="D5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5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544" t="str">
        <f ca="1">IF(
  $O$7="Desbloqueado",
  "PROD"&amp;TEXT(RANDBETWEEN(1,200),"000"),
  Tabela_Movimentacao_Geral[[#This Row],[ID Produto]]
)</f>
        <v>PROD119</v>
      </c>
      <c r="G544" t="str">
        <f ca="1">_xlfn.XLOOKUP(Tabela_Movimentacao_Geral[[#This Row],[ID Produto]], Tabela_Produtos[ID_Produto],Tabela_Produtos[Descricao_Produto],"Produto não encontrado")</f>
        <v>Suporte CPU com Rodas</v>
      </c>
      <c r="H544" cm="1">
        <f t="array" aca="1" ref="H544" ca="1">IF(
   $O$7="Desbloqueado",
   _xlfn.LET(
     _xlpm.saldo_atual, SUM(($C$2:$C543="Entrada")*($F$2:$F543=Tabela_Movimentacao_Geral[[#This Row],[ID Produto]])*($H$2:$H543) - ($C$2:$C543="Saida")*($F$2:$F543=Tabela_Movimentacao_Geral[[#This Row],[ID Produto]])*($H$2:$H543)),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544" s="5">
        <f ca="1">_xlfn.XLOOKUP(Tabela_Movimentacao_Geral[[#This Row],[ID Produto]], Tabela_Produtos[ID_Produto],Tabela_Produtos[Preco_Unitario_Venda])</f>
        <v>75</v>
      </c>
      <c r="J544" s="6">
        <f ca="1">Tabela_Movimentacao_Geral[[#This Row],[Quantidade]] * Tabela_Movimentacao_Geral[[#This Row],[Valor Unitário]]</f>
        <v>1050</v>
      </c>
      <c r="K544" t="str">
        <f ca="1">IF(
   $O$7="Desbloqueado",
   CHOOSE(RANDBETWEEN(1,3),"Pago","Pendente","Atrasado"),
   Tabela_Movimentacao_Geral[[#This Row],[Status Financeiro]]
)</f>
        <v>Pago</v>
      </c>
      <c r="L544" t="str">
        <f ca="1">IF(
   $O$7="Desbloqueado",
   CHOOSE(RANDBETWEEN(1,3),"Entregue","Em Rota","Aguardando"),
   Tabela_Movimentacao_Geral[[#This Row],[Status Logistico]]
)</f>
        <v>Aguardando</v>
      </c>
      <c r="M5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45" spans="1:13" x14ac:dyDescent="0.3">
      <c r="A545" t="str">
        <f t="shared" si="8"/>
        <v>T0544</v>
      </c>
      <c r="B545" s="1">
        <v>45935</v>
      </c>
      <c r="C545" t="str" cm="1">
        <f t="array" aca="1" ref="C545" ca="1">IF($O$7="Desbloqueado",
  _xlfn.LET(
    _xlpm.saldo_atual, SUM(($C$2:$C544="Entrada")*($F$2:$F544=Tabela_Movimentacao_Geral[[#This Row],[ID Produto]])*($H$2:$H544) - ($C$2:$C544="Saida")*($F$2:$F544=Tabela_Movimentacao_Geral[[#This Row],[ID Produto]])*($H$2:$H544)),
    IF(_xlpm.saldo_atual &gt; 0, IF(RANDBETWEEN(0,10)&gt;3,"Saida","Entrada"), "Entrada")
  ),
  Tabela_Movimentacao_Geral[[#This Row],[Tipo Fluxo]]
)</f>
        <v>Saida</v>
      </c>
      <c r="D5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5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545" t="str">
        <f ca="1">IF(
  $O$7="Desbloqueado",
  "PROD"&amp;TEXT(RANDBETWEEN(1,200),"000"),
  Tabela_Movimentacao_Geral[[#This Row],[ID Produto]]
)</f>
        <v>PROD196</v>
      </c>
      <c r="G545" t="str">
        <f ca="1">_xlfn.XLOOKUP(Tabela_Movimentacao_Geral[[#This Row],[ID Produto]], Tabela_Produtos[ID_Produto],Tabela_Produtos[Descricao_Produto],"Produto não encontrado")</f>
        <v>Kit Chaves Precisao</v>
      </c>
      <c r="H545" cm="1">
        <f t="array" aca="1" ref="H545" ca="1">IF(
   $O$7="Desbloqueado",
   _xlfn.LET(
     _xlpm.saldo_atual, SUM(($C$2:$C544="Entrada")*($F$2:$F544=Tabela_Movimentacao_Geral[[#This Row],[ID Produto]])*($H$2:$H544) - ($C$2:$C544="Saida")*($F$2:$F544=Tabela_Movimentacao_Geral[[#This Row],[ID Produto]])*($H$2:$H544)),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545" s="5">
        <f ca="1">_xlfn.XLOOKUP(Tabela_Movimentacao_Geral[[#This Row],[ID Produto]], Tabela_Produtos[ID_Produto],Tabela_Produtos[Preco_Unitario_Venda])</f>
        <v>95</v>
      </c>
      <c r="J545" s="6">
        <f ca="1">Tabela_Movimentacao_Geral[[#This Row],[Quantidade]] * Tabela_Movimentacao_Geral[[#This Row],[Valor Unitário]]</f>
        <v>6555</v>
      </c>
      <c r="K545" t="str">
        <f ca="1">IF(
   $O$7="Desbloqueado",
   CHOOSE(RANDBETWEEN(1,3),"Pago","Pendente","Atrasado"),
   Tabela_Movimentacao_Geral[[#This Row],[Status Financeiro]]
)</f>
        <v>Pago</v>
      </c>
      <c r="L545" t="str">
        <f ca="1">IF(
   $O$7="Desbloqueado",
   CHOOSE(RANDBETWEEN(1,3),"Entregue","Em Rota","Aguardando"),
   Tabela_Movimentacao_Geral[[#This Row],[Status Logistico]]
)</f>
        <v>Entregue</v>
      </c>
      <c r="M54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46" spans="1:13" x14ac:dyDescent="0.3">
      <c r="A546" t="str">
        <f t="shared" si="8"/>
        <v>T0545</v>
      </c>
      <c r="B546" s="1">
        <v>45935</v>
      </c>
      <c r="C546" t="str" cm="1">
        <f t="array" aca="1" ref="C546" ca="1">IF($O$7="Desbloqueado",
  _xlfn.LET(
    _xlpm.saldo_atual, SUM(($C$2:$C545="Entrada")*($F$2:$F545=Tabela_Movimentacao_Geral[[#This Row],[ID Produto]])*($H$2:$H545) - ($C$2:$C545="Saida")*($F$2:$F545=Tabela_Movimentacao_Geral[[#This Row],[ID Produto]])*($H$2:$H545)),
    IF(_xlpm.saldo_atual &gt; 0, IF(RANDBETWEEN(0,10)&gt;3,"Saida","Entrada"), "Entrada")
  ),
  Tabela_Movimentacao_Geral[[#This Row],[Tipo Fluxo]]
)</f>
        <v>Entrada</v>
      </c>
      <c r="D5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5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546" t="str">
        <f ca="1">IF(
  $O$7="Desbloqueado",
  "PROD"&amp;TEXT(RANDBETWEEN(1,200),"000"),
  Tabela_Movimentacao_Geral[[#This Row],[ID Produto]]
)</f>
        <v>PROD039</v>
      </c>
      <c r="G546" t="str">
        <f ca="1">_xlfn.XLOOKUP(Tabela_Movimentacao_Geral[[#This Row],[ID Produto]], Tabela_Produtos[ID_Produto],Tabela_Produtos[Descricao_Produto],"Produto não encontrado")</f>
        <v>Pasta Termica High Silver</v>
      </c>
      <c r="H546" cm="1">
        <f t="array" aca="1" ref="H546" ca="1">IF(
   $O$7="Desbloqueado",
   _xlfn.LET(
     _xlpm.saldo_atual, SUM(($C$2:$C545="Entrada")*($F$2:$F545=Tabela_Movimentacao_Geral[[#This Row],[ID Produto]])*($H$2:$H545) - ($C$2:$C545="Saida")*($F$2:$F545=Tabela_Movimentacao_Geral[[#This Row],[ID Produto]])*($H$2:$H545)),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83</v>
      </c>
      <c r="I546" s="5">
        <f ca="1">_xlfn.XLOOKUP(Tabela_Movimentacao_Geral[[#This Row],[ID Produto]], Tabela_Produtos[ID_Produto],Tabela_Produtos[Preco_Unitario_Venda])</f>
        <v>40</v>
      </c>
      <c r="J546" s="6">
        <f ca="1">Tabela_Movimentacao_Geral[[#This Row],[Quantidade]] * Tabela_Movimentacao_Geral[[#This Row],[Valor Unitário]]</f>
        <v>3320</v>
      </c>
      <c r="K546" t="str">
        <f ca="1">IF(
   $O$7="Desbloqueado",
   CHOOSE(RANDBETWEEN(1,3),"Pago","Pendente","Atrasado"),
   Tabela_Movimentacao_Geral[[#This Row],[Status Financeiro]]
)</f>
        <v>Pendente</v>
      </c>
      <c r="L546" t="str">
        <f ca="1">IF(
   $O$7="Desbloqueado",
   CHOOSE(RANDBETWEEN(1,3),"Entregue","Em Rota","Aguardando"),
   Tabela_Movimentacao_Geral[[#This Row],[Status Logistico]]
)</f>
        <v>Aguardando</v>
      </c>
      <c r="M5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45937</v>
      </c>
    </row>
    <row r="547" spans="1:13" x14ac:dyDescent="0.3">
      <c r="A547" t="str">
        <f t="shared" si="8"/>
        <v>T0546</v>
      </c>
      <c r="B547" s="1">
        <v>45936</v>
      </c>
      <c r="C547" t="str" cm="1">
        <f t="array" aca="1" ref="C547" ca="1">IF($O$7="Desbloqueado",
  _xlfn.LET(
    _xlpm.saldo_atual, SUM(($C$2:$C546="Entrada")*($F$2:$F546=Tabela_Movimentacao_Geral[[#This Row],[ID Produto]])*($H$2:$H546) - ($C$2:$C546="Saida")*($F$2:$F546=Tabela_Movimentacao_Geral[[#This Row],[ID Produto]])*($H$2:$H546)),
    IF(_xlpm.saldo_atual &gt; 0, IF(RANDBETWEEN(0,10)&gt;3,"Saida","Entrada"), "Entrada")
  ),
  Tabela_Movimentacao_Geral[[#This Row],[Tipo Fluxo]]
)</f>
        <v>Entrada</v>
      </c>
      <c r="D5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5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547" t="str">
        <f ca="1">IF(
  $O$7="Desbloqueado",
  "PROD"&amp;TEXT(RANDBETWEEN(1,200),"000"),
  Tabela_Movimentacao_Geral[[#This Row],[ID Produto]]
)</f>
        <v>PROD163</v>
      </c>
      <c r="G547" t="str">
        <f ca="1">_xlfn.XLOOKUP(Tabela_Movimentacao_Geral[[#This Row],[ID Produto]], Tabela_Produtos[ID_Produto],Tabela_Produtos[Descricao_Produto],"Produto não encontrado")</f>
        <v>Porta Recados Aramado</v>
      </c>
      <c r="H547" cm="1">
        <f t="array" aca="1" ref="H547" ca="1">IF(
   $O$7="Desbloqueado",
   _xlfn.LET(
     _xlpm.saldo_atual, SUM(($C$2:$C546="Entrada")*($F$2:$F546=Tabela_Movimentacao_Geral[[#This Row],[ID Produto]])*($H$2:$H546) - ($C$2:$C546="Saida")*($F$2:$F546=Tabela_Movimentacao_Geral[[#This Row],[ID Produto]])*($H$2:$H546)),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547" s="5">
        <f ca="1">_xlfn.XLOOKUP(Tabela_Movimentacao_Geral[[#This Row],[ID Produto]], Tabela_Produtos[ID_Produto],Tabela_Produtos[Preco_Unitario_Venda])</f>
        <v>18</v>
      </c>
      <c r="J547" s="6">
        <f ca="1">Tabela_Movimentacao_Geral[[#This Row],[Quantidade]] * Tabela_Movimentacao_Geral[[#This Row],[Valor Unitário]]</f>
        <v>378</v>
      </c>
      <c r="K547" t="str">
        <f ca="1">IF(
   $O$7="Desbloqueado",
   CHOOSE(RANDBETWEEN(1,3),"Pago","Pendente","Atrasado"),
   Tabela_Movimentacao_Geral[[#This Row],[Status Financeiro]]
)</f>
        <v>Pendente</v>
      </c>
      <c r="L547" t="str">
        <f ca="1">IF(
   $O$7="Desbloqueado",
   CHOOSE(RANDBETWEEN(1,3),"Entregue","Em Rota","Aguardando"),
   Tabela_Movimentacao_Geral[[#This Row],[Status Logistico]]
)</f>
        <v>Em Rota</v>
      </c>
      <c r="M5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45937</v>
      </c>
    </row>
    <row r="548" spans="1:13" x14ac:dyDescent="0.3">
      <c r="A548" t="str">
        <f t="shared" si="8"/>
        <v>T0547</v>
      </c>
      <c r="B548" s="1">
        <v>45937</v>
      </c>
      <c r="C548" t="str" cm="1">
        <f t="array" aca="1" ref="C548" ca="1">IF($O$7="Desbloqueado",
  _xlfn.LET(
    _xlpm.saldo_atual, SUM(($C$2:$C547="Entrada")*($F$2:$F547=Tabela_Movimentacao_Geral[[#This Row],[ID Produto]])*($H$2:$H547) - ($C$2:$C547="Saida")*($F$2:$F547=Tabela_Movimentacao_Geral[[#This Row],[ID Produto]])*($H$2:$H547)),
    IF(_xlpm.saldo_atual &gt; 0, IF(RANDBETWEEN(0,10)&gt;3,"Saida","Entrada"), "Entrada")
  ),
  Tabela_Movimentacao_Geral[[#This Row],[Tipo Fluxo]]
)</f>
        <v>Saida</v>
      </c>
      <c r="D5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5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548" t="str">
        <f ca="1">IF(
  $O$7="Desbloqueado",
  "PROD"&amp;TEXT(RANDBETWEEN(1,200),"000"),
  Tabela_Movimentacao_Geral[[#This Row],[ID Produto]]
)</f>
        <v>PROD094</v>
      </c>
      <c r="G548" t="str">
        <f ca="1">_xlfn.XLOOKUP(Tabela_Movimentacao_Geral[[#This Row],[ID Produto]], Tabela_Produtos[ID_Produto],Tabela_Produtos[Descricao_Produto],"Produto não encontrado")</f>
        <v>Exaustor para Rack</v>
      </c>
      <c r="H548" cm="1">
        <f t="array" aca="1" ref="H548" ca="1">IF(
   $O$7="Desbloqueado",
   _xlfn.LET(
     _xlpm.saldo_atual, SUM(($C$2:$C547="Entrada")*($F$2:$F547=Tabela_Movimentacao_Geral[[#This Row],[ID Produto]])*($H$2:$H547) - ($C$2:$C547="Saida")*($F$2:$F547=Tabela_Movimentacao_Geral[[#This Row],[ID Produto]])*($H$2:$H547)),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548" s="5">
        <f ca="1">_xlfn.XLOOKUP(Tabela_Movimentacao_Geral[[#This Row],[ID Produto]], Tabela_Produtos[ID_Produto],Tabela_Produtos[Preco_Unitario_Venda])</f>
        <v>220</v>
      </c>
      <c r="J548" s="6">
        <f ca="1">Tabela_Movimentacao_Geral[[#This Row],[Quantidade]] * Tabela_Movimentacao_Geral[[#This Row],[Valor Unitário]]</f>
        <v>440</v>
      </c>
      <c r="K548" t="str">
        <f ca="1">IF(
   $O$7="Desbloqueado",
   CHOOSE(RANDBETWEEN(1,3),"Pago","Pendente","Atrasado"),
   Tabela_Movimentacao_Geral[[#This Row],[Status Financeiro]]
)</f>
        <v>Pendente</v>
      </c>
      <c r="L548" t="str">
        <f ca="1">IF(
   $O$7="Desbloqueado",
   CHOOSE(RANDBETWEEN(1,3),"Entregue","Em Rota","Aguardando"),
   Tabela_Movimentacao_Geral[[#This Row],[Status Logistico]]
)</f>
        <v>Aguardando</v>
      </c>
      <c r="M54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49" spans="1:13" x14ac:dyDescent="0.3">
      <c r="A549" t="str">
        <f t="shared" si="8"/>
        <v>T0548</v>
      </c>
      <c r="B549" s="1">
        <v>45937</v>
      </c>
      <c r="C549" t="str" cm="1">
        <f t="array" aca="1" ref="C549" ca="1">IF($O$7="Desbloqueado",
  _xlfn.LET(
    _xlpm.saldo_atual, SUM(($C$2:$C548="Entrada")*($F$2:$F548=Tabela_Movimentacao_Geral[[#This Row],[ID Produto]])*($H$2:$H548) - ($C$2:$C548="Saida")*($F$2:$F548=Tabela_Movimentacao_Geral[[#This Row],[ID Produto]])*($H$2:$H548)),
    IF(_xlpm.saldo_atual &gt; 0, IF(RANDBETWEEN(0,10)&gt;3,"Saida","Entrada"), "Entrada")
  ),
  Tabela_Movimentacao_Geral[[#This Row],[Tipo Fluxo]]
)</f>
        <v>Entrada</v>
      </c>
      <c r="D5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5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549" t="str">
        <f ca="1">IF(
  $O$7="Desbloqueado",
  "PROD"&amp;TEXT(RANDBETWEEN(1,200),"000"),
  Tabela_Movimentacao_Geral[[#This Row],[ID Produto]]
)</f>
        <v>PROD065</v>
      </c>
      <c r="G549" t="str">
        <f ca="1">_xlfn.XLOOKUP(Tabela_Movimentacao_Geral[[#This Row],[ID Produto]], Tabela_Produtos[ID_Produto],Tabela_Produtos[Descricao_Produto],"Produto não encontrado")</f>
        <v>Fita Adesiva Transp 45x40</v>
      </c>
      <c r="H549" cm="1">
        <f t="array" aca="1" ref="H549" ca="1">IF(
   $O$7="Desbloqueado",
   _xlfn.LET(
     _xlpm.saldo_atual, SUM(($C$2:$C548="Entrada")*($F$2:$F548=Tabela_Movimentacao_Geral[[#This Row],[ID Produto]])*($H$2:$H548) - ($C$2:$C548="Saida")*($F$2:$F548=Tabela_Movimentacao_Geral[[#This Row],[ID Produto]])*($H$2:$H548)),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549" s="5">
        <f ca="1">_xlfn.XLOOKUP(Tabela_Movimentacao_Geral[[#This Row],[ID Produto]], Tabela_Produtos[ID_Produto],Tabela_Produtos[Preco_Unitario_Venda])</f>
        <v>12</v>
      </c>
      <c r="J549" s="6">
        <f ca="1">Tabela_Movimentacao_Geral[[#This Row],[Quantidade]] * Tabela_Movimentacao_Geral[[#This Row],[Valor Unitário]]</f>
        <v>732</v>
      </c>
      <c r="K549" t="str">
        <f ca="1">IF(
   $O$7="Desbloqueado",
   CHOOSE(RANDBETWEEN(1,3),"Pago","Pendente","Atrasado"),
   Tabela_Movimentacao_Geral[[#This Row],[Status Financeiro]]
)</f>
        <v>Atrasado</v>
      </c>
      <c r="L549" t="str">
        <f ca="1">IF(
   $O$7="Desbloqueado",
   CHOOSE(RANDBETWEEN(1,3),"Entregue","Em Rota","Aguardando"),
   Tabela_Movimentacao_Geral[[#This Row],[Status Logistico]]
)</f>
        <v>Aguardando</v>
      </c>
      <c r="M54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45939</v>
      </c>
    </row>
    <row r="550" spans="1:13" x14ac:dyDescent="0.3">
      <c r="A550" t="str">
        <f t="shared" si="8"/>
        <v>T0549</v>
      </c>
      <c r="B550" s="1">
        <v>45937</v>
      </c>
      <c r="C550" t="str" cm="1">
        <f t="array" aca="1" ref="C550" ca="1">IF($O$7="Desbloqueado",
  _xlfn.LET(
    _xlpm.saldo_atual, SUM(($C$2:$C549="Entrada")*($F$2:$F549=Tabela_Movimentacao_Geral[[#This Row],[ID Produto]])*($H$2:$H549) - ($C$2:$C549="Saida")*($F$2:$F549=Tabela_Movimentacao_Geral[[#This Row],[ID Produto]])*($H$2:$H549)),
    IF(_xlpm.saldo_atual &gt; 0, IF(RANDBETWEEN(0,10)&gt;3,"Saida","Entrada"), "Entrada")
  ),
  Tabela_Movimentacao_Geral[[#This Row],[Tipo Fluxo]]
)</f>
        <v>Saida</v>
      </c>
      <c r="D5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5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550" t="str">
        <f ca="1">IF(
  $O$7="Desbloqueado",
  "PROD"&amp;TEXT(RANDBETWEEN(1,200),"000"),
  Tabela_Movimentacao_Geral[[#This Row],[ID Produto]]
)</f>
        <v>PROD037</v>
      </c>
      <c r="G550" t="str">
        <f ca="1">_xlfn.XLOOKUP(Tabela_Movimentacao_Geral[[#This Row],[ID Produto]], Tabela_Produtos[ID_Produto],Tabela_Produtos[Descricao_Produto],"Produto não encontrado")</f>
        <v>Placa de Video 4GB</v>
      </c>
      <c r="H550" cm="1">
        <f t="array" aca="1" ref="H550" ca="1">IF(
   $O$7="Desbloqueado",
   _xlfn.LET(
     _xlpm.saldo_atual, SUM(($C$2:$C549="Entrada")*($F$2:$F549=Tabela_Movimentacao_Geral[[#This Row],[ID Produto]])*($H$2:$H549) - ($C$2:$C549="Saida")*($F$2:$F549=Tabela_Movimentacao_Geral[[#This Row],[ID Produto]])*($H$2:$H549)),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550" s="5">
        <f ca="1">_xlfn.XLOOKUP(Tabela_Movimentacao_Geral[[#This Row],[ID Produto]], Tabela_Produtos[ID_Produto],Tabela_Produtos[Preco_Unitario_Venda])</f>
        <v>1400</v>
      </c>
      <c r="J550" s="6">
        <f ca="1">Tabela_Movimentacao_Geral[[#This Row],[Quantidade]] * Tabela_Movimentacao_Geral[[#This Row],[Valor Unitário]]</f>
        <v>102200</v>
      </c>
      <c r="K550" t="str">
        <f ca="1">IF(
   $O$7="Desbloqueado",
   CHOOSE(RANDBETWEEN(1,3),"Pago","Pendente","Atrasado"),
   Tabela_Movimentacao_Geral[[#This Row],[Status Financeiro]]
)</f>
        <v>Atrasado</v>
      </c>
      <c r="L550" t="str">
        <f ca="1">IF(
   $O$7="Desbloqueado",
   CHOOSE(RANDBETWEEN(1,3),"Entregue","Em Rota","Aguardando"),
   Tabela_Movimentacao_Geral[[#This Row],[Status Logistico]]
)</f>
        <v>Em Rota</v>
      </c>
      <c r="M55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51" spans="1:13" x14ac:dyDescent="0.3">
      <c r="A551" t="str">
        <f t="shared" si="8"/>
        <v>T0550</v>
      </c>
      <c r="B551" s="1">
        <v>45937</v>
      </c>
      <c r="C551" t="str" cm="1">
        <f t="array" aca="1" ref="C551" ca="1">IF($O$7="Desbloqueado",
  _xlfn.LET(
    _xlpm.saldo_atual, SUM(($C$2:$C550="Entrada")*($F$2:$F550=Tabela_Movimentacao_Geral[[#This Row],[ID Produto]])*($H$2:$H550) - ($C$2:$C550="Saida")*($F$2:$F550=Tabela_Movimentacao_Geral[[#This Row],[ID Produto]])*($H$2:$H550)),
    IF(_xlpm.saldo_atual &gt; 0, IF(RANDBETWEEN(0,10)&gt;3,"Saida","Entrada"), "Entrada")
  ),
  Tabela_Movimentacao_Geral[[#This Row],[Tipo Fluxo]]
)</f>
        <v>Entrada</v>
      </c>
      <c r="D5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5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551" t="str">
        <f ca="1">IF(
  $O$7="Desbloqueado",
  "PROD"&amp;TEXT(RANDBETWEEN(1,200),"000"),
  Tabela_Movimentacao_Geral[[#This Row],[ID Produto]]
)</f>
        <v>PROD114</v>
      </c>
      <c r="G551" t="str">
        <f ca="1">_xlfn.XLOOKUP(Tabela_Movimentacao_Geral[[#This Row],[ID Produto]], Tabela_Produtos[ID_Produto],Tabela_Produtos[Descricao_Produto],"Produto não encontrado")</f>
        <v>Access Point Corporativo</v>
      </c>
      <c r="H551" cm="1">
        <f t="array" aca="1" ref="H551" ca="1">IF(
   $O$7="Desbloqueado",
   _xlfn.LET(
     _xlpm.saldo_atual, SUM(($C$2:$C550="Entrada")*($F$2:$F550=Tabela_Movimentacao_Geral[[#This Row],[ID Produto]])*($H$2:$H550) - ($C$2:$C550="Saida")*($F$2:$F550=Tabela_Movimentacao_Geral[[#This Row],[ID Produto]])*($H$2:$H550)),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551" s="5">
        <f ca="1">_xlfn.XLOOKUP(Tabela_Movimentacao_Geral[[#This Row],[ID Produto]], Tabela_Produtos[ID_Produto],Tabela_Produtos[Preco_Unitario_Venda])</f>
        <v>1450</v>
      </c>
      <c r="J551" s="6">
        <f ca="1">Tabela_Movimentacao_Geral[[#This Row],[Quantidade]] * Tabela_Movimentacao_Geral[[#This Row],[Valor Unitário]]</f>
        <v>27550</v>
      </c>
      <c r="K551" t="str">
        <f ca="1">IF(
   $O$7="Desbloqueado",
   CHOOSE(RANDBETWEEN(1,3),"Pago","Pendente","Atrasado"),
   Tabela_Movimentacao_Geral[[#This Row],[Status Financeiro]]
)</f>
        <v>Atrasado</v>
      </c>
      <c r="L551" t="str">
        <f ca="1">IF(
   $O$7="Desbloqueado",
   CHOOSE(RANDBETWEEN(1,3),"Entregue","Em Rota","Aguardando"),
   Tabela_Movimentacao_Geral[[#This Row],[Status Logistico]]
)</f>
        <v>Aguardando</v>
      </c>
      <c r="M55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45938</v>
      </c>
    </row>
    <row r="552" spans="1:13" x14ac:dyDescent="0.3">
      <c r="A552" t="str">
        <f t="shared" si="8"/>
        <v>T0551</v>
      </c>
      <c r="B552" s="1">
        <v>45938</v>
      </c>
      <c r="C552" t="str" cm="1">
        <f t="array" aca="1" ref="C552" ca="1">IF($O$7="Desbloqueado",
  _xlfn.LET(
    _xlpm.saldo_atual, SUM(($C$2:$C551="Entrada")*($F$2:$F551=Tabela_Movimentacao_Geral[[#This Row],[ID Produto]])*($H$2:$H551) - ($C$2:$C551="Saida")*($F$2:$F551=Tabela_Movimentacao_Geral[[#This Row],[ID Produto]])*($H$2:$H551)),
    IF(_xlpm.saldo_atual &gt; 0, IF(RANDBETWEEN(0,10)&gt;3,"Saida","Entrada"), "Entrada")
  ),
  Tabela_Movimentacao_Geral[[#This Row],[Tipo Fluxo]]
)</f>
        <v>Entrada</v>
      </c>
      <c r="D5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5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552" t="str">
        <f ca="1">IF(
  $O$7="Desbloqueado",
  "PROD"&amp;TEXT(RANDBETWEEN(1,200),"000"),
  Tabela_Movimentacao_Geral[[#This Row],[ID Produto]]
)</f>
        <v>PROD186</v>
      </c>
      <c r="G552" t="str">
        <f ca="1">_xlfn.XLOOKUP(Tabela_Movimentacao_Geral[[#This Row],[ID Produto]], Tabela_Produtos[ID_Produto],Tabela_Produtos[Descricao_Produto],"Produto não encontrado")</f>
        <v>KVM Console Gaveta 17</v>
      </c>
      <c r="H552" cm="1">
        <f t="array" aca="1" ref="H552" ca="1">IF(
   $O$7="Desbloqueado",
   _xlfn.LET(
     _xlpm.saldo_atual, SUM(($C$2:$C551="Entrada")*($F$2:$F551=Tabela_Movimentacao_Geral[[#This Row],[ID Produto]])*($H$2:$H551) - ($C$2:$C551="Saida")*($F$2:$F551=Tabela_Movimentacao_Geral[[#This Row],[ID Produto]])*($H$2:$H551)),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552" s="5">
        <f ca="1">_xlfn.XLOOKUP(Tabela_Movimentacao_Geral[[#This Row],[ID Produto]], Tabela_Produtos[ID_Produto],Tabela_Produtos[Preco_Unitario_Venda])</f>
        <v>6800</v>
      </c>
      <c r="J552" s="6">
        <f ca="1">Tabela_Movimentacao_Geral[[#This Row],[Quantidade]] * Tabela_Movimentacao_Geral[[#This Row],[Valor Unitário]]</f>
        <v>299200</v>
      </c>
      <c r="K552" t="str">
        <f ca="1">IF(
   $O$7="Desbloqueado",
   CHOOSE(RANDBETWEEN(1,3),"Pago","Pendente","Atrasado"),
   Tabela_Movimentacao_Geral[[#This Row],[Status Financeiro]]
)</f>
        <v>Pago</v>
      </c>
      <c r="L552" t="str">
        <f ca="1">IF(
   $O$7="Desbloqueado",
   CHOOSE(RANDBETWEEN(1,3),"Entregue","Em Rota","Aguardando"),
   Tabela_Movimentacao_Geral[[#This Row],[Status Logistico]]
)</f>
        <v>Entregue</v>
      </c>
      <c r="M55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45940</v>
      </c>
    </row>
    <row r="553" spans="1:13" x14ac:dyDescent="0.3">
      <c r="A553" t="str">
        <f t="shared" si="8"/>
        <v>T0552</v>
      </c>
      <c r="B553" s="1">
        <v>45938</v>
      </c>
      <c r="C553" t="str" cm="1">
        <f t="array" aca="1" ref="C553" ca="1">IF($O$7="Desbloqueado",
  _xlfn.LET(
    _xlpm.saldo_atual, SUM(($C$2:$C552="Entrada")*($F$2:$F552=Tabela_Movimentacao_Geral[[#This Row],[ID Produto]])*($H$2:$H552) - ($C$2:$C552="Saida")*($F$2:$F552=Tabela_Movimentacao_Geral[[#This Row],[ID Produto]])*($H$2:$H552)),
    IF(_xlpm.saldo_atual &gt; 0, IF(RANDBETWEEN(0,10)&gt;3,"Saida","Entrada"), "Entrada")
  ),
  Tabela_Movimentacao_Geral[[#This Row],[Tipo Fluxo]]
)</f>
        <v>Saida</v>
      </c>
      <c r="D5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5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553" t="str">
        <f ca="1">IF(
  $O$7="Desbloqueado",
  "PROD"&amp;TEXT(RANDBETWEEN(1,200),"000"),
  Tabela_Movimentacao_Geral[[#This Row],[ID Produto]]
)</f>
        <v>PROD096</v>
      </c>
      <c r="G553" t="str">
        <f ca="1">_xlfn.XLOOKUP(Tabela_Movimentacao_Geral[[#This Row],[ID Produto]], Tabela_Produtos[ID_Produto],Tabela_Produtos[Descricao_Produto],"Produto não encontrado")</f>
        <v>Sensor de Temperatura IP</v>
      </c>
      <c r="H553" cm="1">
        <f t="array" aca="1" ref="H553" ca="1">IF(
   $O$7="Desbloqueado",
   _xlfn.LET(
     _xlpm.saldo_atual, SUM(($C$2:$C552="Entrada")*($F$2:$F552=Tabela_Movimentacao_Geral[[#This Row],[ID Produto]])*($H$2:$H552) - ($C$2:$C552="Saida")*($F$2:$F552=Tabela_Movimentacao_Geral[[#This Row],[ID Produto]])*($H$2:$H552)),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36</v>
      </c>
      <c r="I553" s="5">
        <f ca="1">_xlfn.XLOOKUP(Tabela_Movimentacao_Geral[[#This Row],[ID Produto]], Tabela_Produtos[ID_Produto],Tabela_Produtos[Preco_Unitario_Venda])</f>
        <v>650</v>
      </c>
      <c r="J553" s="6">
        <f ca="1">Tabela_Movimentacao_Geral[[#This Row],[Quantidade]] * Tabela_Movimentacao_Geral[[#This Row],[Valor Unitário]]</f>
        <v>23400</v>
      </c>
      <c r="K553" t="str">
        <f ca="1">IF(
   $O$7="Desbloqueado",
   CHOOSE(RANDBETWEEN(1,3),"Pago","Pendente","Atrasado"),
   Tabela_Movimentacao_Geral[[#This Row],[Status Financeiro]]
)</f>
        <v>Pendente</v>
      </c>
      <c r="L553" t="str">
        <f ca="1">IF(
   $O$7="Desbloqueado",
   CHOOSE(RANDBETWEEN(1,3),"Entregue","Em Rota","Aguardando"),
   Tabela_Movimentacao_Geral[[#This Row],[Status Logistico]]
)</f>
        <v>Entregue</v>
      </c>
      <c r="M55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54" spans="1:13" x14ac:dyDescent="0.3">
      <c r="A554" t="str">
        <f t="shared" si="8"/>
        <v>T0553</v>
      </c>
      <c r="B554" s="1">
        <v>45938</v>
      </c>
      <c r="C554" t="str" cm="1">
        <f t="array" aca="1" ref="C554" ca="1">IF($O$7="Desbloqueado",
  _xlfn.LET(
    _xlpm.saldo_atual, SUM(($C$2:$C553="Entrada")*($F$2:$F553=Tabela_Movimentacao_Geral[[#This Row],[ID Produto]])*($H$2:$H553) - ($C$2:$C553="Saida")*($F$2:$F553=Tabela_Movimentacao_Geral[[#This Row],[ID Produto]])*($H$2:$H553)),
    IF(_xlpm.saldo_atual &gt; 0, IF(RANDBETWEEN(0,10)&gt;3,"Saida","Entrada"), "Entrada")
  ),
  Tabela_Movimentacao_Geral[[#This Row],[Tipo Fluxo]]
)</f>
        <v>Entrada</v>
      </c>
      <c r="D5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5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554" t="str">
        <f ca="1">IF(
  $O$7="Desbloqueado",
  "PROD"&amp;TEXT(RANDBETWEEN(1,200),"000"),
  Tabela_Movimentacao_Geral[[#This Row],[ID Produto]]
)</f>
        <v>PROD149</v>
      </c>
      <c r="G554" t="str">
        <f ca="1">_xlfn.XLOOKUP(Tabela_Movimentacao_Geral[[#This Row],[ID Produto]], Tabela_Produtos[ID_Produto],Tabela_Produtos[Descricao_Produto],"Produto não encontrado")</f>
        <v>Multimetro Digital</v>
      </c>
      <c r="H554" cm="1">
        <f t="array" aca="1" ref="H554" ca="1">IF(
   $O$7="Desbloqueado",
   _xlfn.LET(
     _xlpm.saldo_atual, SUM(($C$2:$C553="Entrada")*($F$2:$F553=Tabela_Movimentacao_Geral[[#This Row],[ID Produto]])*($H$2:$H553) - ($C$2:$C553="Saida")*($F$2:$F553=Tabela_Movimentacao_Geral[[#This Row],[ID Produto]])*($H$2:$H553)),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554" s="5">
        <f ca="1">_xlfn.XLOOKUP(Tabela_Movimentacao_Geral[[#This Row],[ID Produto]], Tabela_Produtos[ID_Produto],Tabela_Produtos[Preco_Unitario_Venda])</f>
        <v>145</v>
      </c>
      <c r="J554" s="6">
        <f ca="1">Tabela_Movimentacao_Geral[[#This Row],[Quantidade]] * Tabela_Movimentacao_Geral[[#This Row],[Valor Unitário]]</f>
        <v>2320</v>
      </c>
      <c r="K554" t="str">
        <f ca="1">IF(
   $O$7="Desbloqueado",
   CHOOSE(RANDBETWEEN(1,3),"Pago","Pendente","Atrasado"),
   Tabela_Movimentacao_Geral[[#This Row],[Status Financeiro]]
)</f>
        <v>Pendente</v>
      </c>
      <c r="L554" t="str">
        <f ca="1">IF(
   $O$7="Desbloqueado",
   CHOOSE(RANDBETWEEN(1,3),"Entregue","Em Rota","Aguardando"),
   Tabela_Movimentacao_Geral[[#This Row],[Status Logistico]]
)</f>
        <v>Aguardando</v>
      </c>
      <c r="M55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45940</v>
      </c>
    </row>
    <row r="555" spans="1:13" x14ac:dyDescent="0.3">
      <c r="A555" t="str">
        <f t="shared" si="8"/>
        <v>T0554</v>
      </c>
      <c r="B555" s="1">
        <v>45938</v>
      </c>
      <c r="C555" t="str" cm="1">
        <f t="array" aca="1" ref="C555" ca="1">IF($O$7="Desbloqueado",
  _xlfn.LET(
    _xlpm.saldo_atual, SUM(($C$2:$C554="Entrada")*($F$2:$F554=Tabela_Movimentacao_Geral[[#This Row],[ID Produto]])*($H$2:$H554) - ($C$2:$C554="Saida")*($F$2:$F554=Tabela_Movimentacao_Geral[[#This Row],[ID Produto]])*($H$2:$H554)),
    IF(_xlpm.saldo_atual &gt; 0, IF(RANDBETWEEN(0,10)&gt;3,"Saida","Entrada"), "Entrada")
  ),
  Tabela_Movimentacao_Geral[[#This Row],[Tipo Fluxo]]
)</f>
        <v>Saida</v>
      </c>
      <c r="D5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5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555" t="str">
        <f ca="1">IF(
  $O$7="Desbloqueado",
  "PROD"&amp;TEXT(RANDBETWEEN(1,200),"000"),
  Tabela_Movimentacao_Geral[[#This Row],[ID Produto]]
)</f>
        <v>PROD087</v>
      </c>
      <c r="G555" t="str">
        <f ca="1">_xlfn.XLOOKUP(Tabela_Movimentacao_Geral[[#This Row],[ID Produto]], Tabela_Produtos[ID_Produto],Tabela_Produtos[Descricao_Produto],"Produto não encontrado")</f>
        <v>Patch Panel 24 Portas</v>
      </c>
      <c r="H555" cm="1">
        <f t="array" aca="1" ref="H555" ca="1">IF(
   $O$7="Desbloqueado",
   _xlfn.LET(
     _xlpm.saldo_atual, SUM(($C$2:$C554="Entrada")*($F$2:$F554=Tabela_Movimentacao_Geral[[#This Row],[ID Produto]])*($H$2:$H554) - ($C$2:$C554="Saida")*($F$2:$F554=Tabela_Movimentacao_Geral[[#This Row],[ID Produto]])*($H$2:$H554)),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555" s="5">
        <f ca="1">_xlfn.XLOOKUP(Tabela_Movimentacao_Geral[[#This Row],[ID Produto]], Tabela_Produtos[ID_Produto],Tabela_Produtos[Preco_Unitario_Venda])</f>
        <v>450</v>
      </c>
      <c r="J555" s="6">
        <f ca="1">Tabela_Movimentacao_Geral[[#This Row],[Quantidade]] * Tabela_Movimentacao_Geral[[#This Row],[Valor Unitário]]</f>
        <v>3600</v>
      </c>
      <c r="K555" t="str">
        <f ca="1">IF(
   $O$7="Desbloqueado",
   CHOOSE(RANDBETWEEN(1,3),"Pago","Pendente","Atrasado"),
   Tabela_Movimentacao_Geral[[#This Row],[Status Financeiro]]
)</f>
        <v>Atrasado</v>
      </c>
      <c r="L555" t="str">
        <f ca="1">IF(
   $O$7="Desbloqueado",
   CHOOSE(RANDBETWEEN(1,3),"Entregue","Em Rota","Aguardando"),
   Tabela_Movimentacao_Geral[[#This Row],[Status Logistico]]
)</f>
        <v>Aguardando</v>
      </c>
      <c r="M55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56" spans="1:13" x14ac:dyDescent="0.3">
      <c r="A556" t="str">
        <f t="shared" si="8"/>
        <v>T0555</v>
      </c>
      <c r="B556" s="1">
        <v>45939</v>
      </c>
      <c r="C556" t="str" cm="1">
        <f t="array" aca="1" ref="C556" ca="1">IF($O$7="Desbloqueado",
  _xlfn.LET(
    _xlpm.saldo_atual, SUM(($C$2:$C555="Entrada")*($F$2:$F555=Tabela_Movimentacao_Geral[[#This Row],[ID Produto]])*($H$2:$H555) - ($C$2:$C555="Saida")*($F$2:$F555=Tabela_Movimentacao_Geral[[#This Row],[ID Produto]])*($H$2:$H555)),
    IF(_xlpm.saldo_atual &gt; 0, IF(RANDBETWEEN(0,10)&gt;3,"Saida","Entrada"), "Entrada")
  ),
  Tabela_Movimentacao_Geral[[#This Row],[Tipo Fluxo]]
)</f>
        <v>Saida</v>
      </c>
      <c r="D5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5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556" t="str">
        <f ca="1">IF(
  $O$7="Desbloqueado",
  "PROD"&amp;TEXT(RANDBETWEEN(1,200),"000"),
  Tabela_Movimentacao_Geral[[#This Row],[ID Produto]]
)</f>
        <v>PROD124</v>
      </c>
      <c r="G556" t="str">
        <f ca="1">_xlfn.XLOOKUP(Tabela_Movimentacao_Geral[[#This Row],[ID Produto]], Tabela_Produtos[ID_Produto],Tabela_Produtos[Descricao_Produto],"Produto não encontrado")</f>
        <v>Ferramenta BI Assinatura</v>
      </c>
      <c r="H556" cm="1">
        <f t="array" aca="1" ref="H556" ca="1">IF(
   $O$7="Desbloqueado",
   _xlfn.LET(
     _xlpm.saldo_atual, SUM(($C$2:$C555="Entrada")*($F$2:$F555=Tabela_Movimentacao_Geral[[#This Row],[ID Produto]])*($H$2:$H555) - ($C$2:$C555="Saida")*($F$2:$F555=Tabela_Movimentacao_Geral[[#This Row],[ID Produto]])*($H$2:$H555)),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105</v>
      </c>
      <c r="I556" s="5">
        <f ca="1">_xlfn.XLOOKUP(Tabela_Movimentacao_Geral[[#This Row],[ID Produto]], Tabela_Produtos[ID_Produto],Tabela_Produtos[Preco_Unitario_Venda])</f>
        <v>250</v>
      </c>
      <c r="J556" s="6">
        <f ca="1">Tabela_Movimentacao_Geral[[#This Row],[Quantidade]] * Tabela_Movimentacao_Geral[[#This Row],[Valor Unitário]]</f>
        <v>26250</v>
      </c>
      <c r="K556" t="str">
        <f ca="1">IF(
   $O$7="Desbloqueado",
   CHOOSE(RANDBETWEEN(1,3),"Pago","Pendente","Atrasado"),
   Tabela_Movimentacao_Geral[[#This Row],[Status Financeiro]]
)</f>
        <v>Pendente</v>
      </c>
      <c r="L556" t="str">
        <f ca="1">IF(
   $O$7="Desbloqueado",
   CHOOSE(RANDBETWEEN(1,3),"Entregue","Em Rota","Aguardando"),
   Tabela_Movimentacao_Geral[[#This Row],[Status Logistico]]
)</f>
        <v>Em Rota</v>
      </c>
      <c r="M55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57" spans="1:13" x14ac:dyDescent="0.3">
      <c r="A557" t="str">
        <f t="shared" si="8"/>
        <v>T0556</v>
      </c>
      <c r="B557" s="1">
        <v>45939</v>
      </c>
      <c r="C557" t="str" cm="1">
        <f t="array" aca="1" ref="C557" ca="1">IF($O$7="Desbloqueado",
  _xlfn.LET(
    _xlpm.saldo_atual, SUM(($C$2:$C556="Entrada")*($F$2:$F556=Tabela_Movimentacao_Geral[[#This Row],[ID Produto]])*($H$2:$H556) - ($C$2:$C556="Saida")*($F$2:$F556=Tabela_Movimentacao_Geral[[#This Row],[ID Produto]])*($H$2:$H556)),
    IF(_xlpm.saldo_atual &gt; 0, IF(RANDBETWEEN(0,10)&gt;3,"Saida","Entrada"), "Entrada")
  ),
  Tabela_Movimentacao_Geral[[#This Row],[Tipo Fluxo]]
)</f>
        <v>Saida</v>
      </c>
      <c r="D5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5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557" t="str">
        <f ca="1">IF(
  $O$7="Desbloqueado",
  "PROD"&amp;TEXT(RANDBETWEEN(1,200),"000"),
  Tabela_Movimentacao_Geral[[#This Row],[ID Produto]]
)</f>
        <v>PROD128</v>
      </c>
      <c r="G557" t="str">
        <f ca="1">_xlfn.XLOOKUP(Tabela_Movimentacao_Geral[[#This Row],[ID Produto]], Tabela_Produtos[ID_Produto],Tabela_Produtos[Descricao_Produto],"Produto não encontrado")</f>
        <v>Cabo de Rede Cat5e 5m</v>
      </c>
      <c r="H557" cm="1">
        <f t="array" aca="1" ref="H557" ca="1">IF(
   $O$7="Desbloqueado",
   _xlfn.LET(
     _xlpm.saldo_atual, SUM(($C$2:$C556="Entrada")*($F$2:$F556=Tabela_Movimentacao_Geral[[#This Row],[ID Produto]])*($H$2:$H556) - ($C$2:$C556="Saida")*($F$2:$F556=Tabela_Movimentacao_Geral[[#This Row],[ID Produto]])*($H$2:$H556)),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557" s="5">
        <f ca="1">_xlfn.XLOOKUP(Tabela_Movimentacao_Geral[[#This Row],[ID Produto]], Tabela_Produtos[ID_Produto],Tabela_Produtos[Preco_Unitario_Venda])</f>
        <v>18</v>
      </c>
      <c r="J557" s="6">
        <f ca="1">Tabela_Movimentacao_Geral[[#This Row],[Quantidade]] * Tabela_Movimentacao_Geral[[#This Row],[Valor Unitário]]</f>
        <v>18</v>
      </c>
      <c r="K557" t="str">
        <f ca="1">IF(
   $O$7="Desbloqueado",
   CHOOSE(RANDBETWEEN(1,3),"Pago","Pendente","Atrasado"),
   Tabela_Movimentacao_Geral[[#This Row],[Status Financeiro]]
)</f>
        <v>Atrasado</v>
      </c>
      <c r="L557" t="str">
        <f ca="1">IF(
   $O$7="Desbloqueado",
   CHOOSE(RANDBETWEEN(1,3),"Entregue","Em Rota","Aguardando"),
   Tabela_Movimentacao_Geral[[#This Row],[Status Logistico]]
)</f>
        <v>Aguardando</v>
      </c>
      <c r="M55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58" spans="1:13" x14ac:dyDescent="0.3">
      <c r="A558" t="str">
        <f t="shared" si="8"/>
        <v>T0557</v>
      </c>
      <c r="B558" s="1">
        <v>45939</v>
      </c>
      <c r="C558" t="str" cm="1">
        <f t="array" aca="1" ref="C558" ca="1">IF($O$7="Desbloqueado",
  _xlfn.LET(
    _xlpm.saldo_atual, SUM(($C$2:$C557="Entrada")*($F$2:$F557=Tabela_Movimentacao_Geral[[#This Row],[ID Produto]])*($H$2:$H557) - ($C$2:$C557="Saida")*($F$2:$F557=Tabela_Movimentacao_Geral[[#This Row],[ID Produto]])*($H$2:$H557)),
    IF(_xlpm.saldo_atual &gt; 0, IF(RANDBETWEEN(0,10)&gt;3,"Saida","Entrada"), "Entrada")
  ),
  Tabela_Movimentacao_Geral[[#This Row],[Tipo Fluxo]]
)</f>
        <v>Entrada</v>
      </c>
      <c r="D5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5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558" t="str">
        <f ca="1">IF(
  $O$7="Desbloqueado",
  "PROD"&amp;TEXT(RANDBETWEEN(1,200),"000"),
  Tabela_Movimentacao_Geral[[#This Row],[ID Produto]]
)</f>
        <v>PROD043</v>
      </c>
      <c r="G558" t="str">
        <f ca="1">_xlfn.XLOOKUP(Tabela_Movimentacao_Geral[[#This Row],[ID Produto]], Tabela_Produtos[ID_Produto],Tabela_Produtos[Descricao_Produto],"Produto não encontrado")</f>
        <v>Kit Limpeza Telas</v>
      </c>
      <c r="H558" cm="1">
        <f t="array" aca="1" ref="H558" ca="1">IF(
   $O$7="Desbloqueado",
   _xlfn.LET(
     _xlpm.saldo_atual, SUM(($C$2:$C557="Entrada")*($F$2:$F557=Tabela_Movimentacao_Geral[[#This Row],[ID Produto]])*($H$2:$H557) - ($C$2:$C557="Saida")*($F$2:$F557=Tabela_Movimentacao_Geral[[#This Row],[ID Produto]])*($H$2:$H557)),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118</v>
      </c>
      <c r="I558" s="5">
        <f ca="1">_xlfn.XLOOKUP(Tabela_Movimentacao_Geral[[#This Row],[ID Produto]], Tabela_Produtos[ID_Produto],Tabela_Produtos[Preco_Unitario_Venda])</f>
        <v>22</v>
      </c>
      <c r="J558" s="6">
        <f ca="1">Tabela_Movimentacao_Geral[[#This Row],[Quantidade]] * Tabela_Movimentacao_Geral[[#This Row],[Valor Unitário]]</f>
        <v>2596</v>
      </c>
      <c r="K558" t="str">
        <f ca="1">IF(
   $O$7="Desbloqueado",
   CHOOSE(RANDBETWEEN(1,3),"Pago","Pendente","Atrasado"),
   Tabela_Movimentacao_Geral[[#This Row],[Status Financeiro]]
)</f>
        <v>Pago</v>
      </c>
      <c r="L558" t="str">
        <f ca="1">IF(
   $O$7="Desbloqueado",
   CHOOSE(RANDBETWEEN(1,3),"Entregue","Em Rota","Aguardando"),
   Tabela_Movimentacao_Geral[[#This Row],[Status Logistico]]
)</f>
        <v>Aguardando</v>
      </c>
      <c r="M55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45940</v>
      </c>
    </row>
    <row r="559" spans="1:13" x14ac:dyDescent="0.3">
      <c r="A559" t="str">
        <f t="shared" si="8"/>
        <v>T0558</v>
      </c>
      <c r="B559" s="1">
        <v>45940</v>
      </c>
      <c r="C559" t="str" cm="1">
        <f t="array" aca="1" ref="C559" ca="1">IF($O$7="Desbloqueado",
  _xlfn.LET(
    _xlpm.saldo_atual, SUM(($C$2:$C558="Entrada")*($F$2:$F558=Tabela_Movimentacao_Geral[[#This Row],[ID Produto]])*($H$2:$H558) - ($C$2:$C558="Saida")*($F$2:$F558=Tabela_Movimentacao_Geral[[#This Row],[ID Produto]])*($H$2:$H558)),
    IF(_xlpm.saldo_atual &gt; 0, IF(RANDBETWEEN(0,10)&gt;3,"Saida","Entrada"), "Entrada")
  ),
  Tabela_Movimentacao_Geral[[#This Row],[Tipo Fluxo]]
)</f>
        <v>Entrada</v>
      </c>
      <c r="D5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5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559" t="str">
        <f ca="1">IF(
  $O$7="Desbloqueado",
  "PROD"&amp;TEXT(RANDBETWEEN(1,200),"000"),
  Tabela_Movimentacao_Geral[[#This Row],[ID Produto]]
)</f>
        <v>PROD094</v>
      </c>
      <c r="G559" t="str">
        <f ca="1">_xlfn.XLOOKUP(Tabela_Movimentacao_Geral[[#This Row],[ID Produto]], Tabela_Produtos[ID_Produto],Tabela_Produtos[Descricao_Produto],"Produto não encontrado")</f>
        <v>Exaustor para Rack</v>
      </c>
      <c r="H559" cm="1">
        <f t="array" aca="1" ref="H559" ca="1">IF(
   $O$7="Desbloqueado",
   _xlfn.LET(
     _xlpm.saldo_atual, SUM(($C$2:$C558="Entrada")*($F$2:$F558=Tabela_Movimentacao_Geral[[#This Row],[ID Produto]])*($H$2:$H558) - ($C$2:$C558="Saida")*($F$2:$F558=Tabela_Movimentacao_Geral[[#This Row],[ID Produto]])*($H$2:$H558)),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559" s="5">
        <f ca="1">_xlfn.XLOOKUP(Tabela_Movimentacao_Geral[[#This Row],[ID Produto]], Tabela_Produtos[ID_Produto],Tabela_Produtos[Preco_Unitario_Venda])</f>
        <v>220</v>
      </c>
      <c r="J559" s="6">
        <f ca="1">Tabela_Movimentacao_Geral[[#This Row],[Quantidade]] * Tabela_Movimentacao_Geral[[#This Row],[Valor Unitário]]</f>
        <v>16280</v>
      </c>
      <c r="K559" t="str">
        <f ca="1">IF(
   $O$7="Desbloqueado",
   CHOOSE(RANDBETWEEN(1,3),"Pago","Pendente","Atrasado"),
   Tabela_Movimentacao_Geral[[#This Row],[Status Financeiro]]
)</f>
        <v>Pago</v>
      </c>
      <c r="L559" t="str">
        <f ca="1">IF(
   $O$7="Desbloqueado",
   CHOOSE(RANDBETWEEN(1,3),"Entregue","Em Rota","Aguardando"),
   Tabela_Movimentacao_Geral[[#This Row],[Status Logistico]]
)</f>
        <v>Entregue</v>
      </c>
      <c r="M55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45941</v>
      </c>
    </row>
    <row r="560" spans="1:13" x14ac:dyDescent="0.3">
      <c r="A560" t="str">
        <f t="shared" si="8"/>
        <v>T0559</v>
      </c>
      <c r="B560" s="1">
        <v>45940</v>
      </c>
      <c r="C560" t="str" cm="1">
        <f t="array" aca="1" ref="C560" ca="1">IF($O$7="Desbloqueado",
  _xlfn.LET(
    _xlpm.saldo_atual, SUM(($C$2:$C559="Entrada")*($F$2:$F559=Tabela_Movimentacao_Geral[[#This Row],[ID Produto]])*($H$2:$H559) - ($C$2:$C559="Saida")*($F$2:$F559=Tabela_Movimentacao_Geral[[#This Row],[ID Produto]])*($H$2:$H559)),
    IF(_xlpm.saldo_atual &gt; 0, IF(RANDBETWEEN(0,10)&gt;3,"Saida","Entrada"), "Entrada")
  ),
  Tabela_Movimentacao_Geral[[#This Row],[Tipo Fluxo]]
)</f>
        <v>Entrada</v>
      </c>
      <c r="D5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5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560" t="str">
        <f ca="1">IF(
  $O$7="Desbloqueado",
  "PROD"&amp;TEXT(RANDBETWEEN(1,200),"000"),
  Tabela_Movimentacao_Geral[[#This Row],[ID Produto]]
)</f>
        <v>PROD198</v>
      </c>
      <c r="G560" t="str">
        <f ca="1">_xlfn.XLOOKUP(Tabela_Movimentacao_Geral[[#This Row],[ID Produto]], Tabela_Produtos[ID_Produto],Tabela_Produtos[Descricao_Produto],"Produto não encontrado")</f>
        <v>Ferro de Solda 40W</v>
      </c>
      <c r="H560" cm="1">
        <f t="array" aca="1" ref="H560" ca="1">IF(
   $O$7="Desbloqueado",
   _xlfn.LET(
     _xlpm.saldo_atual, SUM(($C$2:$C559="Entrada")*($F$2:$F559=Tabela_Movimentacao_Geral[[#This Row],[ID Produto]])*($H$2:$H559) - ($C$2:$C559="Saida")*($F$2:$F559=Tabela_Movimentacao_Geral[[#This Row],[ID Produto]])*($H$2:$H559)),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560" s="5">
        <f ca="1">_xlfn.XLOOKUP(Tabela_Movimentacao_Geral[[#This Row],[ID Produto]], Tabela_Produtos[ID_Produto],Tabela_Produtos[Preco_Unitario_Venda])</f>
        <v>55</v>
      </c>
      <c r="J560" s="6">
        <f ca="1">Tabela_Movimentacao_Geral[[#This Row],[Quantidade]] * Tabela_Movimentacao_Geral[[#This Row],[Valor Unitário]]</f>
        <v>1375</v>
      </c>
      <c r="K560" t="str">
        <f ca="1">IF(
   $O$7="Desbloqueado",
   CHOOSE(RANDBETWEEN(1,3),"Pago","Pendente","Atrasado"),
   Tabela_Movimentacao_Geral[[#This Row],[Status Financeiro]]
)</f>
        <v>Pago</v>
      </c>
      <c r="L560" t="str">
        <f ca="1">IF(
   $O$7="Desbloqueado",
   CHOOSE(RANDBETWEEN(1,3),"Entregue","Em Rota","Aguardando"),
   Tabela_Movimentacao_Geral[[#This Row],[Status Logistico]]
)</f>
        <v>Em Rota</v>
      </c>
      <c r="M56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45942</v>
      </c>
    </row>
    <row r="561" spans="1:13" x14ac:dyDescent="0.3">
      <c r="A561" t="str">
        <f t="shared" si="8"/>
        <v>T0560</v>
      </c>
      <c r="B561" s="1">
        <v>45940</v>
      </c>
      <c r="C561" t="str" cm="1">
        <f t="array" aca="1" ref="C561" ca="1">IF($O$7="Desbloqueado",
  _xlfn.LET(
    _xlpm.saldo_atual, SUM(($C$2:$C560="Entrada")*($F$2:$F560=Tabela_Movimentacao_Geral[[#This Row],[ID Produto]])*($H$2:$H560) - ($C$2:$C560="Saida")*($F$2:$F560=Tabela_Movimentacao_Geral[[#This Row],[ID Produto]])*($H$2:$H560)),
    IF(_xlpm.saldo_atual &gt; 0, IF(RANDBETWEEN(0,10)&gt;3,"Saida","Entrada"), "Entrada")
  ),
  Tabela_Movimentacao_Geral[[#This Row],[Tipo Fluxo]]
)</f>
        <v>Saida</v>
      </c>
      <c r="D5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5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561" t="str">
        <f ca="1">IF(
  $O$7="Desbloqueado",
  "PROD"&amp;TEXT(RANDBETWEEN(1,200),"000"),
  Tabela_Movimentacao_Geral[[#This Row],[ID Produto]]
)</f>
        <v>PROD108</v>
      </c>
      <c r="G561" t="str">
        <f ca="1">_xlfn.XLOOKUP(Tabela_Movimentacao_Geral[[#This Row],[ID Produto]], Tabela_Produtos[ID_Produto],Tabela_Produtos[Descricao_Produto],"Produto não encontrado")</f>
        <v>Toner Colorido (Kit 4)</v>
      </c>
      <c r="H561" cm="1">
        <f t="array" aca="1" ref="H561" ca="1">IF(
   $O$7="Desbloqueado",
   _xlfn.LET(
     _xlpm.saldo_atual, SUM(($C$2:$C560="Entrada")*($F$2:$F560=Tabela_Movimentacao_Geral[[#This Row],[ID Produto]])*($H$2:$H560) - ($C$2:$C560="Saida")*($F$2:$F560=Tabela_Movimentacao_Geral[[#This Row],[ID Produto]])*($H$2:$H560)),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561" s="5">
        <f ca="1">_xlfn.XLOOKUP(Tabela_Movimentacao_Geral[[#This Row],[ID Produto]], Tabela_Produtos[ID_Produto],Tabela_Produtos[Preco_Unitario_Venda])</f>
        <v>1200</v>
      </c>
      <c r="J561" s="6">
        <f ca="1">Tabela_Movimentacao_Geral[[#This Row],[Quantidade]] * Tabela_Movimentacao_Geral[[#This Row],[Valor Unitário]]</f>
        <v>25200</v>
      </c>
      <c r="K561" t="str">
        <f ca="1">IF(
   $O$7="Desbloqueado",
   CHOOSE(RANDBETWEEN(1,3),"Pago","Pendente","Atrasado"),
   Tabela_Movimentacao_Geral[[#This Row],[Status Financeiro]]
)</f>
        <v>Pendente</v>
      </c>
      <c r="L561" t="str">
        <f ca="1">IF(
   $O$7="Desbloqueado",
   CHOOSE(RANDBETWEEN(1,3),"Entregue","Em Rota","Aguardando"),
   Tabela_Movimentacao_Geral[[#This Row],[Status Logistico]]
)</f>
        <v>Entregue</v>
      </c>
      <c r="M56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62" spans="1:13" x14ac:dyDescent="0.3">
      <c r="A562" t="str">
        <f t="shared" si="8"/>
        <v>T0561</v>
      </c>
      <c r="B562" s="1">
        <v>45941</v>
      </c>
      <c r="C562" t="str" cm="1">
        <f t="array" aca="1" ref="C562" ca="1">IF($O$7="Desbloqueado",
  _xlfn.LET(
    _xlpm.saldo_atual, SUM(($C$2:$C561="Entrada")*($F$2:$F561=Tabela_Movimentacao_Geral[[#This Row],[ID Produto]])*($H$2:$H561) - ($C$2:$C561="Saida")*($F$2:$F561=Tabela_Movimentacao_Geral[[#This Row],[ID Produto]])*($H$2:$H561)),
    IF(_xlpm.saldo_atual &gt; 0, IF(RANDBETWEEN(0,10)&gt;3,"Saida","Entrada"), "Entrada")
  ),
  Tabela_Movimentacao_Geral[[#This Row],[Tipo Fluxo]]
)</f>
        <v>Saida</v>
      </c>
      <c r="D5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5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562" t="str">
        <f ca="1">IF(
  $O$7="Desbloqueado",
  "PROD"&amp;TEXT(RANDBETWEEN(1,200),"000"),
  Tabela_Movimentacao_Geral[[#This Row],[ID Produto]]
)</f>
        <v>PROD002</v>
      </c>
      <c r="G562" t="str">
        <f ca="1">_xlfn.XLOOKUP(Tabela_Movimentacao_Geral[[#This Row],[ID Produto]], Tabela_Produtos[ID_Produto],Tabela_Produtos[Descricao_Produto],"Produto não encontrado")</f>
        <v>Teclado Mecanico RGB</v>
      </c>
      <c r="H562" cm="1">
        <f t="array" aca="1" ref="H562" ca="1">IF(
   $O$7="Desbloqueado",
   _xlfn.LET(
     _xlpm.saldo_atual, SUM(($C$2:$C561="Entrada")*($F$2:$F561=Tabela_Movimentacao_Geral[[#This Row],[ID Produto]])*($H$2:$H561) - ($C$2:$C561="Saida")*($F$2:$F561=Tabela_Movimentacao_Geral[[#This Row],[ID Produto]])*($H$2:$H561)),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562" s="5">
        <f ca="1">_xlfn.XLOOKUP(Tabela_Movimentacao_Geral[[#This Row],[ID Produto]], Tabela_Produtos[ID_Produto],Tabela_Produtos[Preco_Unitario_Venda])</f>
        <v>350</v>
      </c>
      <c r="J562" s="6">
        <f ca="1">Tabela_Movimentacao_Geral[[#This Row],[Quantidade]] * Tabela_Movimentacao_Geral[[#This Row],[Valor Unitário]]</f>
        <v>700</v>
      </c>
      <c r="K562" t="str">
        <f ca="1">IF(
   $O$7="Desbloqueado",
   CHOOSE(RANDBETWEEN(1,3),"Pago","Pendente","Atrasado"),
   Tabela_Movimentacao_Geral[[#This Row],[Status Financeiro]]
)</f>
        <v>Atrasado</v>
      </c>
      <c r="L562" t="str">
        <f ca="1">IF(
   $O$7="Desbloqueado",
   CHOOSE(RANDBETWEEN(1,3),"Entregue","Em Rota","Aguardando"),
   Tabela_Movimentacao_Geral[[#This Row],[Status Logistico]]
)</f>
        <v>Entregue</v>
      </c>
      <c r="M56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63" spans="1:13" x14ac:dyDescent="0.3">
      <c r="A563" t="str">
        <f t="shared" si="8"/>
        <v>T0562</v>
      </c>
      <c r="B563" s="1">
        <v>45941</v>
      </c>
      <c r="C563" t="str" cm="1">
        <f t="array" aca="1" ref="C563" ca="1">IF($O$7="Desbloqueado",
  _xlfn.LET(
    _xlpm.saldo_atual, SUM(($C$2:$C562="Entrada")*($F$2:$F562=Tabela_Movimentacao_Geral[[#This Row],[ID Produto]])*($H$2:$H562) - ($C$2:$C562="Saida")*($F$2:$F562=Tabela_Movimentacao_Geral[[#This Row],[ID Produto]])*($H$2:$H562)),
    IF(_xlpm.saldo_atual &gt; 0, IF(RANDBETWEEN(0,10)&gt;3,"Saida","Entrada"), "Entrada")
  ),
  Tabela_Movimentacao_Geral[[#This Row],[Tipo Fluxo]]
)</f>
        <v>Entrada</v>
      </c>
      <c r="D5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5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563" t="str">
        <f ca="1">IF(
  $O$7="Desbloqueado",
  "PROD"&amp;TEXT(RANDBETWEEN(1,200),"000"),
  Tabela_Movimentacao_Geral[[#This Row],[ID Produto]]
)</f>
        <v>PROD049</v>
      </c>
      <c r="G563" t="str">
        <f ca="1">_xlfn.XLOOKUP(Tabela_Movimentacao_Geral[[#This Row],[ID Produto]], Tabela_Produtos[ID_Produto],Tabela_Produtos[Descricao_Produto],"Produto não encontrado")</f>
        <v>Scanner de Documentos</v>
      </c>
      <c r="H563" cm="1">
        <f t="array" aca="1" ref="H563" ca="1">IF(
   $O$7="Desbloqueado",
   _xlfn.LET(
     _xlpm.saldo_atual, SUM(($C$2:$C562="Entrada")*($F$2:$F562=Tabela_Movimentacao_Geral[[#This Row],[ID Produto]])*($H$2:$H562) - ($C$2:$C562="Saida")*($F$2:$F562=Tabela_Movimentacao_Geral[[#This Row],[ID Produto]])*($H$2:$H562)),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563" s="5">
        <f ca="1">_xlfn.XLOOKUP(Tabela_Movimentacao_Geral[[#This Row],[ID Produto]], Tabela_Produtos[ID_Produto],Tabela_Produtos[Preco_Unitario_Venda])</f>
        <v>1550</v>
      </c>
      <c r="J563" s="6">
        <f ca="1">Tabela_Movimentacao_Geral[[#This Row],[Quantidade]] * Tabela_Movimentacao_Geral[[#This Row],[Valor Unitário]]</f>
        <v>82150</v>
      </c>
      <c r="K563" t="str">
        <f ca="1">IF(
   $O$7="Desbloqueado",
   CHOOSE(RANDBETWEEN(1,3),"Pago","Pendente","Atrasado"),
   Tabela_Movimentacao_Geral[[#This Row],[Status Financeiro]]
)</f>
        <v>Pendente</v>
      </c>
      <c r="L563" t="str">
        <f ca="1">IF(
   $O$7="Desbloqueado",
   CHOOSE(RANDBETWEEN(1,3),"Entregue","Em Rota","Aguardando"),
   Tabela_Movimentacao_Geral[[#This Row],[Status Logistico]]
)</f>
        <v>Aguardando</v>
      </c>
      <c r="M56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45942</v>
      </c>
    </row>
    <row r="564" spans="1:13" x14ac:dyDescent="0.3">
      <c r="A564" t="str">
        <f t="shared" si="8"/>
        <v>T0563</v>
      </c>
      <c r="B564" s="1">
        <v>45941</v>
      </c>
      <c r="C564" t="str" cm="1">
        <f t="array" aca="1" ref="C564" ca="1">IF($O$7="Desbloqueado",
  _xlfn.LET(
    _xlpm.saldo_atual, SUM(($C$2:$C563="Entrada")*($F$2:$F563=Tabela_Movimentacao_Geral[[#This Row],[ID Produto]])*($H$2:$H563) - ($C$2:$C563="Saida")*($F$2:$F563=Tabela_Movimentacao_Geral[[#This Row],[ID Produto]])*($H$2:$H563)),
    IF(_xlpm.saldo_atual &gt; 0, IF(RANDBETWEEN(0,10)&gt;3,"Saida","Entrada"), "Entrada")
  ),
  Tabela_Movimentacao_Geral[[#This Row],[Tipo Fluxo]]
)</f>
        <v>Entrada</v>
      </c>
      <c r="D5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5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564" t="str">
        <f ca="1">IF(
  $O$7="Desbloqueado",
  "PROD"&amp;TEXT(RANDBETWEEN(1,200),"000"),
  Tabela_Movimentacao_Geral[[#This Row],[ID Produto]]
)</f>
        <v>PROD032</v>
      </c>
      <c r="G564" t="str">
        <f ca="1">_xlfn.XLOOKUP(Tabela_Movimentacao_Geral[[#This Row],[ID Produto]], Tabela_Produtos[ID_Produto],Tabela_Produtos[Descricao_Produto],"Produto não encontrado")</f>
        <v>Base Resfriadora Notebook</v>
      </c>
      <c r="H564" cm="1">
        <f t="array" aca="1" ref="H564" ca="1">IF(
   $O$7="Desbloqueado",
   _xlfn.LET(
     _xlpm.saldo_atual, SUM(($C$2:$C563="Entrada")*($F$2:$F563=Tabela_Movimentacao_Geral[[#This Row],[ID Produto]])*($H$2:$H563) - ($C$2:$C563="Saida")*($F$2:$F563=Tabela_Movimentacao_Geral[[#This Row],[ID Produto]])*($H$2:$H563)),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564" s="5">
        <f ca="1">_xlfn.XLOOKUP(Tabela_Movimentacao_Geral[[#This Row],[ID Produto]], Tabela_Produtos[ID_Produto],Tabela_Produtos[Preco_Unitario_Venda])</f>
        <v>110</v>
      </c>
      <c r="J564" s="6">
        <f ca="1">Tabela_Movimentacao_Geral[[#This Row],[Quantidade]] * Tabela_Movimentacao_Geral[[#This Row],[Valor Unitário]]</f>
        <v>1540</v>
      </c>
      <c r="K564" t="str">
        <f ca="1">IF(
   $O$7="Desbloqueado",
   CHOOSE(RANDBETWEEN(1,3),"Pago","Pendente","Atrasado"),
   Tabela_Movimentacao_Geral[[#This Row],[Status Financeiro]]
)</f>
        <v>Pendente</v>
      </c>
      <c r="L564" t="str">
        <f ca="1">IF(
   $O$7="Desbloqueado",
   CHOOSE(RANDBETWEEN(1,3),"Entregue","Em Rota","Aguardando"),
   Tabela_Movimentacao_Geral[[#This Row],[Status Logistico]]
)</f>
        <v>Aguardando</v>
      </c>
      <c r="M56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45944</v>
      </c>
    </row>
    <row r="565" spans="1:13" x14ac:dyDescent="0.3">
      <c r="A565" t="str">
        <f t="shared" si="8"/>
        <v>T0564</v>
      </c>
      <c r="B565" s="1">
        <v>45941</v>
      </c>
      <c r="C565" t="str" cm="1">
        <f t="array" aca="1" ref="C565" ca="1">IF($O$7="Desbloqueado",
  _xlfn.LET(
    _xlpm.saldo_atual, SUM(($C$2:$C564="Entrada")*($F$2:$F564=Tabela_Movimentacao_Geral[[#This Row],[ID Produto]])*($H$2:$H564) - ($C$2:$C564="Saida")*($F$2:$F564=Tabela_Movimentacao_Geral[[#This Row],[ID Produto]])*($H$2:$H564)),
    IF(_xlpm.saldo_atual &gt; 0, IF(RANDBETWEEN(0,10)&gt;3,"Saida","Entrada"), "Entrada")
  ),
  Tabela_Movimentacao_Geral[[#This Row],[Tipo Fluxo]]
)</f>
        <v>Entrada</v>
      </c>
      <c r="D5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5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565" t="str">
        <f ca="1">IF(
  $O$7="Desbloqueado",
  "PROD"&amp;TEXT(RANDBETWEEN(1,200),"000"),
  Tabela_Movimentacao_Geral[[#This Row],[ID Produto]]
)</f>
        <v>PROD018</v>
      </c>
      <c r="G565" t="str">
        <f ca="1">_xlfn.XLOOKUP(Tabela_Movimentacao_Geral[[#This Row],[ID Produto]], Tabela_Produtos[ID_Produto],Tabela_Produtos[Descricao_Produto],"Produto não encontrado")</f>
        <v>HD Externo 1TB</v>
      </c>
      <c r="H565" cm="1">
        <f t="array" aca="1" ref="H565" ca="1">IF(
   $O$7="Desbloqueado",
   _xlfn.LET(
     _xlpm.saldo_atual, SUM(($C$2:$C564="Entrada")*($F$2:$F564=Tabela_Movimentacao_Geral[[#This Row],[ID Produto]])*($H$2:$H564) - ($C$2:$C564="Saida")*($F$2:$F564=Tabela_Movimentacao_Geral[[#This Row],[ID Produto]])*($H$2:$H564)),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565" s="5">
        <f ca="1">_xlfn.XLOOKUP(Tabela_Movimentacao_Geral[[#This Row],[ID Produto]], Tabela_Produtos[ID_Produto],Tabela_Produtos[Preco_Unitario_Venda])</f>
        <v>380</v>
      </c>
      <c r="J565" s="6">
        <f ca="1">Tabela_Movimentacao_Geral[[#This Row],[Quantidade]] * Tabela_Movimentacao_Geral[[#This Row],[Valor Unitário]]</f>
        <v>4180</v>
      </c>
      <c r="K565" t="str">
        <f ca="1">IF(
   $O$7="Desbloqueado",
   CHOOSE(RANDBETWEEN(1,3),"Pago","Pendente","Atrasado"),
   Tabela_Movimentacao_Geral[[#This Row],[Status Financeiro]]
)</f>
        <v>Pendente</v>
      </c>
      <c r="L565" t="str">
        <f ca="1">IF(
   $O$7="Desbloqueado",
   CHOOSE(RANDBETWEEN(1,3),"Entregue","Em Rota","Aguardando"),
   Tabela_Movimentacao_Geral[[#This Row],[Status Logistico]]
)</f>
        <v>Em Rota</v>
      </c>
      <c r="M56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45942</v>
      </c>
    </row>
    <row r="566" spans="1:13" x14ac:dyDescent="0.3">
      <c r="A566" t="str">
        <f t="shared" si="8"/>
        <v>T0565</v>
      </c>
      <c r="B566" s="1">
        <v>45942</v>
      </c>
      <c r="C566" t="str" cm="1">
        <f t="array" aca="1" ref="C566" ca="1">IF($O$7="Desbloqueado",
  _xlfn.LET(
    _xlpm.saldo_atual, SUM(($C$2:$C565="Entrada")*($F$2:$F565=Tabela_Movimentacao_Geral[[#This Row],[ID Produto]])*($H$2:$H565) - ($C$2:$C565="Saida")*($F$2:$F565=Tabela_Movimentacao_Geral[[#This Row],[ID Produto]])*($H$2:$H565)),
    IF(_xlpm.saldo_atual &gt; 0, IF(RANDBETWEEN(0,10)&gt;3,"Saida","Entrada"), "Entrada")
  ),
  Tabela_Movimentacao_Geral[[#This Row],[Tipo Fluxo]]
)</f>
        <v>Saida</v>
      </c>
      <c r="D5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5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566" t="str">
        <f ca="1">IF(
  $O$7="Desbloqueado",
  "PROD"&amp;TEXT(RANDBETWEEN(1,200),"000"),
  Tabela_Movimentacao_Geral[[#This Row],[ID Produto]]
)</f>
        <v>PROD037</v>
      </c>
      <c r="G566" t="str">
        <f ca="1">_xlfn.XLOOKUP(Tabela_Movimentacao_Geral[[#This Row],[ID Produto]], Tabela_Produtos[ID_Produto],Tabela_Produtos[Descricao_Produto],"Produto não encontrado")</f>
        <v>Placa de Video 4GB</v>
      </c>
      <c r="H566" cm="1">
        <f t="array" aca="1" ref="H566" ca="1">IF(
   $O$7="Desbloqueado",
   _xlfn.LET(
     _xlpm.saldo_atual, SUM(($C$2:$C565="Entrada")*($F$2:$F565=Tabela_Movimentacao_Geral[[#This Row],[ID Produto]])*($H$2:$H565) - ($C$2:$C565="Saida")*($F$2:$F565=Tabela_Movimentacao_Geral[[#This Row],[ID Produto]])*($H$2:$H565)),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566" s="5">
        <f ca="1">_xlfn.XLOOKUP(Tabela_Movimentacao_Geral[[#This Row],[ID Produto]], Tabela_Produtos[ID_Produto],Tabela_Produtos[Preco_Unitario_Venda])</f>
        <v>1400</v>
      </c>
      <c r="J566" s="6">
        <f ca="1">Tabela_Movimentacao_Geral[[#This Row],[Quantidade]] * Tabela_Movimentacao_Geral[[#This Row],[Valor Unitário]]</f>
        <v>19600</v>
      </c>
      <c r="K566" t="str">
        <f ca="1">IF(
   $O$7="Desbloqueado",
   CHOOSE(RANDBETWEEN(1,3),"Pago","Pendente","Atrasado"),
   Tabela_Movimentacao_Geral[[#This Row],[Status Financeiro]]
)</f>
        <v>Pago</v>
      </c>
      <c r="L566" t="str">
        <f ca="1">IF(
   $O$7="Desbloqueado",
   CHOOSE(RANDBETWEEN(1,3),"Entregue","Em Rota","Aguardando"),
   Tabela_Movimentacao_Geral[[#This Row],[Status Logistico]]
)</f>
        <v>Entregue</v>
      </c>
      <c r="M56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67" spans="1:13" x14ac:dyDescent="0.3">
      <c r="A567" t="str">
        <f t="shared" si="8"/>
        <v>T0566</v>
      </c>
      <c r="B567" s="1">
        <v>45942</v>
      </c>
      <c r="C567" t="str" cm="1">
        <f t="array" aca="1" ref="C567" ca="1">IF($O$7="Desbloqueado",
  _xlfn.LET(
    _xlpm.saldo_atual, SUM(($C$2:$C566="Entrada")*($F$2:$F566=Tabela_Movimentacao_Geral[[#This Row],[ID Produto]])*($H$2:$H566) - ($C$2:$C566="Saida")*($F$2:$F566=Tabela_Movimentacao_Geral[[#This Row],[ID Produto]])*($H$2:$H566)),
    IF(_xlpm.saldo_atual &gt; 0, IF(RANDBETWEEN(0,10)&gt;3,"Saida","Entrada"), "Entrada")
  ),
  Tabela_Movimentacao_Geral[[#This Row],[Tipo Fluxo]]
)</f>
        <v>Entrada</v>
      </c>
      <c r="D5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5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567" t="str">
        <f ca="1">IF(
  $O$7="Desbloqueado",
  "PROD"&amp;TEXT(RANDBETWEEN(1,200),"000"),
  Tabela_Movimentacao_Geral[[#This Row],[ID Produto]]
)</f>
        <v>PROD050</v>
      </c>
      <c r="G567" t="str">
        <f ca="1">_xlfn.XLOOKUP(Tabela_Movimentacao_Geral[[#This Row],[ID Produto]], Tabela_Produtos[ID_Produto],Tabela_Produtos[Descricao_Produto],"Produto não encontrado")</f>
        <v>Leitor de Codigo de Barras</v>
      </c>
      <c r="H567" cm="1">
        <f t="array" aca="1" ref="H567" ca="1">IF(
   $O$7="Desbloqueado",
   _xlfn.LET(
     _xlpm.saldo_atual, SUM(($C$2:$C566="Entrada")*($F$2:$F566=Tabela_Movimentacao_Geral[[#This Row],[ID Produto]])*($H$2:$H566) - ($C$2:$C566="Saida")*($F$2:$F566=Tabela_Movimentacao_Geral[[#This Row],[ID Produto]])*($H$2:$H566)),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93</v>
      </c>
      <c r="I567" s="5">
        <f ca="1">_xlfn.XLOOKUP(Tabela_Movimentacao_Geral[[#This Row],[ID Produto]], Tabela_Produtos[ID_Produto],Tabela_Produtos[Preco_Unitario_Venda])</f>
        <v>230</v>
      </c>
      <c r="J567" s="6">
        <f ca="1">Tabela_Movimentacao_Geral[[#This Row],[Quantidade]] * Tabela_Movimentacao_Geral[[#This Row],[Valor Unitário]]</f>
        <v>21390</v>
      </c>
      <c r="K567" t="str">
        <f ca="1">IF(
   $O$7="Desbloqueado",
   CHOOSE(RANDBETWEEN(1,3),"Pago","Pendente","Atrasado"),
   Tabela_Movimentacao_Geral[[#This Row],[Status Financeiro]]
)</f>
        <v>Atrasado</v>
      </c>
      <c r="L567" t="str">
        <f ca="1">IF(
   $O$7="Desbloqueado",
   CHOOSE(RANDBETWEEN(1,3),"Entregue","Em Rota","Aguardando"),
   Tabela_Movimentacao_Geral[[#This Row],[Status Logistico]]
)</f>
        <v>Entregue</v>
      </c>
      <c r="M56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45944</v>
      </c>
    </row>
    <row r="568" spans="1:13" x14ac:dyDescent="0.3">
      <c r="A568" t="str">
        <f t="shared" si="8"/>
        <v>T0567</v>
      </c>
      <c r="B568" s="1">
        <v>45942</v>
      </c>
      <c r="C568" t="str" cm="1">
        <f t="array" aca="1" ref="C568" ca="1">IF($O$7="Desbloqueado",
  _xlfn.LET(
    _xlpm.saldo_atual, SUM(($C$2:$C567="Entrada")*($F$2:$F567=Tabela_Movimentacao_Geral[[#This Row],[ID Produto]])*($H$2:$H567) - ($C$2:$C567="Saida")*($F$2:$F567=Tabela_Movimentacao_Geral[[#This Row],[ID Produto]])*($H$2:$H567)),
    IF(_xlpm.saldo_atual &gt; 0, IF(RANDBETWEEN(0,10)&gt;3,"Saida","Entrada"), "Entrada")
  ),
  Tabela_Movimentacao_Geral[[#This Row],[Tipo Fluxo]]
)</f>
        <v>Saida</v>
      </c>
      <c r="D5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5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568" t="str">
        <f ca="1">IF(
  $O$7="Desbloqueado",
  "PROD"&amp;TEXT(RANDBETWEEN(1,200),"000"),
  Tabela_Movimentacao_Geral[[#This Row],[ID Produto]]
)</f>
        <v>PROD183</v>
      </c>
      <c r="G568" t="str">
        <f ca="1">_xlfn.XLOOKUP(Tabela_Movimentacao_Geral[[#This Row],[ID Produto]], Tabela_Produtos[ID_Produto],Tabela_Produtos[Descricao_Produto],"Produto não encontrado")</f>
        <v>Placa de Rede Quad Port</v>
      </c>
      <c r="H568" cm="1">
        <f t="array" aca="1" ref="H568" ca="1">IF(
   $O$7="Desbloqueado",
   _xlfn.LET(
     _xlpm.saldo_atual, SUM(($C$2:$C567="Entrada")*($F$2:$F567=Tabela_Movimentacao_Geral[[#This Row],[ID Produto]])*($H$2:$H567) - ($C$2:$C567="Saida")*($F$2:$F567=Tabela_Movimentacao_Geral[[#This Row],[ID Produto]])*($H$2:$H567)),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158</v>
      </c>
      <c r="I568" s="5">
        <f ca="1">_xlfn.XLOOKUP(Tabela_Movimentacao_Geral[[#This Row],[ID Produto]], Tabela_Produtos[ID_Produto],Tabela_Produtos[Preco_Unitario_Venda])</f>
        <v>1200</v>
      </c>
      <c r="J568" s="6">
        <f ca="1">Tabela_Movimentacao_Geral[[#This Row],[Quantidade]] * Tabela_Movimentacao_Geral[[#This Row],[Valor Unitário]]</f>
        <v>189600</v>
      </c>
      <c r="K568" t="str">
        <f ca="1">IF(
   $O$7="Desbloqueado",
   CHOOSE(RANDBETWEEN(1,3),"Pago","Pendente","Atrasado"),
   Tabela_Movimentacao_Geral[[#This Row],[Status Financeiro]]
)</f>
        <v>Pendente</v>
      </c>
      <c r="L568" t="str">
        <f ca="1">IF(
   $O$7="Desbloqueado",
   CHOOSE(RANDBETWEEN(1,3),"Entregue","Em Rota","Aguardando"),
   Tabela_Movimentacao_Geral[[#This Row],[Status Logistico]]
)</f>
        <v>Entregue</v>
      </c>
      <c r="M56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69" spans="1:13" x14ac:dyDescent="0.3">
      <c r="A569" t="str">
        <f t="shared" si="8"/>
        <v>T0568</v>
      </c>
      <c r="B569" s="1">
        <v>45942</v>
      </c>
      <c r="C569" t="str" cm="1">
        <f t="array" aca="1" ref="C569" ca="1">IF($O$7="Desbloqueado",
  _xlfn.LET(
    _xlpm.saldo_atual, SUM(($C$2:$C568="Entrada")*($F$2:$F568=Tabela_Movimentacao_Geral[[#This Row],[ID Produto]])*($H$2:$H568) - ($C$2:$C568="Saida")*($F$2:$F568=Tabela_Movimentacao_Geral[[#This Row],[ID Produto]])*($H$2:$H568)),
    IF(_xlpm.saldo_atual &gt; 0, IF(RANDBETWEEN(0,10)&gt;3,"Saida","Entrada"), "Entrada")
  ),
  Tabela_Movimentacao_Geral[[#This Row],[Tipo Fluxo]]
)</f>
        <v>Entrada</v>
      </c>
      <c r="D5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5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569" t="str">
        <f ca="1">IF(
  $O$7="Desbloqueado",
  "PROD"&amp;TEXT(RANDBETWEEN(1,200),"000"),
  Tabela_Movimentacao_Geral[[#This Row],[ID Produto]]
)</f>
        <v>PROD064</v>
      </c>
      <c r="G569" t="str">
        <f ca="1">_xlfn.XLOOKUP(Tabela_Movimentacao_Geral[[#This Row],[ID Produto]], Tabela_Produtos[ID_Produto],Tabela_Produtos[Descricao_Produto],"Produto não encontrado")</f>
        <v>Cola em Bastao 40g</v>
      </c>
      <c r="H569" cm="1">
        <f t="array" aca="1" ref="H569" ca="1">IF(
   $O$7="Desbloqueado",
   _xlfn.LET(
     _xlpm.saldo_atual, SUM(($C$2:$C568="Entrada")*($F$2:$F568=Tabela_Movimentacao_Geral[[#This Row],[ID Produto]])*($H$2:$H568) - ($C$2:$C568="Saida")*($F$2:$F568=Tabela_Movimentacao_Geral[[#This Row],[ID Produto]])*($H$2:$H568)),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75</v>
      </c>
      <c r="I569" s="5">
        <f ca="1">_xlfn.XLOOKUP(Tabela_Movimentacao_Geral[[#This Row],[ID Produto]], Tabela_Produtos[ID_Produto],Tabela_Produtos[Preco_Unitario_Venda])</f>
        <v>14</v>
      </c>
      <c r="J569" s="6">
        <f ca="1">Tabela_Movimentacao_Geral[[#This Row],[Quantidade]] * Tabela_Movimentacao_Geral[[#This Row],[Valor Unitário]]</f>
        <v>1050</v>
      </c>
      <c r="K569" t="str">
        <f ca="1">IF(
   $O$7="Desbloqueado",
   CHOOSE(RANDBETWEEN(1,3),"Pago","Pendente","Atrasado"),
   Tabela_Movimentacao_Geral[[#This Row],[Status Financeiro]]
)</f>
        <v>Atrasado</v>
      </c>
      <c r="L569" t="str">
        <f ca="1">IF(
   $O$7="Desbloqueado",
   CHOOSE(RANDBETWEEN(1,3),"Entregue","Em Rota","Aguardando"),
   Tabela_Movimentacao_Geral[[#This Row],[Status Logistico]]
)</f>
        <v>Em Rota</v>
      </c>
      <c r="M56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45954</v>
      </c>
    </row>
    <row r="570" spans="1:13" x14ac:dyDescent="0.3">
      <c r="A570" t="str">
        <f t="shared" si="8"/>
        <v>T0569</v>
      </c>
      <c r="B570" s="1">
        <v>45942</v>
      </c>
      <c r="C570" t="str" cm="1">
        <f t="array" aca="1" ref="C570" ca="1">IF($O$7="Desbloqueado",
  _xlfn.LET(
    _xlpm.saldo_atual, SUM(($C$2:$C569="Entrada")*($F$2:$F569=Tabela_Movimentacao_Geral[[#This Row],[ID Produto]])*($H$2:$H569) - ($C$2:$C569="Saida")*($F$2:$F569=Tabela_Movimentacao_Geral[[#This Row],[ID Produto]])*($H$2:$H569)),
    IF(_xlpm.saldo_atual &gt; 0, IF(RANDBETWEEN(0,10)&gt;3,"Saida","Entrada"), "Entrada")
  ),
  Tabela_Movimentacao_Geral[[#This Row],[Tipo Fluxo]]
)</f>
        <v>Saida</v>
      </c>
      <c r="D5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5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570" t="str">
        <f ca="1">IF(
  $O$7="Desbloqueado",
  "PROD"&amp;TEXT(RANDBETWEEN(1,200),"000"),
  Tabela_Movimentacao_Geral[[#This Row],[ID Produto]]
)</f>
        <v>PROD159</v>
      </c>
      <c r="G570" t="str">
        <f ca="1">_xlfn.XLOOKUP(Tabela_Movimentacao_Geral[[#This Row],[ID Produto]], Tabela_Produtos[ID_Produto],Tabela_Produtos[Descricao_Produto],"Produto não encontrado")</f>
        <v>Elastico de Borracha 100g</v>
      </c>
      <c r="H570" cm="1">
        <f t="array" aca="1" ref="H570" ca="1">IF(
   $O$7="Desbloqueado",
   _xlfn.LET(
     _xlpm.saldo_atual, SUM(($C$2:$C569="Entrada")*($F$2:$F569=Tabela_Movimentacao_Geral[[#This Row],[ID Produto]])*($H$2:$H569) - ($C$2:$C569="Saida")*($F$2:$F569=Tabela_Movimentacao_Geral[[#This Row],[ID Produto]])*($H$2:$H569)),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570" s="5">
        <f ca="1">_xlfn.XLOOKUP(Tabela_Movimentacao_Geral[[#This Row],[ID Produto]], Tabela_Produtos[ID_Produto],Tabela_Produtos[Preco_Unitario_Venda])</f>
        <v>12</v>
      </c>
      <c r="J570" s="6">
        <f ca="1">Tabela_Movimentacao_Geral[[#This Row],[Quantidade]] * Tabela_Movimentacao_Geral[[#This Row],[Valor Unitário]]</f>
        <v>348</v>
      </c>
      <c r="K570" t="str">
        <f ca="1">IF(
   $O$7="Desbloqueado",
   CHOOSE(RANDBETWEEN(1,3),"Pago","Pendente","Atrasado"),
   Tabela_Movimentacao_Geral[[#This Row],[Status Financeiro]]
)</f>
        <v>Pendente</v>
      </c>
      <c r="L570" t="str">
        <f ca="1">IF(
   $O$7="Desbloqueado",
   CHOOSE(RANDBETWEEN(1,3),"Entregue","Em Rota","Aguardando"),
   Tabela_Movimentacao_Geral[[#This Row],[Status Logistico]]
)</f>
        <v>Entregue</v>
      </c>
      <c r="M57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71" spans="1:13" x14ac:dyDescent="0.3">
      <c r="A571" t="str">
        <f t="shared" si="8"/>
        <v>T0570</v>
      </c>
      <c r="B571" s="1">
        <v>45942</v>
      </c>
      <c r="C571" t="str" cm="1">
        <f t="array" aca="1" ref="C571" ca="1">IF($O$7="Desbloqueado",
  _xlfn.LET(
    _xlpm.saldo_atual, SUM(($C$2:$C570="Entrada")*($F$2:$F570=Tabela_Movimentacao_Geral[[#This Row],[ID Produto]])*($H$2:$H570) - ($C$2:$C570="Saida")*($F$2:$F570=Tabela_Movimentacao_Geral[[#This Row],[ID Produto]])*($H$2:$H570)),
    IF(_xlpm.saldo_atual &gt; 0, IF(RANDBETWEEN(0,10)&gt;3,"Saida","Entrada"), "Entrada")
  ),
  Tabela_Movimentacao_Geral[[#This Row],[Tipo Fluxo]]
)</f>
        <v>Entrada</v>
      </c>
      <c r="D5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5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571" t="str">
        <f ca="1">IF(
  $O$7="Desbloqueado",
  "PROD"&amp;TEXT(RANDBETWEEN(1,200),"000"),
  Tabela_Movimentacao_Geral[[#This Row],[ID Produto]]
)</f>
        <v>PROD160</v>
      </c>
      <c r="G571" t="str">
        <f ca="1">_xlfn.XLOOKUP(Tabela_Movimentacao_Geral[[#This Row],[ID Produto]], Tabela_Produtos[ID_Produto],Tabela_Produtos[Descricao_Produto],"Produto não encontrado")</f>
        <v>Alfinete para Quadro 50un</v>
      </c>
      <c r="H571" cm="1">
        <f t="array" aca="1" ref="H571" ca="1">IF(
   $O$7="Desbloqueado",
   _xlfn.LET(
     _xlpm.saldo_atual, SUM(($C$2:$C570="Entrada")*($F$2:$F570=Tabela_Movimentacao_Geral[[#This Row],[ID Produto]])*($H$2:$H570) - ($C$2:$C570="Saida")*($F$2:$F570=Tabela_Movimentacao_Geral[[#This Row],[ID Produto]])*($H$2:$H570)),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571" s="5">
        <f ca="1">_xlfn.XLOOKUP(Tabela_Movimentacao_Geral[[#This Row],[ID Produto]], Tabela_Produtos[ID_Produto],Tabela_Produtos[Preco_Unitario_Venda])</f>
        <v>9</v>
      </c>
      <c r="J571" s="6">
        <f ca="1">Tabela_Movimentacao_Geral[[#This Row],[Quantidade]] * Tabela_Movimentacao_Geral[[#This Row],[Valor Unitário]]</f>
        <v>171</v>
      </c>
      <c r="K571" t="str">
        <f ca="1">IF(
   $O$7="Desbloqueado",
   CHOOSE(RANDBETWEEN(1,3),"Pago","Pendente","Atrasado"),
   Tabela_Movimentacao_Geral[[#This Row],[Status Financeiro]]
)</f>
        <v>Atrasado</v>
      </c>
      <c r="L571" t="str">
        <f ca="1">IF(
   $O$7="Desbloqueado",
   CHOOSE(RANDBETWEEN(1,3),"Entregue","Em Rota","Aguardando"),
   Tabela_Movimentacao_Geral[[#This Row],[Status Logistico]]
)</f>
        <v>Entregue</v>
      </c>
      <c r="M5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45943</v>
      </c>
    </row>
    <row r="572" spans="1:13" x14ac:dyDescent="0.3">
      <c r="A572" t="str">
        <f t="shared" si="8"/>
        <v>T0571</v>
      </c>
      <c r="B572" s="1">
        <v>45943</v>
      </c>
      <c r="C572" t="str" cm="1">
        <f t="array" aca="1" ref="C572" ca="1">IF($O$7="Desbloqueado",
  _xlfn.LET(
    _xlpm.saldo_atual, SUM(($C$2:$C571="Entrada")*($F$2:$F571=Tabela_Movimentacao_Geral[[#This Row],[ID Produto]])*($H$2:$H571) - ($C$2:$C571="Saida")*($F$2:$F571=Tabela_Movimentacao_Geral[[#This Row],[ID Produto]])*($H$2:$H571)),
    IF(_xlpm.saldo_atual &gt; 0, IF(RANDBETWEEN(0,10)&gt;3,"Saida","Entrada"), "Entrada")
  ),
  Tabela_Movimentacao_Geral[[#This Row],[Tipo Fluxo]]
)</f>
        <v>Entrada</v>
      </c>
      <c r="D5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5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572" t="str">
        <f ca="1">IF(
  $O$7="Desbloqueado",
  "PROD"&amp;TEXT(RANDBETWEEN(1,200),"000"),
  Tabela_Movimentacao_Geral[[#This Row],[ID Produto]]
)</f>
        <v>PROD024</v>
      </c>
      <c r="G572" t="str">
        <f ca="1">_xlfn.XLOOKUP(Tabela_Movimentacao_Geral[[#This Row],[ID Produto]], Tabela_Produtos[ID_Produto],Tabela_Produtos[Descricao_Produto],"Produto não encontrado")</f>
        <v>Assinatura Adobe CC Anual</v>
      </c>
      <c r="H572" cm="1">
        <f t="array" aca="1" ref="H572" ca="1">IF(
   $O$7="Desbloqueado",
   _xlfn.LET(
     _xlpm.saldo_atual, SUM(($C$2:$C571="Entrada")*($F$2:$F571=Tabela_Movimentacao_Geral[[#This Row],[ID Produto]])*($H$2:$H571) - ($C$2:$C571="Saida")*($F$2:$F571=Tabela_Movimentacao_Geral[[#This Row],[ID Produto]])*($H$2:$H571)),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117</v>
      </c>
      <c r="I572" s="5">
        <f ca="1">_xlfn.XLOOKUP(Tabela_Movimentacao_Geral[[#This Row],[ID Produto]], Tabela_Produtos[ID_Produto],Tabela_Produtos[Preco_Unitario_Venda])</f>
        <v>2400</v>
      </c>
      <c r="J572" s="6">
        <f ca="1">Tabela_Movimentacao_Geral[[#This Row],[Quantidade]] * Tabela_Movimentacao_Geral[[#This Row],[Valor Unitário]]</f>
        <v>280800</v>
      </c>
      <c r="K572" t="str">
        <f ca="1">IF(
   $O$7="Desbloqueado",
   CHOOSE(RANDBETWEEN(1,3),"Pago","Pendente","Atrasado"),
   Tabela_Movimentacao_Geral[[#This Row],[Status Financeiro]]
)</f>
        <v>Pago</v>
      </c>
      <c r="L572" t="str">
        <f ca="1">IF(
   $O$7="Desbloqueado",
   CHOOSE(RANDBETWEEN(1,3),"Entregue","Em Rota","Aguardando"),
   Tabela_Movimentacao_Geral[[#This Row],[Status Logistico]]
)</f>
        <v>Entregue</v>
      </c>
      <c r="M57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45951</v>
      </c>
    </row>
    <row r="573" spans="1:13" x14ac:dyDescent="0.3">
      <c r="A573" t="str">
        <f t="shared" si="8"/>
        <v>T0572</v>
      </c>
      <c r="B573" s="1">
        <v>45943</v>
      </c>
      <c r="C573" t="str" cm="1">
        <f t="array" aca="1" ref="C573" ca="1">IF($O$7="Desbloqueado",
  _xlfn.LET(
    _xlpm.saldo_atual, SUM(($C$2:$C572="Entrada")*($F$2:$F572=Tabela_Movimentacao_Geral[[#This Row],[ID Produto]])*($H$2:$H572) - ($C$2:$C572="Saida")*($F$2:$F572=Tabela_Movimentacao_Geral[[#This Row],[ID Produto]])*($H$2:$H572)),
    IF(_xlpm.saldo_atual &gt; 0, IF(RANDBETWEEN(0,10)&gt;3,"Saida","Entrada"), "Entrada")
  ),
  Tabela_Movimentacao_Geral[[#This Row],[Tipo Fluxo]]
)</f>
        <v>Saida</v>
      </c>
      <c r="D5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5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573" t="str">
        <f ca="1">IF(
  $O$7="Desbloqueado",
  "PROD"&amp;TEXT(RANDBETWEEN(1,200),"000"),
  Tabela_Movimentacao_Geral[[#This Row],[ID Produto]]
)</f>
        <v>PROD022</v>
      </c>
      <c r="G573" t="str">
        <f ca="1">_xlfn.XLOOKUP(Tabela_Movimentacao_Geral[[#This Row],[ID Produto]], Tabela_Produtos[ID_Produto],Tabela_Produtos[Descricao_Produto],"Produto não encontrado")</f>
        <v>Licenca Windows 11 Pro</v>
      </c>
      <c r="H573" cm="1">
        <f t="array" aca="1" ref="H573" ca="1">IF(
   $O$7="Desbloqueado",
   _xlfn.LET(
     _xlpm.saldo_atual, SUM(($C$2:$C572="Entrada")*($F$2:$F572=Tabela_Movimentacao_Geral[[#This Row],[ID Produto]])*($H$2:$H572) - ($C$2:$C572="Saida")*($F$2:$F572=Tabela_Movimentacao_Geral[[#This Row],[ID Produto]])*($H$2:$H572)),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573" s="5">
        <f ca="1">_xlfn.XLOOKUP(Tabela_Movimentacao_Geral[[#This Row],[ID Produto]], Tabela_Produtos[ID_Produto],Tabela_Produtos[Preco_Unitario_Venda])</f>
        <v>980</v>
      </c>
      <c r="J573" s="6">
        <f ca="1">Tabela_Movimentacao_Geral[[#This Row],[Quantidade]] * Tabela_Movimentacao_Geral[[#This Row],[Valor Unitário]]</f>
        <v>1960</v>
      </c>
      <c r="K573" t="str">
        <f ca="1">IF(
   $O$7="Desbloqueado",
   CHOOSE(RANDBETWEEN(1,3),"Pago","Pendente","Atrasado"),
   Tabela_Movimentacao_Geral[[#This Row],[Status Financeiro]]
)</f>
        <v>Pago</v>
      </c>
      <c r="L573" t="str">
        <f ca="1">IF(
   $O$7="Desbloqueado",
   CHOOSE(RANDBETWEEN(1,3),"Entregue","Em Rota","Aguardando"),
   Tabela_Movimentacao_Geral[[#This Row],[Status Logistico]]
)</f>
        <v>Aguardando</v>
      </c>
      <c r="M57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74" spans="1:13" x14ac:dyDescent="0.3">
      <c r="A574" t="str">
        <f t="shared" si="8"/>
        <v>T0573</v>
      </c>
      <c r="B574" s="1">
        <v>45943</v>
      </c>
      <c r="C574" t="str" cm="1">
        <f t="array" aca="1" ref="C574" ca="1">IF($O$7="Desbloqueado",
  _xlfn.LET(
    _xlpm.saldo_atual, SUM(($C$2:$C573="Entrada")*($F$2:$F573=Tabela_Movimentacao_Geral[[#This Row],[ID Produto]])*($H$2:$H573) - ($C$2:$C573="Saida")*($F$2:$F573=Tabela_Movimentacao_Geral[[#This Row],[ID Produto]])*($H$2:$H573)),
    IF(_xlpm.saldo_atual &gt; 0, IF(RANDBETWEEN(0,10)&gt;3,"Saida","Entrada"), "Entrada")
  ),
  Tabela_Movimentacao_Geral[[#This Row],[Tipo Fluxo]]
)</f>
        <v>Saida</v>
      </c>
      <c r="D5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5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574" t="str">
        <f ca="1">IF(
  $O$7="Desbloqueado",
  "PROD"&amp;TEXT(RANDBETWEEN(1,200),"000"),
  Tabela_Movimentacao_Geral[[#This Row],[ID Produto]]
)</f>
        <v>PROD023</v>
      </c>
      <c r="G574" t="str">
        <f ca="1">_xlfn.XLOOKUP(Tabela_Movimentacao_Geral[[#This Row],[ID Produto]], Tabela_Produtos[ID_Produto],Tabela_Produtos[Descricao_Produto],"Produto não encontrado")</f>
        <v>Antivirus Endpoint 1 Ano</v>
      </c>
      <c r="H574" cm="1">
        <f t="array" aca="1" ref="H574" ca="1">IF(
   $O$7="Desbloqueado",
   _xlfn.LET(
     _xlpm.saldo_atual, SUM(($C$2:$C573="Entrada")*($F$2:$F573=Tabela_Movimentacao_Geral[[#This Row],[ID Produto]])*($H$2:$H573) - ($C$2:$C573="Saida")*($F$2:$F573=Tabela_Movimentacao_Geral[[#This Row],[ID Produto]])*($H$2:$H573)),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574" s="5">
        <f ca="1">_xlfn.XLOOKUP(Tabela_Movimentacao_Geral[[#This Row],[ID Produto]], Tabela_Produtos[ID_Produto],Tabela_Produtos[Preco_Unitario_Venda])</f>
        <v>150</v>
      </c>
      <c r="J574" s="6">
        <f ca="1">Tabela_Movimentacao_Geral[[#This Row],[Quantidade]] * Tabela_Movimentacao_Geral[[#This Row],[Valor Unitário]]</f>
        <v>1950</v>
      </c>
      <c r="K574" t="str">
        <f ca="1">IF(
   $O$7="Desbloqueado",
   CHOOSE(RANDBETWEEN(1,3),"Pago","Pendente","Atrasado"),
   Tabela_Movimentacao_Geral[[#This Row],[Status Financeiro]]
)</f>
        <v>Pendente</v>
      </c>
      <c r="L574" t="str">
        <f ca="1">IF(
   $O$7="Desbloqueado",
   CHOOSE(RANDBETWEEN(1,3),"Entregue","Em Rota","Aguardando"),
   Tabela_Movimentacao_Geral[[#This Row],[Status Logistico]]
)</f>
        <v>Entregue</v>
      </c>
      <c r="M57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75" spans="1:13" x14ac:dyDescent="0.3">
      <c r="A575" t="str">
        <f t="shared" si="8"/>
        <v>T0574</v>
      </c>
      <c r="B575" s="1">
        <v>45943</v>
      </c>
      <c r="C575" t="str" cm="1">
        <f t="array" aca="1" ref="C575" ca="1">IF($O$7="Desbloqueado",
  _xlfn.LET(
    _xlpm.saldo_atual, SUM(($C$2:$C574="Entrada")*($F$2:$F574=Tabela_Movimentacao_Geral[[#This Row],[ID Produto]])*($H$2:$H574) - ($C$2:$C574="Saida")*($F$2:$F574=Tabela_Movimentacao_Geral[[#This Row],[ID Produto]])*($H$2:$H574)),
    IF(_xlpm.saldo_atual &gt; 0, IF(RANDBETWEEN(0,10)&gt;3,"Saida","Entrada"), "Entrada")
  ),
  Tabela_Movimentacao_Geral[[#This Row],[Tipo Fluxo]]
)</f>
        <v>Saida</v>
      </c>
      <c r="D5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5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575" t="str">
        <f ca="1">IF(
  $O$7="Desbloqueado",
  "PROD"&amp;TEXT(RANDBETWEEN(1,200),"000"),
  Tabela_Movimentacao_Geral[[#This Row],[ID Produto]]
)</f>
        <v>PROD023</v>
      </c>
      <c r="G575" t="str">
        <f ca="1">_xlfn.XLOOKUP(Tabela_Movimentacao_Geral[[#This Row],[ID Produto]], Tabela_Produtos[ID_Produto],Tabela_Produtos[Descricao_Produto],"Produto não encontrado")</f>
        <v>Antivirus Endpoint 1 Ano</v>
      </c>
      <c r="H575" cm="1">
        <f t="array" aca="1" ref="H575" ca="1">IF(
   $O$7="Desbloqueado",
   _xlfn.LET(
     _xlpm.saldo_atual, SUM(($C$2:$C574="Entrada")*($F$2:$F574=Tabela_Movimentacao_Geral[[#This Row],[ID Produto]])*($H$2:$H574) - ($C$2:$C574="Saida")*($F$2:$F574=Tabela_Movimentacao_Geral[[#This Row],[ID Produto]])*($H$2:$H574)),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575" s="5">
        <f ca="1">_xlfn.XLOOKUP(Tabela_Movimentacao_Geral[[#This Row],[ID Produto]], Tabela_Produtos[ID_Produto],Tabela_Produtos[Preco_Unitario_Venda])</f>
        <v>150</v>
      </c>
      <c r="J575" s="6">
        <f ca="1">Tabela_Movimentacao_Geral[[#This Row],[Quantidade]] * Tabela_Movimentacao_Geral[[#This Row],[Valor Unitário]]</f>
        <v>6750</v>
      </c>
      <c r="K575" t="str">
        <f ca="1">IF(
   $O$7="Desbloqueado",
   CHOOSE(RANDBETWEEN(1,3),"Pago","Pendente","Atrasado"),
   Tabela_Movimentacao_Geral[[#This Row],[Status Financeiro]]
)</f>
        <v>Pendente</v>
      </c>
      <c r="L575" t="str">
        <f ca="1">IF(
   $O$7="Desbloqueado",
   CHOOSE(RANDBETWEEN(1,3),"Entregue","Em Rota","Aguardando"),
   Tabela_Movimentacao_Geral[[#This Row],[Status Logistico]]
)</f>
        <v>Aguardando</v>
      </c>
      <c r="M57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76" spans="1:13" x14ac:dyDescent="0.3">
      <c r="A576" t="str">
        <f t="shared" si="8"/>
        <v>T0575</v>
      </c>
      <c r="B576" s="1">
        <v>45943</v>
      </c>
      <c r="C576" t="str" cm="1">
        <f t="array" aca="1" ref="C576" ca="1">IF($O$7="Desbloqueado",
  _xlfn.LET(
    _xlpm.saldo_atual, SUM(($C$2:$C575="Entrada")*($F$2:$F575=Tabela_Movimentacao_Geral[[#This Row],[ID Produto]])*($H$2:$H575) - ($C$2:$C575="Saida")*($F$2:$F575=Tabela_Movimentacao_Geral[[#This Row],[ID Produto]])*($H$2:$H575)),
    IF(_xlpm.saldo_atual &gt; 0, IF(RANDBETWEEN(0,10)&gt;3,"Saida","Entrada"), "Entrada")
  ),
  Tabela_Movimentacao_Geral[[#This Row],[Tipo Fluxo]]
)</f>
        <v>Entrada</v>
      </c>
      <c r="D5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5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576" t="str">
        <f ca="1">IF(
  $O$7="Desbloqueado",
  "PROD"&amp;TEXT(RANDBETWEEN(1,200),"000"),
  Tabela_Movimentacao_Geral[[#This Row],[ID Produto]]
)</f>
        <v>PROD165</v>
      </c>
      <c r="G576" t="str">
        <f ca="1">_xlfn.XLOOKUP(Tabela_Movimentacao_Geral[[#This Row],[ID Produto]], Tabela_Produtos[ID_Produto],Tabela_Produtos[Descricao_Produto],"Produto não encontrado")</f>
        <v>Almofada para Carimbo</v>
      </c>
      <c r="H576" cm="1">
        <f t="array" aca="1" ref="H576" ca="1">IF(
   $O$7="Desbloqueado",
   _xlfn.LET(
     _xlpm.saldo_atual, SUM(($C$2:$C575="Entrada")*($F$2:$F575=Tabela_Movimentacao_Geral[[#This Row],[ID Produto]])*($H$2:$H575) - ($C$2:$C575="Saida")*($F$2:$F575=Tabela_Movimentacao_Geral[[#This Row],[ID Produto]])*($H$2:$H575)),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576" s="5">
        <f ca="1">_xlfn.XLOOKUP(Tabela_Movimentacao_Geral[[#This Row],[ID Produto]], Tabela_Produtos[ID_Produto],Tabela_Produtos[Preco_Unitario_Venda])</f>
        <v>18</v>
      </c>
      <c r="J576" s="6">
        <f ca="1">Tabela_Movimentacao_Geral[[#This Row],[Quantidade]] * Tabela_Movimentacao_Geral[[#This Row],[Valor Unitário]]</f>
        <v>486</v>
      </c>
      <c r="K576" t="str">
        <f ca="1">IF(
   $O$7="Desbloqueado",
   CHOOSE(RANDBETWEEN(1,3),"Pago","Pendente","Atrasado"),
   Tabela_Movimentacao_Geral[[#This Row],[Status Financeiro]]
)</f>
        <v>Atrasado</v>
      </c>
      <c r="L576" t="str">
        <f ca="1">IF(
   $O$7="Desbloqueado",
   CHOOSE(RANDBETWEEN(1,3),"Entregue","Em Rota","Aguardando"),
   Tabela_Movimentacao_Geral[[#This Row],[Status Logistico]]
)</f>
        <v>Em Rota</v>
      </c>
      <c r="M57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45946</v>
      </c>
    </row>
    <row r="577" spans="1:13" x14ac:dyDescent="0.3">
      <c r="A577" t="str">
        <f t="shared" si="8"/>
        <v>T0576</v>
      </c>
      <c r="B577" s="1">
        <v>45944</v>
      </c>
      <c r="C577" t="str" cm="1">
        <f t="array" aca="1" ref="C577" ca="1">IF($O$7="Desbloqueado",
  _xlfn.LET(
    _xlpm.saldo_atual, SUM(($C$2:$C576="Entrada")*($F$2:$F576=Tabela_Movimentacao_Geral[[#This Row],[ID Produto]])*($H$2:$H576) - ($C$2:$C576="Saida")*($F$2:$F576=Tabela_Movimentacao_Geral[[#This Row],[ID Produto]])*($H$2:$H576)),
    IF(_xlpm.saldo_atual &gt; 0, IF(RANDBETWEEN(0,10)&gt;3,"Saida","Entrada"), "Entrada")
  ),
  Tabela_Movimentacao_Geral[[#This Row],[Tipo Fluxo]]
)</f>
        <v>Entrada</v>
      </c>
      <c r="D5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5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577" t="str">
        <f ca="1">IF(
  $O$7="Desbloqueado",
  "PROD"&amp;TEXT(RANDBETWEEN(1,200),"000"),
  Tabela_Movimentacao_Geral[[#This Row],[ID Produto]]
)</f>
        <v>PROD191</v>
      </c>
      <c r="G577" t="str">
        <f ca="1">_xlfn.XLOOKUP(Tabela_Movimentacao_Geral[[#This Row],[ID Produto]], Tabela_Produtos[ID_Produto],Tabela_Produtos[Descricao_Produto],"Produto não encontrado")</f>
        <v>Antena Wi-Fi High Gain</v>
      </c>
      <c r="H577" cm="1">
        <f t="array" aca="1" ref="H577" ca="1">IF(
   $O$7="Desbloqueado",
   _xlfn.LET(
     _xlpm.saldo_atual, SUM(($C$2:$C576="Entrada")*($F$2:$F576=Tabela_Movimentacao_Geral[[#This Row],[ID Produto]])*($H$2:$H576) - ($C$2:$C576="Saida")*($F$2:$F576=Tabela_Movimentacao_Geral[[#This Row],[ID Produto]])*($H$2:$H576)),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577" s="5">
        <f ca="1">_xlfn.XLOOKUP(Tabela_Movimentacao_Geral[[#This Row],[ID Produto]], Tabela_Produtos[ID_Produto],Tabela_Produtos[Preco_Unitario_Venda])</f>
        <v>145</v>
      </c>
      <c r="J577" s="6">
        <f ca="1">Tabela_Movimentacao_Geral[[#This Row],[Quantidade]] * Tabela_Movimentacao_Geral[[#This Row],[Valor Unitário]]</f>
        <v>6815</v>
      </c>
      <c r="K577" t="str">
        <f ca="1">IF(
   $O$7="Desbloqueado",
   CHOOSE(RANDBETWEEN(1,3),"Pago","Pendente","Atrasado"),
   Tabela_Movimentacao_Geral[[#This Row],[Status Financeiro]]
)</f>
        <v>Pendente</v>
      </c>
      <c r="L577" t="str">
        <f ca="1">IF(
   $O$7="Desbloqueado",
   CHOOSE(RANDBETWEEN(1,3),"Entregue","Em Rota","Aguardando"),
   Tabela_Movimentacao_Geral[[#This Row],[Status Logistico]]
)</f>
        <v>Aguardando</v>
      </c>
      <c r="M57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45949</v>
      </c>
    </row>
    <row r="578" spans="1:13" x14ac:dyDescent="0.3">
      <c r="A578" t="str">
        <f t="shared" si="8"/>
        <v>T0577</v>
      </c>
      <c r="B578" s="1">
        <v>45944</v>
      </c>
      <c r="C578" t="str" cm="1">
        <f t="array" aca="1" ref="C578" ca="1">IF($O$7="Desbloqueado",
  _xlfn.LET(
    _xlpm.saldo_atual, SUM(($C$2:$C577="Entrada")*($F$2:$F577=Tabela_Movimentacao_Geral[[#This Row],[ID Produto]])*($H$2:$H577) - ($C$2:$C577="Saida")*($F$2:$F577=Tabela_Movimentacao_Geral[[#This Row],[ID Produto]])*($H$2:$H577)),
    IF(_xlpm.saldo_atual &gt; 0, IF(RANDBETWEEN(0,10)&gt;3,"Saida","Entrada"), "Entrada")
  ),
  Tabela_Movimentacao_Geral[[#This Row],[Tipo Fluxo]]
)</f>
        <v>Saida</v>
      </c>
      <c r="D5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5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578" t="str">
        <f ca="1">IF(
  $O$7="Desbloqueado",
  "PROD"&amp;TEXT(RANDBETWEEN(1,200),"000"),
  Tabela_Movimentacao_Geral[[#This Row],[ID Produto]]
)</f>
        <v>PROD174</v>
      </c>
      <c r="G578" t="str">
        <f ca="1">_xlfn.XLOOKUP(Tabela_Movimentacao_Geral[[#This Row],[ID Produto]], Tabela_Produtos[ID_Produto],Tabela_Produtos[Descricao_Produto],"Produto não encontrado")</f>
        <v>Filme Stretch Manual 50cm</v>
      </c>
      <c r="H578" cm="1">
        <f t="array" aca="1" ref="H578" ca="1">IF(
   $O$7="Desbloqueado",
   _xlfn.LET(
     _xlpm.saldo_atual, SUM(($C$2:$C577="Entrada")*($F$2:$F577=Tabela_Movimentacao_Geral[[#This Row],[ID Produto]])*($H$2:$H577) - ($C$2:$C577="Saida")*($F$2:$F577=Tabela_Movimentacao_Geral[[#This Row],[ID Produto]])*($H$2:$H577)),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578" s="5">
        <f ca="1">_xlfn.XLOOKUP(Tabela_Movimentacao_Geral[[#This Row],[ID Produto]], Tabela_Produtos[ID_Produto],Tabela_Produtos[Preco_Unitario_Venda])</f>
        <v>65</v>
      </c>
      <c r="J578" s="6">
        <f ca="1">Tabela_Movimentacao_Geral[[#This Row],[Quantidade]] * Tabela_Movimentacao_Geral[[#This Row],[Valor Unitário]]</f>
        <v>1885</v>
      </c>
      <c r="K578" t="str">
        <f ca="1">IF(
   $O$7="Desbloqueado",
   CHOOSE(RANDBETWEEN(1,3),"Pago","Pendente","Atrasado"),
   Tabela_Movimentacao_Geral[[#This Row],[Status Financeiro]]
)</f>
        <v>Atrasado</v>
      </c>
      <c r="L578" t="str">
        <f ca="1">IF(
   $O$7="Desbloqueado",
   CHOOSE(RANDBETWEEN(1,3),"Entregue","Em Rota","Aguardando"),
   Tabela_Movimentacao_Geral[[#This Row],[Status Logistico]]
)</f>
        <v>Entregue</v>
      </c>
      <c r="M57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79" spans="1:13" x14ac:dyDescent="0.3">
      <c r="A579" t="str">
        <f t="shared" si="8"/>
        <v>T0578</v>
      </c>
      <c r="B579" s="1">
        <v>45945</v>
      </c>
      <c r="C579" t="str" cm="1">
        <f t="array" aca="1" ref="C579" ca="1">IF($O$7="Desbloqueado",
  _xlfn.LET(
    _xlpm.saldo_atual, SUM(($C$2:$C578="Entrada")*($F$2:$F578=Tabela_Movimentacao_Geral[[#This Row],[ID Produto]])*($H$2:$H578) - ($C$2:$C578="Saida")*($F$2:$F578=Tabela_Movimentacao_Geral[[#This Row],[ID Produto]])*($H$2:$H578)),
    IF(_xlpm.saldo_atual &gt; 0, IF(RANDBETWEEN(0,10)&gt;3,"Saida","Entrada"), "Entrada")
  ),
  Tabela_Movimentacao_Geral[[#This Row],[Tipo Fluxo]]
)</f>
        <v>Saida</v>
      </c>
      <c r="D5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5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579" t="str">
        <f ca="1">IF(
  $O$7="Desbloqueado",
  "PROD"&amp;TEXT(RANDBETWEEN(1,200),"000"),
  Tabela_Movimentacao_Geral[[#This Row],[ID Produto]]
)</f>
        <v>PROD122</v>
      </c>
      <c r="G579" t="str">
        <f ca="1">_xlfn.XLOOKUP(Tabela_Movimentacao_Geral[[#This Row],[ID Produto]], Tabela_Produtos[ID_Produto],Tabela_Produtos[Descricao_Produto],"Produto não encontrado")</f>
        <v>Windows Server 2022 CAL</v>
      </c>
      <c r="H579" cm="1">
        <f t="array" aca="1" ref="H579" ca="1">IF(
   $O$7="Desbloqueado",
   _xlfn.LET(
     _xlpm.saldo_atual, SUM(($C$2:$C578="Entrada")*($F$2:$F578=Tabela_Movimentacao_Geral[[#This Row],[ID Produto]])*($H$2:$H578) - ($C$2:$C578="Saida")*($F$2:$F578=Tabela_Movimentacao_Geral[[#This Row],[ID Produto]])*($H$2:$H578)),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579" s="5">
        <f ca="1">_xlfn.XLOOKUP(Tabela_Movimentacao_Geral[[#This Row],[ID Produto]], Tabela_Produtos[ID_Produto],Tabela_Produtos[Preco_Unitario_Venda])</f>
        <v>180</v>
      </c>
      <c r="J579" s="6">
        <f ca="1">Tabela_Movimentacao_Geral[[#This Row],[Quantidade]] * Tabela_Movimentacao_Geral[[#This Row],[Valor Unitário]]</f>
        <v>7740</v>
      </c>
      <c r="K579" t="str">
        <f ca="1">IF(
   $O$7="Desbloqueado",
   CHOOSE(RANDBETWEEN(1,3),"Pago","Pendente","Atrasado"),
   Tabela_Movimentacao_Geral[[#This Row],[Status Financeiro]]
)</f>
        <v>Pago</v>
      </c>
      <c r="L579" t="str">
        <f ca="1">IF(
   $O$7="Desbloqueado",
   CHOOSE(RANDBETWEEN(1,3),"Entregue","Em Rota","Aguardando"),
   Tabela_Movimentacao_Geral[[#This Row],[Status Logistico]]
)</f>
        <v>Aguardando</v>
      </c>
      <c r="M57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0" spans="1:13" x14ac:dyDescent="0.3">
      <c r="A580" t="str">
        <f t="shared" si="8"/>
        <v>T0579</v>
      </c>
      <c r="B580" s="1">
        <v>45945</v>
      </c>
      <c r="C580" t="str" cm="1">
        <f t="array" aca="1" ref="C580" ca="1">IF($O$7="Desbloqueado",
  _xlfn.LET(
    _xlpm.saldo_atual, SUM(($C$2:$C579="Entrada")*($F$2:$F579=Tabela_Movimentacao_Geral[[#This Row],[ID Produto]])*($H$2:$H579) - ($C$2:$C579="Saida")*($F$2:$F579=Tabela_Movimentacao_Geral[[#This Row],[ID Produto]])*($H$2:$H579)),
    IF(_xlpm.saldo_atual &gt; 0, IF(RANDBETWEEN(0,10)&gt;3,"Saida","Entrada"), "Entrada")
  ),
  Tabela_Movimentacao_Geral[[#This Row],[Tipo Fluxo]]
)</f>
        <v>Entrada</v>
      </c>
      <c r="D5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5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580" t="str">
        <f ca="1">IF(
  $O$7="Desbloqueado",
  "PROD"&amp;TEXT(RANDBETWEEN(1,200),"000"),
  Tabela_Movimentacao_Geral[[#This Row],[ID Produto]]
)</f>
        <v>PROD159</v>
      </c>
      <c r="G580" t="str">
        <f ca="1">_xlfn.XLOOKUP(Tabela_Movimentacao_Geral[[#This Row],[ID Produto]], Tabela_Produtos[ID_Produto],Tabela_Produtos[Descricao_Produto],"Produto não encontrado")</f>
        <v>Elastico de Borracha 100g</v>
      </c>
      <c r="H580" cm="1">
        <f t="array" aca="1" ref="H580" ca="1">IF(
   $O$7="Desbloqueado",
   _xlfn.LET(
     _xlpm.saldo_atual, SUM(($C$2:$C579="Entrada")*($F$2:$F579=Tabela_Movimentacao_Geral[[#This Row],[ID Produto]])*($H$2:$H579) - ($C$2:$C579="Saida")*($F$2:$F579=Tabela_Movimentacao_Geral[[#This Row],[ID Produto]])*($H$2:$H579)),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580" s="5">
        <f ca="1">_xlfn.XLOOKUP(Tabela_Movimentacao_Geral[[#This Row],[ID Produto]], Tabela_Produtos[ID_Produto],Tabela_Produtos[Preco_Unitario_Venda])</f>
        <v>12</v>
      </c>
      <c r="J580" s="6">
        <f ca="1">Tabela_Movimentacao_Geral[[#This Row],[Quantidade]] * Tabela_Movimentacao_Geral[[#This Row],[Valor Unitário]]</f>
        <v>348</v>
      </c>
      <c r="K580" t="str">
        <f ca="1">IF(
   $O$7="Desbloqueado",
   CHOOSE(RANDBETWEEN(1,3),"Pago","Pendente","Atrasado"),
   Tabela_Movimentacao_Geral[[#This Row],[Status Financeiro]]
)</f>
        <v>Atrasado</v>
      </c>
      <c r="L580" t="str">
        <f ca="1">IF(
   $O$7="Desbloqueado",
   CHOOSE(RANDBETWEEN(1,3),"Entregue","Em Rota","Aguardando"),
   Tabela_Movimentacao_Geral[[#This Row],[Status Logistico]]
)</f>
        <v>Aguardando</v>
      </c>
      <c r="M5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45949</v>
      </c>
    </row>
    <row r="581" spans="1:13" x14ac:dyDescent="0.3">
      <c r="A581" t="str">
        <f t="shared" si="8"/>
        <v>T0580</v>
      </c>
      <c r="B581" s="1">
        <v>45945</v>
      </c>
      <c r="C581" t="str" cm="1">
        <f t="array" aca="1" ref="C581" ca="1">IF($O$7="Desbloqueado",
  _xlfn.LET(
    _xlpm.saldo_atual, SUM(($C$2:$C580="Entrada")*($F$2:$F580=Tabela_Movimentacao_Geral[[#This Row],[ID Produto]])*($H$2:$H580) - ($C$2:$C580="Saida")*($F$2:$F580=Tabela_Movimentacao_Geral[[#This Row],[ID Produto]])*($H$2:$H580)),
    IF(_xlpm.saldo_atual &gt; 0, IF(RANDBETWEEN(0,10)&gt;3,"Saida","Entrada"), "Entrada")
  ),
  Tabela_Movimentacao_Geral[[#This Row],[Tipo Fluxo]]
)</f>
        <v>Saida</v>
      </c>
      <c r="D5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5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581" t="str">
        <f ca="1">IF(
  $O$7="Desbloqueado",
  "PROD"&amp;TEXT(RANDBETWEEN(1,200),"000"),
  Tabela_Movimentacao_Geral[[#This Row],[ID Produto]]
)</f>
        <v>PROD034</v>
      </c>
      <c r="G581" t="str">
        <f ca="1">_xlfn.XLOOKUP(Tabela_Movimentacao_Geral[[#This Row],[ID Produto]], Tabela_Produtos[ID_Produto],Tabela_Produtos[Descricao_Produto],"Produto não encontrado")</f>
        <v>Projetor Multimidia 4K</v>
      </c>
      <c r="H581" cm="1">
        <f t="array" aca="1" ref="H581" ca="1">IF(
   $O$7="Desbloqueado",
   _xlfn.LET(
     _xlpm.saldo_atual, SUM(($C$2:$C580="Entrada")*($F$2:$F580=Tabela_Movimentacao_Geral[[#This Row],[ID Produto]])*($H$2:$H580) - ($C$2:$C580="Saida")*($F$2:$F580=Tabela_Movimentacao_Geral[[#This Row],[ID Produto]])*($H$2:$H580)),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581" s="5">
        <f ca="1">_xlfn.XLOOKUP(Tabela_Movimentacao_Geral[[#This Row],[ID Produto]], Tabela_Produtos[ID_Produto],Tabela_Produtos[Preco_Unitario_Venda])</f>
        <v>4200</v>
      </c>
      <c r="J581" s="6">
        <f ca="1">Tabela_Movimentacao_Geral[[#This Row],[Quantidade]] * Tabela_Movimentacao_Geral[[#This Row],[Valor Unitário]]</f>
        <v>63000</v>
      </c>
      <c r="K581" t="str">
        <f ca="1">IF(
   $O$7="Desbloqueado",
   CHOOSE(RANDBETWEEN(1,3),"Pago","Pendente","Atrasado"),
   Tabela_Movimentacao_Geral[[#This Row],[Status Financeiro]]
)</f>
        <v>Pendente</v>
      </c>
      <c r="L581" t="str">
        <f ca="1">IF(
   $O$7="Desbloqueado",
   CHOOSE(RANDBETWEEN(1,3),"Entregue","Em Rota","Aguardando"),
   Tabela_Movimentacao_Geral[[#This Row],[Status Logistico]]
)</f>
        <v>Em Rota</v>
      </c>
      <c r="M58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2" spans="1:13" x14ac:dyDescent="0.3">
      <c r="A582" t="str">
        <f t="shared" si="8"/>
        <v>T0581</v>
      </c>
      <c r="B582" s="1">
        <v>45945</v>
      </c>
      <c r="C582" t="str" cm="1">
        <f t="array" aca="1" ref="C582" ca="1">IF($O$7="Desbloqueado",
  _xlfn.LET(
    _xlpm.saldo_atual, SUM(($C$2:$C581="Entrada")*($F$2:$F581=Tabela_Movimentacao_Geral[[#This Row],[ID Produto]])*($H$2:$H581) - ($C$2:$C581="Saida")*($F$2:$F581=Tabela_Movimentacao_Geral[[#This Row],[ID Produto]])*($H$2:$H581)),
    IF(_xlpm.saldo_atual &gt; 0, IF(RANDBETWEEN(0,10)&gt;3,"Saida","Entrada"), "Entrada")
  ),
  Tabela_Movimentacao_Geral[[#This Row],[Tipo Fluxo]]
)</f>
        <v>Entrada</v>
      </c>
      <c r="D5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5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582" t="str">
        <f ca="1">IF(
  $O$7="Desbloqueado",
  "PROD"&amp;TEXT(RANDBETWEEN(1,200),"000"),
  Tabela_Movimentacao_Geral[[#This Row],[ID Produto]]
)</f>
        <v>PROD058</v>
      </c>
      <c r="G582" t="str">
        <f ca="1">_xlfn.XLOOKUP(Tabela_Movimentacao_Geral[[#This Row],[ID Produto]], Tabela_Produtos[ID_Produto],Tabela_Produtos[Descricao_Produto],"Produto não encontrado")</f>
        <v>Caneta Esferografica Preta</v>
      </c>
      <c r="H582" cm="1">
        <f t="array" aca="1" ref="H582" ca="1">IF(
   $O$7="Desbloqueado",
   _xlfn.LET(
     _xlpm.saldo_atual, SUM(($C$2:$C581="Entrada")*($F$2:$F581=Tabela_Movimentacao_Geral[[#This Row],[ID Produto]])*($H$2:$H581) - ($C$2:$C581="Saida")*($F$2:$F581=Tabela_Movimentacao_Geral[[#This Row],[ID Produto]])*($H$2:$H581)),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394</v>
      </c>
      <c r="I582" s="5">
        <f ca="1">_xlfn.XLOOKUP(Tabela_Movimentacao_Geral[[#This Row],[ID Produto]], Tabela_Produtos[ID_Produto],Tabela_Produtos[Preco_Unitario_Venda])</f>
        <v>1.5</v>
      </c>
      <c r="J582" s="6">
        <f ca="1">Tabela_Movimentacao_Geral[[#This Row],[Quantidade]] * Tabela_Movimentacao_Geral[[#This Row],[Valor Unitário]]</f>
        <v>591</v>
      </c>
      <c r="K582" t="str">
        <f ca="1">IF(
   $O$7="Desbloqueado",
   CHOOSE(RANDBETWEEN(1,3),"Pago","Pendente","Atrasado"),
   Tabela_Movimentacao_Geral[[#This Row],[Status Financeiro]]
)</f>
        <v>Atrasado</v>
      </c>
      <c r="L582" t="str">
        <f ca="1">IF(
   $O$7="Desbloqueado",
   CHOOSE(RANDBETWEEN(1,3),"Entregue","Em Rota","Aguardando"),
   Tabela_Movimentacao_Geral[[#This Row],[Status Logistico]]
)</f>
        <v>Entregue</v>
      </c>
      <c r="M58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45951</v>
      </c>
    </row>
    <row r="583" spans="1:13" x14ac:dyDescent="0.3">
      <c r="A583" t="str">
        <f t="shared" si="8"/>
        <v>T0582</v>
      </c>
      <c r="B583" s="1">
        <v>45946</v>
      </c>
      <c r="C583" t="str" cm="1">
        <f t="array" aca="1" ref="C583" ca="1">IF($O$7="Desbloqueado",
  _xlfn.LET(
    _xlpm.saldo_atual, SUM(($C$2:$C582="Entrada")*($F$2:$F582=Tabela_Movimentacao_Geral[[#This Row],[ID Produto]])*($H$2:$H582) - ($C$2:$C582="Saida")*($F$2:$F582=Tabela_Movimentacao_Geral[[#This Row],[ID Produto]])*($H$2:$H582)),
    IF(_xlpm.saldo_atual &gt; 0, IF(RANDBETWEEN(0,10)&gt;3,"Saida","Entrada"), "Entrada")
  ),
  Tabela_Movimentacao_Geral[[#This Row],[Tipo Fluxo]]
)</f>
        <v>Saida</v>
      </c>
      <c r="D5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5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583" t="str">
        <f ca="1">IF(
  $O$7="Desbloqueado",
  "PROD"&amp;TEXT(RANDBETWEEN(1,200),"000"),
  Tabela_Movimentacao_Geral[[#This Row],[ID Produto]]
)</f>
        <v>PROD140</v>
      </c>
      <c r="G583" t="str">
        <f ca="1">_xlfn.XLOOKUP(Tabela_Movimentacao_Geral[[#This Row],[ID Produto]], Tabela_Produtos[ID_Produto],Tabela_Produtos[Descricao_Produto],"Produto não encontrado")</f>
        <v>Leitor Cartao de Memoria</v>
      </c>
      <c r="H583" cm="1">
        <f t="array" aca="1" ref="H583" ca="1">IF(
   $O$7="Desbloqueado",
   _xlfn.LET(
     _xlpm.saldo_atual, SUM(($C$2:$C582="Entrada")*($F$2:$F582=Tabela_Movimentacao_Geral[[#This Row],[ID Produto]])*($H$2:$H582) - ($C$2:$C582="Saida")*($F$2:$F582=Tabela_Movimentacao_Geral[[#This Row],[ID Produto]])*($H$2:$H582)),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583" s="5">
        <f ca="1">_xlfn.XLOOKUP(Tabela_Movimentacao_Geral[[#This Row],[ID Produto]], Tabela_Produtos[ID_Produto],Tabela_Produtos[Preco_Unitario_Venda])</f>
        <v>45</v>
      </c>
      <c r="J583" s="6">
        <f ca="1">Tabela_Movimentacao_Geral[[#This Row],[Quantidade]] * Tabela_Movimentacao_Geral[[#This Row],[Valor Unitário]]</f>
        <v>900</v>
      </c>
      <c r="K583" t="str">
        <f ca="1">IF(
   $O$7="Desbloqueado",
   CHOOSE(RANDBETWEEN(1,3),"Pago","Pendente","Atrasado"),
   Tabela_Movimentacao_Geral[[#This Row],[Status Financeiro]]
)</f>
        <v>Pendente</v>
      </c>
      <c r="L583" t="str">
        <f ca="1">IF(
   $O$7="Desbloqueado",
   CHOOSE(RANDBETWEEN(1,3),"Entregue","Em Rota","Aguardando"),
   Tabela_Movimentacao_Geral[[#This Row],[Status Logistico]]
)</f>
        <v>Aguardando</v>
      </c>
      <c r="M58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4" spans="1:13" x14ac:dyDescent="0.3">
      <c r="A584" t="str">
        <f t="shared" si="8"/>
        <v>T0583</v>
      </c>
      <c r="B584" s="1">
        <v>45946</v>
      </c>
      <c r="C584" t="str" cm="1">
        <f t="array" aca="1" ref="C584" ca="1">IF($O$7="Desbloqueado",
  _xlfn.LET(
    _xlpm.saldo_atual, SUM(($C$2:$C583="Entrada")*($F$2:$F583=Tabela_Movimentacao_Geral[[#This Row],[ID Produto]])*($H$2:$H583) - ($C$2:$C583="Saida")*($F$2:$F583=Tabela_Movimentacao_Geral[[#This Row],[ID Produto]])*($H$2:$H583)),
    IF(_xlpm.saldo_atual &gt; 0, IF(RANDBETWEEN(0,10)&gt;3,"Saida","Entrada"), "Entrada")
  ),
  Tabela_Movimentacao_Geral[[#This Row],[Tipo Fluxo]]
)</f>
        <v>Saida</v>
      </c>
      <c r="D5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5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584" t="str">
        <f ca="1">IF(
  $O$7="Desbloqueado",
  "PROD"&amp;TEXT(RANDBETWEEN(1,200),"000"),
  Tabela_Movimentacao_Geral[[#This Row],[ID Produto]]
)</f>
        <v>PROD117</v>
      </c>
      <c r="G584" t="str">
        <f ca="1">_xlfn.XLOOKUP(Tabela_Movimentacao_Geral[[#This Row],[ID Produto]], Tabela_Produtos[ID_Produto],Tabela_Produtos[Descricao_Produto],"Produto não encontrado")</f>
        <v>Adaptador Wi-Fi USB 5G</v>
      </c>
      <c r="H584" cm="1">
        <f t="array" aca="1" ref="H584" ca="1">IF(
   $O$7="Desbloqueado",
   _xlfn.LET(
     _xlpm.saldo_atual, SUM(($C$2:$C583="Entrada")*($F$2:$F583=Tabela_Movimentacao_Geral[[#This Row],[ID Produto]])*($H$2:$H583) - ($C$2:$C583="Saida")*($F$2:$F583=Tabela_Movimentacao_Geral[[#This Row],[ID Produto]])*($H$2:$H583)),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584" s="5">
        <f ca="1">_xlfn.XLOOKUP(Tabela_Movimentacao_Geral[[#This Row],[ID Produto]], Tabela_Produtos[ID_Produto],Tabela_Produtos[Preco_Unitario_Venda])</f>
        <v>95</v>
      </c>
      <c r="J584" s="6">
        <f ca="1">Tabela_Movimentacao_Geral[[#This Row],[Quantidade]] * Tabela_Movimentacao_Geral[[#This Row],[Valor Unitário]]</f>
        <v>1615</v>
      </c>
      <c r="K584" t="str">
        <f ca="1">IF(
   $O$7="Desbloqueado",
   CHOOSE(RANDBETWEEN(1,3),"Pago","Pendente","Atrasado"),
   Tabela_Movimentacao_Geral[[#This Row],[Status Financeiro]]
)</f>
        <v>Pendente</v>
      </c>
      <c r="L584" t="str">
        <f ca="1">IF(
   $O$7="Desbloqueado",
   CHOOSE(RANDBETWEEN(1,3),"Entregue","Em Rota","Aguardando"),
   Tabela_Movimentacao_Geral[[#This Row],[Status Logistico]]
)</f>
        <v>Aguardando</v>
      </c>
      <c r="M58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5" spans="1:13" x14ac:dyDescent="0.3">
      <c r="A585" t="str">
        <f t="shared" si="8"/>
        <v>T0584</v>
      </c>
      <c r="B585" s="1">
        <v>45946</v>
      </c>
      <c r="C585" t="str" cm="1">
        <f t="array" aca="1" ref="C585" ca="1">IF($O$7="Desbloqueado",
  _xlfn.LET(
    _xlpm.saldo_atual, SUM(($C$2:$C584="Entrada")*($F$2:$F584=Tabela_Movimentacao_Geral[[#This Row],[ID Produto]])*($H$2:$H584) - ($C$2:$C584="Saida")*($F$2:$F584=Tabela_Movimentacao_Geral[[#This Row],[ID Produto]])*($H$2:$H584)),
    IF(_xlpm.saldo_atual &gt; 0, IF(RANDBETWEEN(0,10)&gt;3,"Saida","Entrada"), "Entrada")
  ),
  Tabela_Movimentacao_Geral[[#This Row],[Tipo Fluxo]]
)</f>
        <v>Saida</v>
      </c>
      <c r="D5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5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585" t="str">
        <f ca="1">IF(
  $O$7="Desbloqueado",
  "PROD"&amp;TEXT(RANDBETWEEN(1,200),"000"),
  Tabela_Movimentacao_Geral[[#This Row],[ID Produto]]
)</f>
        <v>PROD015</v>
      </c>
      <c r="G585" t="str">
        <f ca="1">_xlfn.XLOOKUP(Tabela_Movimentacao_Geral[[#This Row],[ID Produto]], Tabela_Produtos[ID_Produto],Tabela_Produtos[Descricao_Produto],"Produto não encontrado")</f>
        <v>Switch 24 Portas Giga</v>
      </c>
      <c r="H585" cm="1">
        <f t="array" aca="1" ref="H585" ca="1">IF(
   $O$7="Desbloqueado",
   _xlfn.LET(
     _xlpm.saldo_atual, SUM(($C$2:$C584="Entrada")*($F$2:$F584=Tabela_Movimentacao_Geral[[#This Row],[ID Produto]])*($H$2:$H584) - ($C$2:$C584="Saida")*($F$2:$F584=Tabela_Movimentacao_Geral[[#This Row],[ID Produto]])*($H$2:$H584)),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130</v>
      </c>
      <c r="I585" s="5">
        <f ca="1">_xlfn.XLOOKUP(Tabela_Movimentacao_Geral[[#This Row],[ID Produto]], Tabela_Produtos[ID_Produto],Tabela_Produtos[Preco_Unitario_Venda])</f>
        <v>1200</v>
      </c>
      <c r="J585" s="6">
        <f ca="1">Tabela_Movimentacao_Geral[[#This Row],[Quantidade]] * Tabela_Movimentacao_Geral[[#This Row],[Valor Unitário]]</f>
        <v>156000</v>
      </c>
      <c r="K585" t="str">
        <f ca="1">IF(
   $O$7="Desbloqueado",
   CHOOSE(RANDBETWEEN(1,3),"Pago","Pendente","Atrasado"),
   Tabela_Movimentacao_Geral[[#This Row],[Status Financeiro]]
)</f>
        <v>Atrasado</v>
      </c>
      <c r="L585" t="str">
        <f ca="1">IF(
   $O$7="Desbloqueado",
   CHOOSE(RANDBETWEEN(1,3),"Entregue","Em Rota","Aguardando"),
   Tabela_Movimentacao_Geral[[#This Row],[Status Logistico]]
)</f>
        <v>Aguardando</v>
      </c>
      <c r="M58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6" spans="1:13" x14ac:dyDescent="0.3">
      <c r="A586" t="str">
        <f t="shared" si="8"/>
        <v>T0585</v>
      </c>
      <c r="B586" s="1">
        <v>45947</v>
      </c>
      <c r="C586" t="str" cm="1">
        <f t="array" aca="1" ref="C586" ca="1">IF($O$7="Desbloqueado",
  _xlfn.LET(
    _xlpm.saldo_atual, SUM(($C$2:$C585="Entrada")*($F$2:$F585=Tabela_Movimentacao_Geral[[#This Row],[ID Produto]])*($H$2:$H585) - ($C$2:$C585="Saida")*($F$2:$F585=Tabela_Movimentacao_Geral[[#This Row],[ID Produto]])*($H$2:$H585)),
    IF(_xlpm.saldo_atual &gt; 0, IF(RANDBETWEEN(0,10)&gt;3,"Saida","Entrada"), "Entrada")
  ),
  Tabela_Movimentacao_Geral[[#This Row],[Tipo Fluxo]]
)</f>
        <v>Entrada</v>
      </c>
      <c r="D5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5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586" t="str">
        <f ca="1">IF(
  $O$7="Desbloqueado",
  "PROD"&amp;TEXT(RANDBETWEEN(1,200),"000"),
  Tabela_Movimentacao_Geral[[#This Row],[ID Produto]]
)</f>
        <v>PROD135</v>
      </c>
      <c r="G586" t="str">
        <f ca="1">_xlfn.XLOOKUP(Tabela_Movimentacao_Geral[[#This Row],[ID Produto]], Tabela_Produtos[ID_Produto],Tabela_Produtos[Descricao_Produto],"Produto não encontrado")</f>
        <v>Ponteira Laser Apresentador</v>
      </c>
      <c r="H586" cm="1">
        <f t="array" aca="1" ref="H586" ca="1">IF(
   $O$7="Desbloqueado",
   _xlfn.LET(
     _xlpm.saldo_atual, SUM(($C$2:$C585="Entrada")*($F$2:$F585=Tabela_Movimentacao_Geral[[#This Row],[ID Produto]])*($H$2:$H585) - ($C$2:$C585="Saida")*($F$2:$F585=Tabela_Movimentacao_Geral[[#This Row],[ID Produto]])*($H$2:$H585)),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99</v>
      </c>
      <c r="I586" s="5">
        <f ca="1">_xlfn.XLOOKUP(Tabela_Movimentacao_Geral[[#This Row],[ID Produto]], Tabela_Produtos[ID_Produto],Tabela_Produtos[Preco_Unitario_Venda])</f>
        <v>120</v>
      </c>
      <c r="J586" s="6">
        <f ca="1">Tabela_Movimentacao_Geral[[#This Row],[Quantidade]] * Tabela_Movimentacao_Geral[[#This Row],[Valor Unitário]]</f>
        <v>11880</v>
      </c>
      <c r="K586" t="str">
        <f ca="1">IF(
   $O$7="Desbloqueado",
   CHOOSE(RANDBETWEEN(1,3),"Pago","Pendente","Atrasado"),
   Tabela_Movimentacao_Geral[[#This Row],[Status Financeiro]]
)</f>
        <v>Atrasado</v>
      </c>
      <c r="L586" t="str">
        <f ca="1">IF(
   $O$7="Desbloqueado",
   CHOOSE(RANDBETWEEN(1,3),"Entregue","Em Rota","Aguardando"),
   Tabela_Movimentacao_Geral[[#This Row],[Status Logistico]]
)</f>
        <v>Em Rota</v>
      </c>
      <c r="M58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45950</v>
      </c>
    </row>
    <row r="587" spans="1:13" x14ac:dyDescent="0.3">
      <c r="A587" t="str">
        <f t="shared" si="8"/>
        <v>T0586</v>
      </c>
      <c r="B587" s="1">
        <v>45947</v>
      </c>
      <c r="C587" t="str" cm="1">
        <f t="array" aca="1" ref="C587" ca="1">IF($O$7="Desbloqueado",
  _xlfn.LET(
    _xlpm.saldo_atual, SUM(($C$2:$C586="Entrada")*($F$2:$F586=Tabela_Movimentacao_Geral[[#This Row],[ID Produto]])*($H$2:$H586) - ($C$2:$C586="Saida")*($F$2:$F586=Tabela_Movimentacao_Geral[[#This Row],[ID Produto]])*($H$2:$H586)),
    IF(_xlpm.saldo_atual &gt; 0, IF(RANDBETWEEN(0,10)&gt;3,"Saida","Entrada"), "Entrada")
  ),
  Tabela_Movimentacao_Geral[[#This Row],[Tipo Fluxo]]
)</f>
        <v>Saida</v>
      </c>
      <c r="D5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5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587" t="str">
        <f ca="1">IF(
  $O$7="Desbloqueado",
  "PROD"&amp;TEXT(RANDBETWEEN(1,200),"000"),
  Tabela_Movimentacao_Geral[[#This Row],[ID Produto]]
)</f>
        <v>PROD095</v>
      </c>
      <c r="G587" t="str">
        <f ca="1">_xlfn.XLOOKUP(Tabela_Movimentacao_Geral[[#This Row],[ID Produto]], Tabela_Produtos[ID_Produto],Tabela_Produtos[Descricao_Produto],"Produto não encontrado")</f>
        <v>Controladora RAID PCIe</v>
      </c>
      <c r="H587" cm="1">
        <f t="array" aca="1" ref="H587" ca="1">IF(
   $O$7="Desbloqueado",
   _xlfn.LET(
     _xlpm.saldo_atual, SUM(($C$2:$C586="Entrada")*($F$2:$F586=Tabela_Movimentacao_Geral[[#This Row],[ID Produto]])*($H$2:$H586) - ($C$2:$C586="Saida")*($F$2:$F586=Tabela_Movimentacao_Geral[[#This Row],[ID Produto]])*($H$2:$H586)),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51</v>
      </c>
      <c r="I587" s="5">
        <f ca="1">_xlfn.XLOOKUP(Tabela_Movimentacao_Geral[[#This Row],[ID Produto]], Tabela_Produtos[ID_Produto],Tabela_Produtos[Preco_Unitario_Venda])</f>
        <v>2100</v>
      </c>
      <c r="J587" s="6">
        <f ca="1">Tabela_Movimentacao_Geral[[#This Row],[Quantidade]] * Tabela_Movimentacao_Geral[[#This Row],[Valor Unitário]]</f>
        <v>107100</v>
      </c>
      <c r="K587" t="str">
        <f ca="1">IF(
   $O$7="Desbloqueado",
   CHOOSE(RANDBETWEEN(1,3),"Pago","Pendente","Atrasado"),
   Tabela_Movimentacao_Geral[[#This Row],[Status Financeiro]]
)</f>
        <v>Pago</v>
      </c>
      <c r="L587" t="str">
        <f ca="1">IF(
   $O$7="Desbloqueado",
   CHOOSE(RANDBETWEEN(1,3),"Entregue","Em Rota","Aguardando"),
   Tabela_Movimentacao_Geral[[#This Row],[Status Logistico]]
)</f>
        <v>Aguardando</v>
      </c>
      <c r="M58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8" spans="1:13" x14ac:dyDescent="0.3">
      <c r="A588" t="str">
        <f t="shared" si="8"/>
        <v>T0587</v>
      </c>
      <c r="B588" s="1">
        <v>45948</v>
      </c>
      <c r="C588" t="str" cm="1">
        <f t="array" aca="1" ref="C588" ca="1">IF($O$7="Desbloqueado",
  _xlfn.LET(
    _xlpm.saldo_atual, SUM(($C$2:$C587="Entrada")*($F$2:$F587=Tabela_Movimentacao_Geral[[#This Row],[ID Produto]])*($H$2:$H587) - ($C$2:$C587="Saida")*($F$2:$F587=Tabela_Movimentacao_Geral[[#This Row],[ID Produto]])*($H$2:$H587)),
    IF(_xlpm.saldo_atual &gt; 0, IF(RANDBETWEEN(0,10)&gt;3,"Saida","Entrada"), "Entrada")
  ),
  Tabela_Movimentacao_Geral[[#This Row],[Tipo Fluxo]]
)</f>
        <v>Saida</v>
      </c>
      <c r="D5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5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588" t="str">
        <f ca="1">IF(
  $O$7="Desbloqueado",
  "PROD"&amp;TEXT(RANDBETWEEN(1,200),"000"),
  Tabela_Movimentacao_Geral[[#This Row],[ID Produto]]
)</f>
        <v>PROD075</v>
      </c>
      <c r="G588" t="str">
        <f ca="1">_xlfn.XLOOKUP(Tabela_Movimentacao_Geral[[#This Row],[ID Produto]], Tabela_Produtos[ID_Produto],Tabela_Produtos[Descricao_Produto],"Produto não encontrado")</f>
        <v>Suporte de Pasta Acrilico</v>
      </c>
      <c r="H588" cm="1">
        <f t="array" aca="1" ref="H588" ca="1">IF(
   $O$7="Desbloqueado",
   _xlfn.LET(
     _xlpm.saldo_atual, SUM(($C$2:$C587="Entrada")*($F$2:$F587=Tabela_Movimentacao_Geral[[#This Row],[ID Produto]])*($H$2:$H587) - ($C$2:$C587="Saida")*($F$2:$F587=Tabela_Movimentacao_Geral[[#This Row],[ID Produto]])*($H$2:$H587)),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100</v>
      </c>
      <c r="I588" s="5">
        <f ca="1">_xlfn.XLOOKUP(Tabela_Movimentacao_Geral[[#This Row],[ID Produto]], Tabela_Produtos[ID_Produto],Tabela_Produtos[Preco_Unitario_Venda])</f>
        <v>38</v>
      </c>
      <c r="J588" s="6">
        <f ca="1">Tabela_Movimentacao_Geral[[#This Row],[Quantidade]] * Tabela_Movimentacao_Geral[[#This Row],[Valor Unitário]]</f>
        <v>3800</v>
      </c>
      <c r="K588" t="str">
        <f ca="1">IF(
   $O$7="Desbloqueado",
   CHOOSE(RANDBETWEEN(1,3),"Pago","Pendente","Atrasado"),
   Tabela_Movimentacao_Geral[[#This Row],[Status Financeiro]]
)</f>
        <v>Pendente</v>
      </c>
      <c r="L588" t="str">
        <f ca="1">IF(
   $O$7="Desbloqueado",
   CHOOSE(RANDBETWEEN(1,3),"Entregue","Em Rota","Aguardando"),
   Tabela_Movimentacao_Geral[[#This Row],[Status Logistico]]
)</f>
        <v>Entregue</v>
      </c>
      <c r="M58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89" spans="1:13" x14ac:dyDescent="0.3">
      <c r="A589" t="str">
        <f t="shared" si="8"/>
        <v>T0588</v>
      </c>
      <c r="B589" s="1">
        <v>45948</v>
      </c>
      <c r="C589" t="str" cm="1">
        <f t="array" aca="1" ref="C589" ca="1">IF($O$7="Desbloqueado",
  _xlfn.LET(
    _xlpm.saldo_atual, SUM(($C$2:$C588="Entrada")*($F$2:$F588=Tabela_Movimentacao_Geral[[#This Row],[ID Produto]])*($H$2:$H588) - ($C$2:$C588="Saida")*($F$2:$F588=Tabela_Movimentacao_Geral[[#This Row],[ID Produto]])*($H$2:$H588)),
    IF(_xlpm.saldo_atual &gt; 0, IF(RANDBETWEEN(0,10)&gt;3,"Saida","Entrada"), "Entrada")
  ),
  Tabela_Movimentacao_Geral[[#This Row],[Tipo Fluxo]]
)</f>
        <v>Saida</v>
      </c>
      <c r="D5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5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589" t="str">
        <f ca="1">IF(
  $O$7="Desbloqueado",
  "PROD"&amp;TEXT(RANDBETWEEN(1,200),"000"),
  Tabela_Movimentacao_Geral[[#This Row],[ID Produto]]
)</f>
        <v>PROD008</v>
      </c>
      <c r="G589" t="str">
        <f ca="1">_xlfn.XLOOKUP(Tabela_Movimentacao_Geral[[#This Row],[ID Produto]], Tabela_Produtos[ID_Produto],Tabela_Produtos[Descricao_Produto],"Produto não encontrado")</f>
        <v>Toner Preto High Yield</v>
      </c>
      <c r="H589" cm="1">
        <f t="array" aca="1" ref="H589" ca="1">IF(
   $O$7="Desbloqueado",
   _xlfn.LET(
     _xlpm.saldo_atual, SUM(($C$2:$C588="Entrada")*($F$2:$F588=Tabela_Movimentacao_Geral[[#This Row],[ID Produto]])*($H$2:$H588) - ($C$2:$C588="Saida")*($F$2:$F588=Tabela_Movimentacao_Geral[[#This Row],[ID Produto]])*($H$2:$H588)),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589" s="5">
        <f ca="1">_xlfn.XLOOKUP(Tabela_Movimentacao_Geral[[#This Row],[ID Produto]], Tabela_Produtos[ID_Produto],Tabela_Produtos[Preco_Unitario_Venda])</f>
        <v>250</v>
      </c>
      <c r="J589" s="6">
        <f ca="1">Tabela_Movimentacao_Geral[[#This Row],[Quantidade]] * Tabela_Movimentacao_Geral[[#This Row],[Valor Unitário]]</f>
        <v>5000</v>
      </c>
      <c r="K589" t="str">
        <f ca="1">IF(
   $O$7="Desbloqueado",
   CHOOSE(RANDBETWEEN(1,3),"Pago","Pendente","Atrasado"),
   Tabela_Movimentacao_Geral[[#This Row],[Status Financeiro]]
)</f>
        <v>Atrasado</v>
      </c>
      <c r="L589" t="str">
        <f ca="1">IF(
   $O$7="Desbloqueado",
   CHOOSE(RANDBETWEEN(1,3),"Entregue","Em Rota","Aguardando"),
   Tabela_Movimentacao_Geral[[#This Row],[Status Logistico]]
)</f>
        <v>Entregue</v>
      </c>
      <c r="M58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90" spans="1:13" x14ac:dyDescent="0.3">
      <c r="A590" t="str">
        <f t="shared" si="8"/>
        <v>T0589</v>
      </c>
      <c r="B590" s="1">
        <v>45949</v>
      </c>
      <c r="C590" t="str" cm="1">
        <f t="array" aca="1" ref="C590" ca="1">IF($O$7="Desbloqueado",
  _xlfn.LET(
    _xlpm.saldo_atual, SUM(($C$2:$C589="Entrada")*($F$2:$F589=Tabela_Movimentacao_Geral[[#This Row],[ID Produto]])*($H$2:$H589) - ($C$2:$C589="Saida")*($F$2:$F589=Tabela_Movimentacao_Geral[[#This Row],[ID Produto]])*($H$2:$H589)),
    IF(_xlpm.saldo_atual &gt; 0, IF(RANDBETWEEN(0,10)&gt;3,"Saida","Entrada"), "Entrada")
  ),
  Tabela_Movimentacao_Geral[[#This Row],[Tipo Fluxo]]
)</f>
        <v>Entrada</v>
      </c>
      <c r="D5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5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590" t="str">
        <f ca="1">IF(
  $O$7="Desbloqueado",
  "PROD"&amp;TEXT(RANDBETWEEN(1,200),"000"),
  Tabela_Movimentacao_Geral[[#This Row],[ID Produto]]
)</f>
        <v>PROD143</v>
      </c>
      <c r="G590" t="str">
        <f ca="1">_xlfn.XLOOKUP(Tabela_Movimentacao_Geral[[#This Row],[ID Produto]], Tabela_Produtos[ID_Produto],Tabela_Produtos[Descricao_Produto],"Produto não encontrado")</f>
        <v>Spray Limpa Contatos</v>
      </c>
      <c r="H590" cm="1">
        <f t="array" aca="1" ref="H590" ca="1">IF(
   $O$7="Desbloqueado",
   _xlfn.LET(
     _xlpm.saldo_atual, SUM(($C$2:$C589="Entrada")*($F$2:$F589=Tabela_Movimentacao_Geral[[#This Row],[ID Produto]])*($H$2:$H589) - ($C$2:$C589="Saida")*($F$2:$F589=Tabela_Movimentacao_Geral[[#This Row],[ID Produto]])*($H$2:$H589)),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116</v>
      </c>
      <c r="I590" s="5">
        <f ca="1">_xlfn.XLOOKUP(Tabela_Movimentacao_Geral[[#This Row],[ID Produto]], Tabela_Produtos[ID_Produto],Tabela_Produtos[Preco_Unitario_Venda])</f>
        <v>35</v>
      </c>
      <c r="J590" s="6">
        <f ca="1">Tabela_Movimentacao_Geral[[#This Row],[Quantidade]] * Tabela_Movimentacao_Geral[[#This Row],[Valor Unitário]]</f>
        <v>4060</v>
      </c>
      <c r="K590" t="str">
        <f ca="1">IF(
   $O$7="Desbloqueado",
   CHOOSE(RANDBETWEEN(1,3),"Pago","Pendente","Atrasado"),
   Tabela_Movimentacao_Geral[[#This Row],[Status Financeiro]]
)</f>
        <v>Pago</v>
      </c>
      <c r="L590" t="str">
        <f ca="1">IF(
   $O$7="Desbloqueado",
   CHOOSE(RANDBETWEEN(1,3),"Entregue","Em Rota","Aguardando"),
   Tabela_Movimentacao_Geral[[#This Row],[Status Logistico]]
)</f>
        <v>Aguardando</v>
      </c>
      <c r="M59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45956</v>
      </c>
    </row>
    <row r="591" spans="1:13" x14ac:dyDescent="0.3">
      <c r="A591" t="str">
        <f t="shared" si="8"/>
        <v>T0590</v>
      </c>
      <c r="B591" s="1">
        <v>45949</v>
      </c>
      <c r="C591" t="str" cm="1">
        <f t="array" aca="1" ref="C591" ca="1">IF($O$7="Desbloqueado",
  _xlfn.LET(
    _xlpm.saldo_atual, SUM(($C$2:$C590="Entrada")*($F$2:$F590=Tabela_Movimentacao_Geral[[#This Row],[ID Produto]])*($H$2:$H590) - ($C$2:$C590="Saida")*($F$2:$F590=Tabela_Movimentacao_Geral[[#This Row],[ID Produto]])*($H$2:$H590)),
    IF(_xlpm.saldo_atual &gt; 0, IF(RANDBETWEEN(0,10)&gt;3,"Saida","Entrada"), "Entrada")
  ),
  Tabela_Movimentacao_Geral[[#This Row],[Tipo Fluxo]]
)</f>
        <v>Saida</v>
      </c>
      <c r="D5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5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591" t="str">
        <f ca="1">IF(
  $O$7="Desbloqueado",
  "PROD"&amp;TEXT(RANDBETWEEN(1,200),"000"),
  Tabela_Movimentacao_Geral[[#This Row],[ID Produto]]
)</f>
        <v>PROD035</v>
      </c>
      <c r="G591" t="str">
        <f ca="1">_xlfn.XLOOKUP(Tabela_Movimentacao_Geral[[#This Row],[ID Produto]], Tabela_Produtos[ID_Produto],Tabela_Produtos[Descricao_Produto],"Produto não encontrado")</f>
        <v>Tela de Projecao 100 pol</v>
      </c>
      <c r="H591" cm="1">
        <f t="array" aca="1" ref="H591" ca="1">IF(
   $O$7="Desbloqueado",
   _xlfn.LET(
     _xlpm.saldo_atual, SUM(($C$2:$C590="Entrada")*($F$2:$F590=Tabela_Movimentacao_Geral[[#This Row],[ID Produto]])*($H$2:$H590) - ($C$2:$C590="Saida")*($F$2:$F590=Tabela_Movimentacao_Geral[[#This Row],[ID Produto]])*($H$2:$H590)),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591" s="5">
        <f ca="1">_xlfn.XLOOKUP(Tabela_Movimentacao_Geral[[#This Row],[ID Produto]], Tabela_Produtos[ID_Produto],Tabela_Produtos[Preco_Unitario_Venda])</f>
        <v>600</v>
      </c>
      <c r="J591" s="6">
        <f ca="1">Tabela_Movimentacao_Geral[[#This Row],[Quantidade]] * Tabela_Movimentacao_Geral[[#This Row],[Valor Unitário]]</f>
        <v>43200</v>
      </c>
      <c r="K591" t="str">
        <f ca="1">IF(
   $O$7="Desbloqueado",
   CHOOSE(RANDBETWEEN(1,3),"Pago","Pendente","Atrasado"),
   Tabela_Movimentacao_Geral[[#This Row],[Status Financeiro]]
)</f>
        <v>Pago</v>
      </c>
      <c r="L591" t="str">
        <f ca="1">IF(
   $O$7="Desbloqueado",
   CHOOSE(RANDBETWEEN(1,3),"Entregue","Em Rota","Aguardando"),
   Tabela_Movimentacao_Geral[[#This Row],[Status Logistico]]
)</f>
        <v>Entregue</v>
      </c>
      <c r="M59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92" spans="1:13" x14ac:dyDescent="0.3">
      <c r="A592" t="str">
        <f t="shared" si="8"/>
        <v>T0591</v>
      </c>
      <c r="B592" s="1">
        <v>45949</v>
      </c>
      <c r="C592" t="str" cm="1">
        <f t="array" aca="1" ref="C592" ca="1">IF($O$7="Desbloqueado",
  _xlfn.LET(
    _xlpm.saldo_atual, SUM(($C$2:$C591="Entrada")*($F$2:$F591=Tabela_Movimentacao_Geral[[#This Row],[ID Produto]])*($H$2:$H591) - ($C$2:$C591="Saida")*($F$2:$F591=Tabela_Movimentacao_Geral[[#This Row],[ID Produto]])*($H$2:$H591)),
    IF(_xlpm.saldo_atual &gt; 0, IF(RANDBETWEEN(0,10)&gt;3,"Saida","Entrada"), "Entrada")
  ),
  Tabela_Movimentacao_Geral[[#This Row],[Tipo Fluxo]]
)</f>
        <v>Entrada</v>
      </c>
      <c r="D5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5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592" t="str">
        <f ca="1">IF(
  $O$7="Desbloqueado",
  "PROD"&amp;TEXT(RANDBETWEEN(1,200),"000"),
  Tabela_Movimentacao_Geral[[#This Row],[ID Produto]]
)</f>
        <v>PROD097</v>
      </c>
      <c r="G592" t="str">
        <f ca="1">_xlfn.XLOOKUP(Tabela_Movimentacao_Geral[[#This Row],[ID Produto]], Tabela_Produtos[ID_Produto],Tabela_Produtos[Descricao_Produto],"Produto não encontrado")</f>
        <v>Câmera IP PoE Dome</v>
      </c>
      <c r="H592" cm="1">
        <f t="array" aca="1" ref="H592" ca="1">IF(
   $O$7="Desbloqueado",
   _xlfn.LET(
     _xlpm.saldo_atual, SUM(($C$2:$C591="Entrada")*($F$2:$F591=Tabela_Movimentacao_Geral[[#This Row],[ID Produto]])*($H$2:$H591) - ($C$2:$C591="Saida")*($F$2:$F591=Tabela_Movimentacao_Geral[[#This Row],[ID Produto]])*($H$2:$H591)),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592" s="5">
        <f ca="1">_xlfn.XLOOKUP(Tabela_Movimentacao_Geral[[#This Row],[ID Produto]], Tabela_Produtos[ID_Produto],Tabela_Produtos[Preco_Unitario_Venda])</f>
        <v>480</v>
      </c>
      <c r="J592" s="6">
        <f ca="1">Tabela_Movimentacao_Geral[[#This Row],[Quantidade]] * Tabela_Movimentacao_Geral[[#This Row],[Valor Unitário]]</f>
        <v>13920</v>
      </c>
      <c r="K592" t="str">
        <f ca="1">IF(
   $O$7="Desbloqueado",
   CHOOSE(RANDBETWEEN(1,3),"Pago","Pendente","Atrasado"),
   Tabela_Movimentacao_Geral[[#This Row],[Status Financeiro]]
)</f>
        <v>Pendente</v>
      </c>
      <c r="L592" t="str">
        <f ca="1">IF(
   $O$7="Desbloqueado",
   CHOOSE(RANDBETWEEN(1,3),"Entregue","Em Rota","Aguardando"),
   Tabela_Movimentacao_Geral[[#This Row],[Status Logistico]]
)</f>
        <v>Entregue</v>
      </c>
      <c r="M59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45957</v>
      </c>
    </row>
    <row r="593" spans="1:13" x14ac:dyDescent="0.3">
      <c r="A593" t="str">
        <f t="shared" si="8"/>
        <v>T0592</v>
      </c>
      <c r="B593" s="1">
        <v>45950</v>
      </c>
      <c r="C593" t="str" cm="1">
        <f t="array" aca="1" ref="C593" ca="1">IF($O$7="Desbloqueado",
  _xlfn.LET(
    _xlpm.saldo_atual, SUM(($C$2:$C592="Entrada")*($F$2:$F592=Tabela_Movimentacao_Geral[[#This Row],[ID Produto]])*($H$2:$H592) - ($C$2:$C592="Saida")*($F$2:$F592=Tabela_Movimentacao_Geral[[#This Row],[ID Produto]])*($H$2:$H592)),
    IF(_xlpm.saldo_atual &gt; 0, IF(RANDBETWEEN(0,10)&gt;3,"Saida","Entrada"), "Entrada")
  ),
  Tabela_Movimentacao_Geral[[#This Row],[Tipo Fluxo]]
)</f>
        <v>Saida</v>
      </c>
      <c r="D5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5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593" t="str">
        <f ca="1">IF(
  $O$7="Desbloqueado",
  "PROD"&amp;TEXT(RANDBETWEEN(1,200),"000"),
  Tabela_Movimentacao_Geral[[#This Row],[ID Produto]]
)</f>
        <v>PROD018</v>
      </c>
      <c r="G593" t="str">
        <f ca="1">_xlfn.XLOOKUP(Tabela_Movimentacao_Geral[[#This Row],[ID Produto]], Tabela_Produtos[ID_Produto],Tabela_Produtos[Descricao_Produto],"Produto não encontrado")</f>
        <v>HD Externo 1TB</v>
      </c>
      <c r="H593" cm="1">
        <f t="array" aca="1" ref="H593" ca="1">IF(
   $O$7="Desbloqueado",
   _xlfn.LET(
     _xlpm.saldo_atual, SUM(($C$2:$C592="Entrada")*($F$2:$F592=Tabela_Movimentacao_Geral[[#This Row],[ID Produto]])*($H$2:$H592) - ($C$2:$C592="Saida")*($F$2:$F592=Tabela_Movimentacao_Geral[[#This Row],[ID Produto]])*($H$2:$H592)),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593" s="5">
        <f ca="1">_xlfn.XLOOKUP(Tabela_Movimentacao_Geral[[#This Row],[ID Produto]], Tabela_Produtos[ID_Produto],Tabela_Produtos[Preco_Unitario_Venda])</f>
        <v>380</v>
      </c>
      <c r="J593" s="6">
        <f ca="1">Tabela_Movimentacao_Geral[[#This Row],[Quantidade]] * Tabela_Movimentacao_Geral[[#This Row],[Valor Unitário]]</f>
        <v>4180</v>
      </c>
      <c r="K593" t="str">
        <f ca="1">IF(
   $O$7="Desbloqueado",
   CHOOSE(RANDBETWEEN(1,3),"Pago","Pendente","Atrasado"),
   Tabela_Movimentacao_Geral[[#This Row],[Status Financeiro]]
)</f>
        <v>Pendente</v>
      </c>
      <c r="L593" t="str">
        <f ca="1">IF(
   $O$7="Desbloqueado",
   CHOOSE(RANDBETWEEN(1,3),"Entregue","Em Rota","Aguardando"),
   Tabela_Movimentacao_Geral[[#This Row],[Status Logistico]]
)</f>
        <v>Entregue</v>
      </c>
      <c r="M59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94" spans="1:13" x14ac:dyDescent="0.3">
      <c r="A594" t="str">
        <f t="shared" si="8"/>
        <v>T0593</v>
      </c>
      <c r="B594" s="1">
        <v>45952</v>
      </c>
      <c r="C594" t="str" cm="1">
        <f t="array" aca="1" ref="C594" ca="1">IF($O$7="Desbloqueado",
  _xlfn.LET(
    _xlpm.saldo_atual, SUM(($C$2:$C593="Entrada")*($F$2:$F593=Tabela_Movimentacao_Geral[[#This Row],[ID Produto]])*($H$2:$H593) - ($C$2:$C593="Saida")*($F$2:$F593=Tabela_Movimentacao_Geral[[#This Row],[ID Produto]])*($H$2:$H593)),
    IF(_xlpm.saldo_atual &gt; 0, IF(RANDBETWEEN(0,10)&gt;3,"Saida","Entrada"), "Entrada")
  ),
  Tabela_Movimentacao_Geral[[#This Row],[Tipo Fluxo]]
)</f>
        <v>Entrada</v>
      </c>
      <c r="D5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5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594" t="str">
        <f ca="1">IF(
  $O$7="Desbloqueado",
  "PROD"&amp;TEXT(RANDBETWEEN(1,200),"000"),
  Tabela_Movimentacao_Geral[[#This Row],[ID Produto]]
)</f>
        <v>PROD121</v>
      </c>
      <c r="G594" t="str">
        <f ca="1">_xlfn.XLOOKUP(Tabela_Movimentacao_Geral[[#This Row],[ID Produto]], Tabela_Produtos[ID_Produto],Tabela_Produtos[Descricao_Produto],"Produto não encontrado")</f>
        <v>Licenca SQL Server Standard</v>
      </c>
      <c r="H594" cm="1">
        <f t="array" aca="1" ref="H594" ca="1">IF(
   $O$7="Desbloqueado",
   _xlfn.LET(
     _xlpm.saldo_atual, SUM(($C$2:$C593="Entrada")*($F$2:$F593=Tabela_Movimentacao_Geral[[#This Row],[ID Produto]])*($H$2:$H593) - ($C$2:$C593="Saida")*($F$2:$F593=Tabela_Movimentacao_Geral[[#This Row],[ID Produto]])*($H$2:$H593)),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594" s="5">
        <f ca="1">_xlfn.XLOOKUP(Tabela_Movimentacao_Geral[[#This Row],[ID Produto]], Tabela_Produtos[ID_Produto],Tabela_Produtos[Preco_Unitario_Venda])</f>
        <v>15000</v>
      </c>
      <c r="J594" s="6">
        <f ca="1">Tabela_Movimentacao_Geral[[#This Row],[Quantidade]] * Tabela_Movimentacao_Geral[[#This Row],[Valor Unitário]]</f>
        <v>795000</v>
      </c>
      <c r="K594" t="str">
        <f ca="1">IF(
   $O$7="Desbloqueado",
   CHOOSE(RANDBETWEEN(1,3),"Pago","Pendente","Atrasado"),
   Tabela_Movimentacao_Geral[[#This Row],[Status Financeiro]]
)</f>
        <v>Pendente</v>
      </c>
      <c r="L594" t="str">
        <f ca="1">IF(
   $O$7="Desbloqueado",
   CHOOSE(RANDBETWEEN(1,3),"Entregue","Em Rota","Aguardando"),
   Tabela_Movimentacao_Geral[[#This Row],[Status Logistico]]
)</f>
        <v>Entregue</v>
      </c>
      <c r="M59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45956</v>
      </c>
    </row>
    <row r="595" spans="1:13" x14ac:dyDescent="0.3">
      <c r="A595" t="str">
        <f t="shared" si="8"/>
        <v>T0594</v>
      </c>
      <c r="B595" s="1">
        <v>45953</v>
      </c>
      <c r="C595" t="str" cm="1">
        <f t="array" aca="1" ref="C595" ca="1">IF($O$7="Desbloqueado",
  _xlfn.LET(
    _xlpm.saldo_atual, SUM(($C$2:$C594="Entrada")*($F$2:$F594=Tabela_Movimentacao_Geral[[#This Row],[ID Produto]])*($H$2:$H594) - ($C$2:$C594="Saida")*($F$2:$F594=Tabela_Movimentacao_Geral[[#This Row],[ID Produto]])*($H$2:$H594)),
    IF(_xlpm.saldo_atual &gt; 0, IF(RANDBETWEEN(0,10)&gt;3,"Saida","Entrada"), "Entrada")
  ),
  Tabela_Movimentacao_Geral[[#This Row],[Tipo Fluxo]]
)</f>
        <v>Saida</v>
      </c>
      <c r="D5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5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595" t="str">
        <f ca="1">IF(
  $O$7="Desbloqueado",
  "PROD"&amp;TEXT(RANDBETWEEN(1,200),"000"),
  Tabela_Movimentacao_Geral[[#This Row],[ID Produto]]
)</f>
        <v>PROD053</v>
      </c>
      <c r="G595" t="str">
        <f ca="1">_xlfn.XLOOKUP(Tabela_Movimentacao_Geral[[#This Row],[ID Produto]], Tabela_Produtos[ID_Produto],Tabela_Produtos[Descricao_Produto],"Produto não encontrado")</f>
        <v>Grampeador Ate 20 fls</v>
      </c>
      <c r="H595" cm="1">
        <f t="array" aca="1" ref="H595" ca="1">IF(
   $O$7="Desbloqueado",
   _xlfn.LET(
     _xlpm.saldo_atual, SUM(($C$2:$C594="Entrada")*($F$2:$F594=Tabela_Movimentacao_Geral[[#This Row],[ID Produto]])*($H$2:$H594) - ($C$2:$C594="Saida")*($F$2:$F594=Tabela_Movimentacao_Geral[[#This Row],[ID Produto]])*($H$2:$H594)),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175</v>
      </c>
      <c r="I595" s="5">
        <f ca="1">_xlfn.XLOOKUP(Tabela_Movimentacao_Geral[[#This Row],[ID Produto]], Tabela_Produtos[ID_Produto],Tabela_Produtos[Preco_Unitario_Venda])</f>
        <v>35</v>
      </c>
      <c r="J595" s="6">
        <f ca="1">Tabela_Movimentacao_Geral[[#This Row],[Quantidade]] * Tabela_Movimentacao_Geral[[#This Row],[Valor Unitário]]</f>
        <v>6125</v>
      </c>
      <c r="K595" t="str">
        <f ca="1">IF(
   $O$7="Desbloqueado",
   CHOOSE(RANDBETWEEN(1,3),"Pago","Pendente","Atrasado"),
   Tabela_Movimentacao_Geral[[#This Row],[Status Financeiro]]
)</f>
        <v>Atrasado</v>
      </c>
      <c r="L595" t="str">
        <f ca="1">IF(
   $O$7="Desbloqueado",
   CHOOSE(RANDBETWEEN(1,3),"Entregue","Em Rota","Aguardando"),
   Tabela_Movimentacao_Geral[[#This Row],[Status Logistico]]
)</f>
        <v>Aguardando</v>
      </c>
      <c r="M59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96" spans="1:13" x14ac:dyDescent="0.3">
      <c r="A596" t="str">
        <f t="shared" si="8"/>
        <v>T0595</v>
      </c>
      <c r="B596" s="1">
        <v>45954</v>
      </c>
      <c r="C596" t="str" cm="1">
        <f t="array" aca="1" ref="C596" ca="1">IF($O$7="Desbloqueado",
  _xlfn.LET(
    _xlpm.saldo_atual, SUM(($C$2:$C595="Entrada")*($F$2:$F595=Tabela_Movimentacao_Geral[[#This Row],[ID Produto]])*($H$2:$H595) - ($C$2:$C595="Saida")*($F$2:$F595=Tabela_Movimentacao_Geral[[#This Row],[ID Produto]])*($H$2:$H595)),
    IF(_xlpm.saldo_atual &gt; 0, IF(RANDBETWEEN(0,10)&gt;3,"Saida","Entrada"), "Entrada")
  ),
  Tabela_Movimentacao_Geral[[#This Row],[Tipo Fluxo]]
)</f>
        <v>Entrada</v>
      </c>
      <c r="D5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5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596" t="str">
        <f ca="1">IF(
  $O$7="Desbloqueado",
  "PROD"&amp;TEXT(RANDBETWEEN(1,200),"000"),
  Tabela_Movimentacao_Geral[[#This Row],[ID Produto]]
)</f>
        <v>PROD014</v>
      </c>
      <c r="G596" t="str">
        <f ca="1">_xlfn.XLOOKUP(Tabela_Movimentacao_Geral[[#This Row],[ID Produto]], Tabela_Produtos[ID_Produto],Tabela_Produtos[Descricao_Produto],"Produto não encontrado")</f>
        <v>Roteador Wi-Fi 6</v>
      </c>
      <c r="H596" cm="1">
        <f t="array" aca="1" ref="H596" ca="1">IF(
   $O$7="Desbloqueado",
   _xlfn.LET(
     _xlpm.saldo_atual, SUM(($C$2:$C595="Entrada")*($F$2:$F595=Tabela_Movimentacao_Geral[[#This Row],[ID Produto]])*($H$2:$H595) - ($C$2:$C595="Saida")*($F$2:$F595=Tabela_Movimentacao_Geral[[#This Row],[ID Produto]])*($H$2:$H595)),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596" s="5">
        <f ca="1">_xlfn.XLOOKUP(Tabela_Movimentacao_Geral[[#This Row],[ID Produto]], Tabela_Produtos[ID_Produto],Tabela_Produtos[Preco_Unitario_Venda])</f>
        <v>650</v>
      </c>
      <c r="J596" s="6">
        <f ca="1">Tabela_Movimentacao_Geral[[#This Row],[Quantidade]] * Tabela_Movimentacao_Geral[[#This Row],[Valor Unitário]]</f>
        <v>44200</v>
      </c>
      <c r="K596" t="str">
        <f ca="1">IF(
   $O$7="Desbloqueado",
   CHOOSE(RANDBETWEEN(1,3),"Pago","Pendente","Atrasado"),
   Tabela_Movimentacao_Geral[[#This Row],[Status Financeiro]]
)</f>
        <v>Pendente</v>
      </c>
      <c r="L596" t="str">
        <f ca="1">IF(
   $O$7="Desbloqueado",
   CHOOSE(RANDBETWEEN(1,3),"Entregue","Em Rota","Aguardando"),
   Tabela_Movimentacao_Geral[[#This Row],[Status Logistico]]
)</f>
        <v>Aguardando</v>
      </c>
      <c r="M59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45955</v>
      </c>
    </row>
    <row r="597" spans="1:13" x14ac:dyDescent="0.3">
      <c r="A597" t="str">
        <f t="shared" si="8"/>
        <v>T0596</v>
      </c>
      <c r="B597" s="1">
        <v>45954</v>
      </c>
      <c r="C597" t="str" cm="1">
        <f t="array" aca="1" ref="C597" ca="1">IF($O$7="Desbloqueado",
  _xlfn.LET(
    _xlpm.saldo_atual, SUM(($C$2:$C596="Entrada")*($F$2:$F596=Tabela_Movimentacao_Geral[[#This Row],[ID Produto]])*($H$2:$H596) - ($C$2:$C596="Saida")*($F$2:$F596=Tabela_Movimentacao_Geral[[#This Row],[ID Produto]])*($H$2:$H596)),
    IF(_xlpm.saldo_atual &gt; 0, IF(RANDBETWEEN(0,10)&gt;3,"Saida","Entrada"), "Entrada")
  ),
  Tabela_Movimentacao_Geral[[#This Row],[Tipo Fluxo]]
)</f>
        <v>Saida</v>
      </c>
      <c r="D5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5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597" t="str">
        <f ca="1">IF(
  $O$7="Desbloqueado",
  "PROD"&amp;TEXT(RANDBETWEEN(1,200),"000"),
  Tabela_Movimentacao_Geral[[#This Row],[ID Produto]]
)</f>
        <v>PROD061</v>
      </c>
      <c r="G597" t="str">
        <f ca="1">_xlfn.XLOOKUP(Tabela_Movimentacao_Geral[[#This Row],[ID Produto]], Tabela_Produtos[ID_Produto],Tabela_Produtos[Descricao_Produto],"Produto não encontrado")</f>
        <v>Borracha Branca Escolar</v>
      </c>
      <c r="H597" cm="1">
        <f t="array" aca="1" ref="H597" ca="1">IF(
   $O$7="Desbloqueado",
   _xlfn.LET(
     _xlpm.saldo_atual, SUM(($C$2:$C596="Entrada")*($F$2:$F596=Tabela_Movimentacao_Geral[[#This Row],[ID Produto]])*($H$2:$H596) - ($C$2:$C596="Saida")*($F$2:$F596=Tabela_Movimentacao_Geral[[#This Row],[ID Produto]])*($H$2:$H596)),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71</v>
      </c>
      <c r="I597" s="5">
        <f ca="1">_xlfn.XLOOKUP(Tabela_Movimentacao_Geral[[#This Row],[ID Produto]], Tabela_Produtos[ID_Produto],Tabela_Produtos[Preco_Unitario_Venda])</f>
        <v>2.5</v>
      </c>
      <c r="J597" s="6">
        <f ca="1">Tabela_Movimentacao_Geral[[#This Row],[Quantidade]] * Tabela_Movimentacao_Geral[[#This Row],[Valor Unitário]]</f>
        <v>177.5</v>
      </c>
      <c r="K597" t="str">
        <f ca="1">IF(
   $O$7="Desbloqueado",
   CHOOSE(RANDBETWEEN(1,3),"Pago","Pendente","Atrasado"),
   Tabela_Movimentacao_Geral[[#This Row],[Status Financeiro]]
)</f>
        <v>Pago</v>
      </c>
      <c r="L597" t="str">
        <f ca="1">IF(
   $O$7="Desbloqueado",
   CHOOSE(RANDBETWEEN(1,3),"Entregue","Em Rota","Aguardando"),
   Tabela_Movimentacao_Geral[[#This Row],[Status Logistico]]
)</f>
        <v>Aguardando</v>
      </c>
      <c r="M59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598" spans="1:13" x14ac:dyDescent="0.3">
      <c r="A598" t="str">
        <f t="shared" si="8"/>
        <v>T0597</v>
      </c>
      <c r="B598" s="1">
        <v>45955</v>
      </c>
      <c r="C598" t="str" cm="1">
        <f t="array" aca="1" ref="C598" ca="1">IF($O$7="Desbloqueado",
  _xlfn.LET(
    _xlpm.saldo_atual, SUM(($C$2:$C597="Entrada")*($F$2:$F597=Tabela_Movimentacao_Geral[[#This Row],[ID Produto]])*($H$2:$H597) - ($C$2:$C597="Saida")*($F$2:$F597=Tabela_Movimentacao_Geral[[#This Row],[ID Produto]])*($H$2:$H597)),
    IF(_xlpm.saldo_atual &gt; 0, IF(RANDBETWEEN(0,10)&gt;3,"Saida","Entrada"), "Entrada")
  ),
  Tabela_Movimentacao_Geral[[#This Row],[Tipo Fluxo]]
)</f>
        <v>Entrada</v>
      </c>
      <c r="D5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5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598" t="str">
        <f ca="1">IF(
  $O$7="Desbloqueado",
  "PROD"&amp;TEXT(RANDBETWEEN(1,200),"000"),
  Tabela_Movimentacao_Geral[[#This Row],[ID Produto]]
)</f>
        <v>PROD080</v>
      </c>
      <c r="G598" t="str">
        <f ca="1">_xlfn.XLOOKUP(Tabela_Movimentacao_Geral[[#This Row],[ID Produto]], Tabela_Produtos[ID_Produto],Tabela_Produtos[Descricao_Produto],"Produto não encontrado")</f>
        <v>Quadro de Avisos Cortica</v>
      </c>
      <c r="H598" cm="1">
        <f t="array" aca="1" ref="H598" ca="1">IF(
   $O$7="Desbloqueado",
   _xlfn.LET(
     _xlpm.saldo_atual, SUM(($C$2:$C597="Entrada")*($F$2:$F597=Tabela_Movimentacao_Geral[[#This Row],[ID Produto]])*($H$2:$H597) - ($C$2:$C597="Saida")*($F$2:$F597=Tabela_Movimentacao_Geral[[#This Row],[ID Produto]])*($H$2:$H597)),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80</v>
      </c>
      <c r="I598" s="5">
        <f ca="1">_xlfn.XLOOKUP(Tabela_Movimentacao_Geral[[#This Row],[ID Produto]], Tabela_Produtos[ID_Produto],Tabela_Produtos[Preco_Unitario_Venda])</f>
        <v>110</v>
      </c>
      <c r="J598" s="6">
        <f ca="1">Tabela_Movimentacao_Geral[[#This Row],[Quantidade]] * Tabela_Movimentacao_Geral[[#This Row],[Valor Unitário]]</f>
        <v>8800</v>
      </c>
      <c r="K598" t="str">
        <f ca="1">IF(
   $O$7="Desbloqueado",
   CHOOSE(RANDBETWEEN(1,3),"Pago","Pendente","Atrasado"),
   Tabela_Movimentacao_Geral[[#This Row],[Status Financeiro]]
)</f>
        <v>Atrasado</v>
      </c>
      <c r="L598" t="str">
        <f ca="1">IF(
   $O$7="Desbloqueado",
   CHOOSE(RANDBETWEEN(1,3),"Entregue","Em Rota","Aguardando"),
   Tabela_Movimentacao_Geral[[#This Row],[Status Logistico]]
)</f>
        <v>Aguardando</v>
      </c>
      <c r="M59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45956</v>
      </c>
    </row>
    <row r="599" spans="1:13" x14ac:dyDescent="0.3">
      <c r="A599" t="str">
        <f t="shared" ref="A599:A662" si="9">"T"&amp;TEXT(ROW(A599)-1,"0000")</f>
        <v>T0598</v>
      </c>
      <c r="B599" s="1">
        <v>45955</v>
      </c>
      <c r="C599" t="str" cm="1">
        <f t="array" aca="1" ref="C599" ca="1">IF($O$7="Desbloqueado",
  _xlfn.LET(
    _xlpm.saldo_atual, SUM(($C$2:$C598="Entrada")*($F$2:$F598=Tabela_Movimentacao_Geral[[#This Row],[ID Produto]])*($H$2:$H598) - ($C$2:$C598="Saida")*($F$2:$F598=Tabela_Movimentacao_Geral[[#This Row],[ID Produto]])*($H$2:$H598)),
    IF(_xlpm.saldo_atual &gt; 0, IF(RANDBETWEEN(0,10)&gt;3,"Saida","Entrada"), "Entrada")
  ),
  Tabela_Movimentacao_Geral[[#This Row],[Tipo Fluxo]]
)</f>
        <v>Entrada</v>
      </c>
      <c r="D5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5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599" t="str">
        <f ca="1">IF(
  $O$7="Desbloqueado",
  "PROD"&amp;TEXT(RANDBETWEEN(1,200),"000"),
  Tabela_Movimentacao_Geral[[#This Row],[ID Produto]]
)</f>
        <v>PROD138</v>
      </c>
      <c r="G599" t="str">
        <f ca="1">_xlfn.XLOOKUP(Tabela_Movimentacao_Geral[[#This Row],[ID Produto]], Tabela_Produtos[ID_Produto],Tabela_Produtos[Descricao_Produto],"Produto não encontrado")</f>
        <v>Placa Mae B550M</v>
      </c>
      <c r="H599" cm="1">
        <f t="array" aca="1" ref="H599" ca="1">IF(
   $O$7="Desbloqueado",
   _xlfn.LET(
     _xlpm.saldo_atual, SUM(($C$2:$C598="Entrada")*($F$2:$F598=Tabela_Movimentacao_Geral[[#This Row],[ID Produto]])*($H$2:$H598) - ($C$2:$C598="Saida")*($F$2:$F598=Tabela_Movimentacao_Geral[[#This Row],[ID Produto]])*($H$2:$H598)),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82</v>
      </c>
      <c r="I599" s="5">
        <f ca="1">_xlfn.XLOOKUP(Tabela_Movimentacao_Geral[[#This Row],[ID Produto]], Tabela_Produtos[ID_Produto],Tabela_Produtos[Preco_Unitario_Venda])</f>
        <v>850</v>
      </c>
      <c r="J599" s="6">
        <f ca="1">Tabela_Movimentacao_Geral[[#This Row],[Quantidade]] * Tabela_Movimentacao_Geral[[#This Row],[Valor Unitário]]</f>
        <v>69700</v>
      </c>
      <c r="K599" t="str">
        <f ca="1">IF(
   $O$7="Desbloqueado",
   CHOOSE(RANDBETWEEN(1,3),"Pago","Pendente","Atrasado"),
   Tabela_Movimentacao_Geral[[#This Row],[Status Financeiro]]
)</f>
        <v>Pago</v>
      </c>
      <c r="L599" t="str">
        <f ca="1">IF(
   $O$7="Desbloqueado",
   CHOOSE(RANDBETWEEN(1,3),"Entregue","Em Rota","Aguardando"),
   Tabela_Movimentacao_Geral[[#This Row],[Status Logistico]]
)</f>
        <v>Aguardando</v>
      </c>
      <c r="M59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45956</v>
      </c>
    </row>
    <row r="600" spans="1:13" x14ac:dyDescent="0.3">
      <c r="A600" t="str">
        <f t="shared" si="9"/>
        <v>T0599</v>
      </c>
      <c r="B600" s="1">
        <v>45955</v>
      </c>
      <c r="C600" t="str" cm="1">
        <f t="array" aca="1" ref="C600" ca="1">IF($O$7="Desbloqueado",
  _xlfn.LET(
    _xlpm.saldo_atual, SUM(($C$2:$C599="Entrada")*($F$2:$F599=Tabela_Movimentacao_Geral[[#This Row],[ID Produto]])*($H$2:$H599) - ($C$2:$C599="Saida")*($F$2:$F599=Tabela_Movimentacao_Geral[[#This Row],[ID Produto]])*($H$2:$H599)),
    IF(_xlpm.saldo_atual &gt; 0, IF(RANDBETWEEN(0,10)&gt;3,"Saida","Entrada"), "Entrada")
  ),
  Tabela_Movimentacao_Geral[[#This Row],[Tipo Fluxo]]
)</f>
        <v>Entrada</v>
      </c>
      <c r="D6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6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600" t="str">
        <f ca="1">IF(
  $O$7="Desbloqueado",
  "PROD"&amp;TEXT(RANDBETWEEN(1,200),"000"),
  Tabela_Movimentacao_Geral[[#This Row],[ID Produto]]
)</f>
        <v>PROD148</v>
      </c>
      <c r="G600" t="str">
        <f ca="1">_xlfn.XLOOKUP(Tabela_Movimentacao_Geral[[#This Row],[ID Produto]], Tabela_Produtos[ID_Produto],Tabela_Produtos[Descricao_Produto],"Produto não encontrado")</f>
        <v>Decapador de Cabos</v>
      </c>
      <c r="H600" cm="1">
        <f t="array" aca="1" ref="H600" ca="1">IF(
   $O$7="Desbloqueado",
   _xlfn.LET(
     _xlpm.saldo_atual, SUM(($C$2:$C599="Entrada")*($F$2:$F599=Tabela_Movimentacao_Geral[[#This Row],[ID Produto]])*($H$2:$H599) - ($C$2:$C599="Saida")*($F$2:$F599=Tabela_Movimentacao_Geral[[#This Row],[ID Produto]])*($H$2:$H599)),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100</v>
      </c>
      <c r="I600" s="5">
        <f ca="1">_xlfn.XLOOKUP(Tabela_Movimentacao_Geral[[#This Row],[ID Produto]], Tabela_Produtos[ID_Produto],Tabela_Produtos[Preco_Unitario_Venda])</f>
        <v>35</v>
      </c>
      <c r="J600" s="6">
        <f ca="1">Tabela_Movimentacao_Geral[[#This Row],[Quantidade]] * Tabela_Movimentacao_Geral[[#This Row],[Valor Unitário]]</f>
        <v>3500</v>
      </c>
      <c r="K600" t="str">
        <f ca="1">IF(
   $O$7="Desbloqueado",
   CHOOSE(RANDBETWEEN(1,3),"Pago","Pendente","Atrasado"),
   Tabela_Movimentacao_Geral[[#This Row],[Status Financeiro]]
)</f>
        <v>Pendente</v>
      </c>
      <c r="L600" t="str">
        <f ca="1">IF(
   $O$7="Desbloqueado",
   CHOOSE(RANDBETWEEN(1,3),"Entregue","Em Rota","Aguardando"),
   Tabela_Movimentacao_Geral[[#This Row],[Status Logistico]]
)</f>
        <v>Em Rota</v>
      </c>
      <c r="M60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45963</v>
      </c>
    </row>
    <row r="601" spans="1:13" x14ac:dyDescent="0.3">
      <c r="A601" t="str">
        <f t="shared" si="9"/>
        <v>T0600</v>
      </c>
      <c r="B601" s="1">
        <v>45956</v>
      </c>
      <c r="C601" t="str" cm="1">
        <f t="array" aca="1" ref="C601" ca="1">IF($O$7="Desbloqueado",
  _xlfn.LET(
    _xlpm.saldo_atual, SUM(($C$2:$C600="Entrada")*($F$2:$F600=Tabela_Movimentacao_Geral[[#This Row],[ID Produto]])*($H$2:$H600) - ($C$2:$C600="Saida")*($F$2:$F600=Tabela_Movimentacao_Geral[[#This Row],[ID Produto]])*($H$2:$H600)),
    IF(_xlpm.saldo_atual &gt; 0, IF(RANDBETWEEN(0,10)&gt;3,"Saida","Entrada"), "Entrada")
  ),
  Tabela_Movimentacao_Geral[[#This Row],[Tipo Fluxo]]
)</f>
        <v>Entrada</v>
      </c>
      <c r="D6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01" t="str">
        <f ca="1">IF(
  $O$7="Desbloqueado",
  "PROD"&amp;TEXT(RANDBETWEEN(1,200),"000"),
  Tabela_Movimentacao_Geral[[#This Row],[ID Produto]]
)</f>
        <v>PROD081</v>
      </c>
      <c r="G601" t="str">
        <f ca="1">_xlfn.XLOOKUP(Tabela_Movimentacao_Geral[[#This Row],[ID Produto]], Tabela_Produtos[ID_Produto],Tabela_Produtos[Descricao_Produto],"Produto não encontrado")</f>
        <v>Servidor Rack 1U</v>
      </c>
      <c r="H601" cm="1">
        <f t="array" aca="1" ref="H601" ca="1">IF(
   $O$7="Desbloqueado",
   _xlfn.LET(
     _xlpm.saldo_atual, SUM(($C$2:$C600="Entrada")*($F$2:$F600=Tabela_Movimentacao_Geral[[#This Row],[ID Produto]])*($H$2:$H600) - ($C$2:$C600="Saida")*($F$2:$F600=Tabela_Movimentacao_Geral[[#This Row],[ID Produto]])*($H$2:$H600)),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601" s="5">
        <f ca="1">_xlfn.XLOOKUP(Tabela_Movimentacao_Geral[[#This Row],[ID Produto]], Tabela_Produtos[ID_Produto],Tabela_Produtos[Preco_Unitario_Venda])</f>
        <v>12500</v>
      </c>
      <c r="J601" s="6">
        <f ca="1">Tabela_Movimentacao_Geral[[#This Row],[Quantidade]] * Tabela_Movimentacao_Geral[[#This Row],[Valor Unitário]]</f>
        <v>925000</v>
      </c>
      <c r="K601" t="str">
        <f ca="1">IF(
   $O$7="Desbloqueado",
   CHOOSE(RANDBETWEEN(1,3),"Pago","Pendente","Atrasado"),
   Tabela_Movimentacao_Geral[[#This Row],[Status Financeiro]]
)</f>
        <v>Pago</v>
      </c>
      <c r="L601" t="str">
        <f ca="1">IF(
   $O$7="Desbloqueado",
   CHOOSE(RANDBETWEEN(1,3),"Entregue","Em Rota","Aguardando"),
   Tabela_Movimentacao_Geral[[#This Row],[Status Logistico]]
)</f>
        <v>Em Rota</v>
      </c>
      <c r="M6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45957</v>
      </c>
    </row>
    <row r="602" spans="1:13" x14ac:dyDescent="0.3">
      <c r="A602" t="str">
        <f t="shared" si="9"/>
        <v>T0601</v>
      </c>
      <c r="B602" s="1">
        <v>45958</v>
      </c>
      <c r="C602" t="str" cm="1">
        <f t="array" aca="1" ref="C602" ca="1">IF($O$7="Desbloqueado",
  _xlfn.LET(
    _xlpm.saldo_atual, SUM(($C$2:$C601="Entrada")*($F$2:$F601=Tabela_Movimentacao_Geral[[#This Row],[ID Produto]])*($H$2:$H601) - ($C$2:$C601="Saida")*($F$2:$F601=Tabela_Movimentacao_Geral[[#This Row],[ID Produto]])*($H$2:$H601)),
    IF(_xlpm.saldo_atual &gt; 0, IF(RANDBETWEEN(0,10)&gt;3,"Saida","Entrada"), "Entrada")
  ),
  Tabela_Movimentacao_Geral[[#This Row],[Tipo Fluxo]]
)</f>
        <v>Entrada</v>
      </c>
      <c r="D6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6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602" t="str">
        <f ca="1">IF(
  $O$7="Desbloqueado",
  "PROD"&amp;TEXT(RANDBETWEEN(1,200),"000"),
  Tabela_Movimentacao_Geral[[#This Row],[ID Produto]]
)</f>
        <v>PROD048</v>
      </c>
      <c r="G602" t="str">
        <f ca="1">_xlfn.XLOOKUP(Tabela_Movimentacao_Geral[[#This Row],[ID Produto]], Tabela_Produtos[ID_Produto],Tabela_Produtos[Descricao_Produto],"Produto não encontrado")</f>
        <v>Fita para Etiquetadora</v>
      </c>
      <c r="H602" cm="1">
        <f t="array" aca="1" ref="H602" ca="1">IF(
   $O$7="Desbloqueado",
   _xlfn.LET(
     _xlpm.saldo_atual, SUM(($C$2:$C601="Entrada")*($F$2:$F601=Tabela_Movimentacao_Geral[[#This Row],[ID Produto]])*($H$2:$H601) - ($C$2:$C601="Saida")*($F$2:$F601=Tabela_Movimentacao_Geral[[#This Row],[ID Produto]])*($H$2:$H601)),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602" s="5">
        <f ca="1">_xlfn.XLOOKUP(Tabela_Movimentacao_Geral[[#This Row],[ID Produto]], Tabela_Produtos[ID_Produto],Tabela_Produtos[Preco_Unitario_Venda])</f>
        <v>55</v>
      </c>
      <c r="J602" s="6">
        <f ca="1">Tabela_Movimentacao_Geral[[#This Row],[Quantidade]] * Tabela_Movimentacao_Geral[[#This Row],[Valor Unitário]]</f>
        <v>275</v>
      </c>
      <c r="K602" t="str">
        <f ca="1">IF(
   $O$7="Desbloqueado",
   CHOOSE(RANDBETWEEN(1,3),"Pago","Pendente","Atrasado"),
   Tabela_Movimentacao_Geral[[#This Row],[Status Financeiro]]
)</f>
        <v>Atrasado</v>
      </c>
      <c r="L602" t="str">
        <f ca="1">IF(
   $O$7="Desbloqueado",
   CHOOSE(RANDBETWEEN(1,3),"Entregue","Em Rota","Aguardando"),
   Tabela_Movimentacao_Geral[[#This Row],[Status Logistico]]
)</f>
        <v>Em Rota</v>
      </c>
      <c r="M60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45960</v>
      </c>
    </row>
    <row r="603" spans="1:13" x14ac:dyDescent="0.3">
      <c r="A603" t="str">
        <f t="shared" si="9"/>
        <v>T0602</v>
      </c>
      <c r="B603" s="1">
        <v>45958</v>
      </c>
      <c r="C603" t="str" cm="1">
        <f t="array" aca="1" ref="C603" ca="1">IF($O$7="Desbloqueado",
  _xlfn.LET(
    _xlpm.saldo_atual, SUM(($C$2:$C602="Entrada")*($F$2:$F602=Tabela_Movimentacao_Geral[[#This Row],[ID Produto]])*($H$2:$H602) - ($C$2:$C602="Saida")*($F$2:$F602=Tabela_Movimentacao_Geral[[#This Row],[ID Produto]])*($H$2:$H602)),
    IF(_xlpm.saldo_atual &gt; 0, IF(RANDBETWEEN(0,10)&gt;3,"Saida","Entrada"), "Entrada")
  ),
  Tabela_Movimentacao_Geral[[#This Row],[Tipo Fluxo]]
)</f>
        <v>Saida</v>
      </c>
      <c r="D6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6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603" t="str">
        <f ca="1">IF(
  $O$7="Desbloqueado",
  "PROD"&amp;TEXT(RANDBETWEEN(1,200),"000"),
  Tabela_Movimentacao_Geral[[#This Row],[ID Produto]]
)</f>
        <v>PROD180</v>
      </c>
      <c r="G603" t="str">
        <f ca="1">_xlfn.XLOOKUP(Tabela_Movimentacao_Geral[[#This Row],[ID Produto]], Tabela_Produtos[ID_Produto],Tabela_Produtos[Descricao_Produto],"Produto não encontrado")</f>
        <v>Gaveteiro 3 Gavetas</v>
      </c>
      <c r="H603" cm="1">
        <f t="array" aca="1" ref="H603" ca="1">IF(
   $O$7="Desbloqueado",
   _xlfn.LET(
     _xlpm.saldo_atual, SUM(($C$2:$C602="Entrada")*($F$2:$F602=Tabela_Movimentacao_Geral[[#This Row],[ID Produto]])*($H$2:$H602) - ($C$2:$C602="Saida")*($F$2:$F602=Tabela_Movimentacao_Geral[[#This Row],[ID Produto]])*($H$2:$H602)),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54</v>
      </c>
      <c r="I603" s="5">
        <f ca="1">_xlfn.XLOOKUP(Tabela_Movimentacao_Geral[[#This Row],[ID Produto]], Tabela_Produtos[ID_Produto],Tabela_Produtos[Preco_Unitario_Venda])</f>
        <v>450</v>
      </c>
      <c r="J603" s="6">
        <f ca="1">Tabela_Movimentacao_Geral[[#This Row],[Quantidade]] * Tabela_Movimentacao_Geral[[#This Row],[Valor Unitário]]</f>
        <v>24300</v>
      </c>
      <c r="K603" t="str">
        <f ca="1">IF(
   $O$7="Desbloqueado",
   CHOOSE(RANDBETWEEN(1,3),"Pago","Pendente","Atrasado"),
   Tabela_Movimentacao_Geral[[#This Row],[Status Financeiro]]
)</f>
        <v>Pendente</v>
      </c>
      <c r="L603" t="str">
        <f ca="1">IF(
   $O$7="Desbloqueado",
   CHOOSE(RANDBETWEEN(1,3),"Entregue","Em Rota","Aguardando"),
   Tabela_Movimentacao_Geral[[#This Row],[Status Logistico]]
)</f>
        <v>Aguardando</v>
      </c>
      <c r="M60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04" spans="1:13" x14ac:dyDescent="0.3">
      <c r="A604" t="str">
        <f t="shared" si="9"/>
        <v>T0603</v>
      </c>
      <c r="B604" s="1">
        <v>45958</v>
      </c>
      <c r="C604" t="str" cm="1">
        <f t="array" aca="1" ref="C604" ca="1">IF($O$7="Desbloqueado",
  _xlfn.LET(
    _xlpm.saldo_atual, SUM(($C$2:$C603="Entrada")*($F$2:$F603=Tabela_Movimentacao_Geral[[#This Row],[ID Produto]])*($H$2:$H603) - ($C$2:$C603="Saida")*($F$2:$F603=Tabela_Movimentacao_Geral[[#This Row],[ID Produto]])*($H$2:$H603)),
    IF(_xlpm.saldo_atual &gt; 0, IF(RANDBETWEEN(0,10)&gt;3,"Saida","Entrada"), "Entrada")
  ),
  Tabela_Movimentacao_Geral[[#This Row],[Tipo Fluxo]]
)</f>
        <v>Saida</v>
      </c>
      <c r="D6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6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604" t="str">
        <f ca="1">IF(
  $O$7="Desbloqueado",
  "PROD"&amp;TEXT(RANDBETWEEN(1,200),"000"),
  Tabela_Movimentacao_Geral[[#This Row],[ID Produto]]
)</f>
        <v>PROD022</v>
      </c>
      <c r="G604" t="str">
        <f ca="1">_xlfn.XLOOKUP(Tabela_Movimentacao_Geral[[#This Row],[ID Produto]], Tabela_Produtos[ID_Produto],Tabela_Produtos[Descricao_Produto],"Produto não encontrado")</f>
        <v>Licenca Windows 11 Pro</v>
      </c>
      <c r="H604" cm="1">
        <f t="array" aca="1" ref="H604" ca="1">IF(
   $O$7="Desbloqueado",
   _xlfn.LET(
     _xlpm.saldo_atual, SUM(($C$2:$C603="Entrada")*($F$2:$F603=Tabela_Movimentacao_Geral[[#This Row],[ID Produto]])*($H$2:$H603) - ($C$2:$C603="Saida")*($F$2:$F603=Tabela_Movimentacao_Geral[[#This Row],[ID Produto]])*($H$2:$H603)),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604" s="5">
        <f ca="1">_xlfn.XLOOKUP(Tabela_Movimentacao_Geral[[#This Row],[ID Produto]], Tabela_Produtos[ID_Produto],Tabela_Produtos[Preco_Unitario_Venda])</f>
        <v>980</v>
      </c>
      <c r="J604" s="6">
        <f ca="1">Tabela_Movimentacao_Geral[[#This Row],[Quantidade]] * Tabela_Movimentacao_Geral[[#This Row],[Valor Unitário]]</f>
        <v>980</v>
      </c>
      <c r="K604" t="str">
        <f ca="1">IF(
   $O$7="Desbloqueado",
   CHOOSE(RANDBETWEEN(1,3),"Pago","Pendente","Atrasado"),
   Tabela_Movimentacao_Geral[[#This Row],[Status Financeiro]]
)</f>
        <v>Pago</v>
      </c>
      <c r="L604" t="str">
        <f ca="1">IF(
   $O$7="Desbloqueado",
   CHOOSE(RANDBETWEEN(1,3),"Entregue","Em Rota","Aguardando"),
   Tabela_Movimentacao_Geral[[#This Row],[Status Logistico]]
)</f>
        <v>Em Rota</v>
      </c>
      <c r="M60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05" spans="1:13" x14ac:dyDescent="0.3">
      <c r="A605" t="str">
        <f t="shared" si="9"/>
        <v>T0604</v>
      </c>
      <c r="B605" s="1">
        <v>45959</v>
      </c>
      <c r="C605" t="str" cm="1">
        <f t="array" aca="1" ref="C605" ca="1">IF($O$7="Desbloqueado",
  _xlfn.LET(
    _xlpm.saldo_atual, SUM(($C$2:$C604="Entrada")*($F$2:$F604=Tabela_Movimentacao_Geral[[#This Row],[ID Produto]])*($H$2:$H604) - ($C$2:$C604="Saida")*($F$2:$F604=Tabela_Movimentacao_Geral[[#This Row],[ID Produto]])*($H$2:$H604)),
    IF(_xlpm.saldo_atual &gt; 0, IF(RANDBETWEEN(0,10)&gt;3,"Saida","Entrada"), "Entrada")
  ),
  Tabela_Movimentacao_Geral[[#This Row],[Tipo Fluxo]]
)</f>
        <v>Entrada</v>
      </c>
      <c r="D6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05" t="str">
        <f ca="1">IF(
  $O$7="Desbloqueado",
  "PROD"&amp;TEXT(RANDBETWEEN(1,200),"000"),
  Tabela_Movimentacao_Geral[[#This Row],[ID Produto]]
)</f>
        <v>PROD100</v>
      </c>
      <c r="G605" t="str">
        <f ca="1">_xlfn.XLOOKUP(Tabela_Movimentacao_Geral[[#This Row],[ID Produto]], Tabela_Produtos[ID_Produto],Tabela_Produtos[Descricao_Produto],"Produto não encontrado")</f>
        <v>Injetor PoE Gigabit</v>
      </c>
      <c r="H605" cm="1">
        <f t="array" aca="1" ref="H605" ca="1">IF(
   $O$7="Desbloqueado",
   _xlfn.LET(
     _xlpm.saldo_atual, SUM(($C$2:$C604="Entrada")*($F$2:$F604=Tabela_Movimentacao_Geral[[#This Row],[ID Produto]])*($H$2:$H604) - ($C$2:$C604="Saida")*($F$2:$F604=Tabela_Movimentacao_Geral[[#This Row],[ID Produto]])*($H$2:$H604)),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605" s="5">
        <f ca="1">_xlfn.XLOOKUP(Tabela_Movimentacao_Geral[[#This Row],[ID Produto]], Tabela_Produtos[ID_Produto],Tabela_Produtos[Preco_Unitario_Venda])</f>
        <v>180</v>
      </c>
      <c r="J605" s="6">
        <f ca="1">Tabela_Movimentacao_Geral[[#This Row],[Quantidade]] * Tabela_Movimentacao_Geral[[#This Row],[Valor Unitário]]</f>
        <v>5220</v>
      </c>
      <c r="K605" t="str">
        <f ca="1">IF(
   $O$7="Desbloqueado",
   CHOOSE(RANDBETWEEN(1,3),"Pago","Pendente","Atrasado"),
   Tabela_Movimentacao_Geral[[#This Row],[Status Financeiro]]
)</f>
        <v>Pendente</v>
      </c>
      <c r="L605" t="str">
        <f ca="1">IF(
   $O$7="Desbloqueado",
   CHOOSE(RANDBETWEEN(1,3),"Entregue","Em Rota","Aguardando"),
   Tabela_Movimentacao_Geral[[#This Row],[Status Logistico]]
)</f>
        <v>Aguardando</v>
      </c>
      <c r="M60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45960</v>
      </c>
    </row>
    <row r="606" spans="1:13" x14ac:dyDescent="0.3">
      <c r="A606" t="str">
        <f t="shared" si="9"/>
        <v>T0605</v>
      </c>
      <c r="B606" s="1">
        <v>45959</v>
      </c>
      <c r="C606" t="str" cm="1">
        <f t="array" aca="1" ref="C606" ca="1">IF($O$7="Desbloqueado",
  _xlfn.LET(
    _xlpm.saldo_atual, SUM(($C$2:$C605="Entrada")*($F$2:$F605=Tabela_Movimentacao_Geral[[#This Row],[ID Produto]])*($H$2:$H605) - ($C$2:$C605="Saida")*($F$2:$F605=Tabela_Movimentacao_Geral[[#This Row],[ID Produto]])*($H$2:$H605)),
    IF(_xlpm.saldo_atual &gt; 0, IF(RANDBETWEEN(0,10)&gt;3,"Saida","Entrada"), "Entrada")
  ),
  Tabela_Movimentacao_Geral[[#This Row],[Tipo Fluxo]]
)</f>
        <v>Entrada</v>
      </c>
      <c r="D6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6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606" t="str">
        <f ca="1">IF(
  $O$7="Desbloqueado",
  "PROD"&amp;TEXT(RANDBETWEEN(1,200),"000"),
  Tabela_Movimentacao_Geral[[#This Row],[ID Produto]]
)</f>
        <v>PROD113</v>
      </c>
      <c r="G606" t="str">
        <f ca="1">_xlfn.XLOOKUP(Tabela_Movimentacao_Geral[[#This Row],[ID Produto]], Tabela_Produtos[ID_Produto],Tabela_Produtos[Descricao_Produto],"Produto não encontrado")</f>
        <v>Headphone Bluetooth NoiseC</v>
      </c>
      <c r="H606" cm="1">
        <f t="array" aca="1" ref="H606" ca="1">IF(
   $O$7="Desbloqueado",
   _xlfn.LET(
     _xlpm.saldo_atual, SUM(($C$2:$C605="Entrada")*($F$2:$F605=Tabela_Movimentacao_Geral[[#This Row],[ID Produto]])*($H$2:$H605) - ($C$2:$C605="Saida")*($F$2:$F605=Tabela_Movimentacao_Geral[[#This Row],[ID Produto]])*($H$2:$H605)),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60</v>
      </c>
      <c r="I606" s="5">
        <f ca="1">_xlfn.XLOOKUP(Tabela_Movimentacao_Geral[[#This Row],[ID Produto]], Tabela_Produtos[ID_Produto],Tabela_Produtos[Preco_Unitario_Venda])</f>
        <v>950</v>
      </c>
      <c r="J606" s="6">
        <f ca="1">Tabela_Movimentacao_Geral[[#This Row],[Quantidade]] * Tabela_Movimentacao_Geral[[#This Row],[Valor Unitário]]</f>
        <v>57000</v>
      </c>
      <c r="K606" t="str">
        <f ca="1">IF(
   $O$7="Desbloqueado",
   CHOOSE(RANDBETWEEN(1,3),"Pago","Pendente","Atrasado"),
   Tabela_Movimentacao_Geral[[#This Row],[Status Financeiro]]
)</f>
        <v>Atrasado</v>
      </c>
      <c r="L606" t="str">
        <f ca="1">IF(
   $O$7="Desbloqueado",
   CHOOSE(RANDBETWEEN(1,3),"Entregue","Em Rota","Aguardando"),
   Tabela_Movimentacao_Geral[[#This Row],[Status Logistico]]
)</f>
        <v>Aguardando</v>
      </c>
      <c r="M60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45963</v>
      </c>
    </row>
    <row r="607" spans="1:13" x14ac:dyDescent="0.3">
      <c r="A607" t="str">
        <f t="shared" si="9"/>
        <v>T0606</v>
      </c>
      <c r="B607" s="1">
        <v>45959</v>
      </c>
      <c r="C607" t="str" cm="1">
        <f t="array" aca="1" ref="C607" ca="1">IF($O$7="Desbloqueado",
  _xlfn.LET(
    _xlpm.saldo_atual, SUM(($C$2:$C606="Entrada")*($F$2:$F606=Tabela_Movimentacao_Geral[[#This Row],[ID Produto]])*($H$2:$H606) - ($C$2:$C606="Saida")*($F$2:$F606=Tabela_Movimentacao_Geral[[#This Row],[ID Produto]])*($H$2:$H606)),
    IF(_xlpm.saldo_atual &gt; 0, IF(RANDBETWEEN(0,10)&gt;3,"Saida","Entrada"), "Entrada")
  ),
  Tabela_Movimentacao_Geral[[#This Row],[Tipo Fluxo]]
)</f>
        <v>Saida</v>
      </c>
      <c r="D6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6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607" t="str">
        <f ca="1">IF(
  $O$7="Desbloqueado",
  "PROD"&amp;TEXT(RANDBETWEEN(1,200),"000"),
  Tabela_Movimentacao_Geral[[#This Row],[ID Produto]]
)</f>
        <v>PROD025</v>
      </c>
      <c r="G607" t="str">
        <f ca="1">_xlfn.XLOOKUP(Tabela_Movimentacao_Geral[[#This Row],[ID Produto]], Tabela_Produtos[ID_Produto],Tabela_Produtos[Descricao_Produto],"Produto não encontrado")</f>
        <v>Software de Backup Cloud</v>
      </c>
      <c r="H607" cm="1">
        <f t="array" aca="1" ref="H607" ca="1">IF(
   $O$7="Desbloqueado",
   _xlfn.LET(
     _xlpm.saldo_atual, SUM(($C$2:$C606="Entrada")*($F$2:$F606=Tabela_Movimentacao_Geral[[#This Row],[ID Produto]])*($H$2:$H606) - ($C$2:$C606="Saida")*($F$2:$F606=Tabela_Movimentacao_Geral[[#This Row],[ID Produto]])*($H$2:$H606)),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607" s="5">
        <f ca="1">_xlfn.XLOOKUP(Tabela_Movimentacao_Geral[[#This Row],[ID Produto]], Tabela_Produtos[ID_Produto],Tabela_Produtos[Preco_Unitario_Venda])</f>
        <v>85</v>
      </c>
      <c r="J607" s="6">
        <f ca="1">Tabela_Movimentacao_Geral[[#This Row],[Quantidade]] * Tabela_Movimentacao_Geral[[#This Row],[Valor Unitário]]</f>
        <v>1360</v>
      </c>
      <c r="K607" t="str">
        <f ca="1">IF(
   $O$7="Desbloqueado",
   CHOOSE(RANDBETWEEN(1,3),"Pago","Pendente","Atrasado"),
   Tabela_Movimentacao_Geral[[#This Row],[Status Financeiro]]
)</f>
        <v>Atrasado</v>
      </c>
      <c r="L607" t="str">
        <f ca="1">IF(
   $O$7="Desbloqueado",
   CHOOSE(RANDBETWEEN(1,3),"Entregue","Em Rota","Aguardando"),
   Tabela_Movimentacao_Geral[[#This Row],[Status Logistico]]
)</f>
        <v>Entregue</v>
      </c>
      <c r="M60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08" spans="1:13" x14ac:dyDescent="0.3">
      <c r="A608" t="str">
        <f t="shared" si="9"/>
        <v>T0607</v>
      </c>
      <c r="B608" s="1">
        <v>45959</v>
      </c>
      <c r="C608" t="str" cm="1">
        <f t="array" aca="1" ref="C608" ca="1">IF($O$7="Desbloqueado",
  _xlfn.LET(
    _xlpm.saldo_atual, SUM(($C$2:$C607="Entrada")*($F$2:$F607=Tabela_Movimentacao_Geral[[#This Row],[ID Produto]])*($H$2:$H607) - ($C$2:$C607="Saida")*($F$2:$F607=Tabela_Movimentacao_Geral[[#This Row],[ID Produto]])*($H$2:$H607)),
    IF(_xlpm.saldo_atual &gt; 0, IF(RANDBETWEEN(0,10)&gt;3,"Saida","Entrada"), "Entrada")
  ),
  Tabela_Movimentacao_Geral[[#This Row],[Tipo Fluxo]]
)</f>
        <v>Saida</v>
      </c>
      <c r="D6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6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608" t="str">
        <f ca="1">IF(
  $O$7="Desbloqueado",
  "PROD"&amp;TEXT(RANDBETWEEN(1,200),"000"),
  Tabela_Movimentacao_Geral[[#This Row],[ID Produto]]
)</f>
        <v>PROD035</v>
      </c>
      <c r="G608" t="str">
        <f ca="1">_xlfn.XLOOKUP(Tabela_Movimentacao_Geral[[#This Row],[ID Produto]], Tabela_Produtos[ID_Produto],Tabela_Produtos[Descricao_Produto],"Produto não encontrado")</f>
        <v>Tela de Projecao 100 pol</v>
      </c>
      <c r="H608" cm="1">
        <f t="array" aca="1" ref="H608" ca="1">IF(
   $O$7="Desbloqueado",
   _xlfn.LET(
     _xlpm.saldo_atual, SUM(($C$2:$C607="Entrada")*($F$2:$F607=Tabela_Movimentacao_Geral[[#This Row],[ID Produto]])*($H$2:$H607) - ($C$2:$C607="Saida")*($F$2:$F607=Tabela_Movimentacao_Geral[[#This Row],[ID Produto]])*($H$2:$H607)),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608" s="5">
        <f ca="1">_xlfn.XLOOKUP(Tabela_Movimentacao_Geral[[#This Row],[ID Produto]], Tabela_Produtos[ID_Produto],Tabela_Produtos[Preco_Unitario_Venda])</f>
        <v>600</v>
      </c>
      <c r="J608" s="6">
        <f ca="1">Tabela_Movimentacao_Geral[[#This Row],[Quantidade]] * Tabela_Movimentacao_Geral[[#This Row],[Valor Unitário]]</f>
        <v>17400</v>
      </c>
      <c r="K608" t="str">
        <f ca="1">IF(
   $O$7="Desbloqueado",
   CHOOSE(RANDBETWEEN(1,3),"Pago","Pendente","Atrasado"),
   Tabela_Movimentacao_Geral[[#This Row],[Status Financeiro]]
)</f>
        <v>Pendente</v>
      </c>
      <c r="L608" t="str">
        <f ca="1">IF(
   $O$7="Desbloqueado",
   CHOOSE(RANDBETWEEN(1,3),"Entregue","Em Rota","Aguardando"),
   Tabela_Movimentacao_Geral[[#This Row],[Status Logistico]]
)</f>
        <v>Aguardando</v>
      </c>
      <c r="M60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09" spans="1:13" x14ac:dyDescent="0.3">
      <c r="A609" t="str">
        <f t="shared" si="9"/>
        <v>T0608</v>
      </c>
      <c r="B609" s="1">
        <v>45959</v>
      </c>
      <c r="C609" t="str" cm="1">
        <f t="array" aca="1" ref="C609" ca="1">IF($O$7="Desbloqueado",
  _xlfn.LET(
    _xlpm.saldo_atual, SUM(($C$2:$C608="Entrada")*($F$2:$F608=Tabela_Movimentacao_Geral[[#This Row],[ID Produto]])*($H$2:$H608) - ($C$2:$C608="Saida")*($F$2:$F608=Tabela_Movimentacao_Geral[[#This Row],[ID Produto]])*($H$2:$H608)),
    IF(_xlpm.saldo_atual &gt; 0, IF(RANDBETWEEN(0,10)&gt;3,"Saida","Entrada"), "Entrada")
  ),
  Tabela_Movimentacao_Geral[[#This Row],[Tipo Fluxo]]
)</f>
        <v>Entrada</v>
      </c>
      <c r="D6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6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609" t="str">
        <f ca="1">IF(
  $O$7="Desbloqueado",
  "PROD"&amp;TEXT(RANDBETWEEN(1,200),"000"),
  Tabela_Movimentacao_Geral[[#This Row],[ID Produto]]
)</f>
        <v>PROD059</v>
      </c>
      <c r="G609" t="str">
        <f ca="1">_xlfn.XLOOKUP(Tabela_Movimentacao_Geral[[#This Row],[ID Produto]], Tabela_Produtos[ID_Produto],Tabela_Produtos[Descricao_Produto],"Produto não encontrado")</f>
        <v>Lapiseira 0.7mm</v>
      </c>
      <c r="H609" cm="1">
        <f t="array" aca="1" ref="H609" ca="1">IF(
   $O$7="Desbloqueado",
   _xlfn.LET(
     _xlpm.saldo_atual, SUM(($C$2:$C608="Entrada")*($F$2:$F608=Tabela_Movimentacao_Geral[[#This Row],[ID Produto]])*($H$2:$H608) - ($C$2:$C608="Saida")*($F$2:$F608=Tabela_Movimentacao_Geral[[#This Row],[ID Produto]])*($H$2:$H608)),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91</v>
      </c>
      <c r="I609" s="5">
        <f ca="1">_xlfn.XLOOKUP(Tabela_Movimentacao_Geral[[#This Row],[ID Produto]], Tabela_Produtos[ID_Produto],Tabela_Produtos[Preco_Unitario_Venda])</f>
        <v>12</v>
      </c>
      <c r="J609" s="6">
        <f ca="1">Tabela_Movimentacao_Geral[[#This Row],[Quantidade]] * Tabela_Movimentacao_Geral[[#This Row],[Valor Unitário]]</f>
        <v>1092</v>
      </c>
      <c r="K609" t="str">
        <f ca="1">IF(
   $O$7="Desbloqueado",
   CHOOSE(RANDBETWEEN(1,3),"Pago","Pendente","Atrasado"),
   Tabela_Movimentacao_Geral[[#This Row],[Status Financeiro]]
)</f>
        <v>Pago</v>
      </c>
      <c r="L609" t="str">
        <f ca="1">IF(
   $O$7="Desbloqueado",
   CHOOSE(RANDBETWEEN(1,3),"Entregue","Em Rota","Aguardando"),
   Tabela_Movimentacao_Geral[[#This Row],[Status Logistico]]
)</f>
        <v>Aguardando</v>
      </c>
      <c r="M60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45961</v>
      </c>
    </row>
    <row r="610" spans="1:13" x14ac:dyDescent="0.3">
      <c r="A610" t="str">
        <f t="shared" si="9"/>
        <v>T0609</v>
      </c>
      <c r="B610" s="1">
        <v>45959</v>
      </c>
      <c r="C610" t="str" cm="1">
        <f t="array" aca="1" ref="C610" ca="1">IF($O$7="Desbloqueado",
  _xlfn.LET(
    _xlpm.saldo_atual, SUM(($C$2:$C609="Entrada")*($F$2:$F609=Tabela_Movimentacao_Geral[[#This Row],[ID Produto]])*($H$2:$H609) - ($C$2:$C609="Saida")*($F$2:$F609=Tabela_Movimentacao_Geral[[#This Row],[ID Produto]])*($H$2:$H609)),
    IF(_xlpm.saldo_atual &gt; 0, IF(RANDBETWEEN(0,10)&gt;3,"Saida","Entrada"), "Entrada")
  ),
  Tabela_Movimentacao_Geral[[#This Row],[Tipo Fluxo]]
)</f>
        <v>Entrada</v>
      </c>
      <c r="D6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6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610" t="str">
        <f ca="1">IF(
  $O$7="Desbloqueado",
  "PROD"&amp;TEXT(RANDBETWEEN(1,200),"000"),
  Tabela_Movimentacao_Geral[[#This Row],[ID Produto]]
)</f>
        <v>PROD128</v>
      </c>
      <c r="G610" t="str">
        <f ca="1">_xlfn.XLOOKUP(Tabela_Movimentacao_Geral[[#This Row],[ID Produto]], Tabela_Produtos[ID_Produto],Tabela_Produtos[Descricao_Produto],"Produto não encontrado")</f>
        <v>Cabo de Rede Cat5e 5m</v>
      </c>
      <c r="H610" cm="1">
        <f t="array" aca="1" ref="H610" ca="1">IF(
   $O$7="Desbloqueado",
   _xlfn.LET(
     _xlpm.saldo_atual, SUM(($C$2:$C609="Entrada")*($F$2:$F609=Tabela_Movimentacao_Geral[[#This Row],[ID Produto]])*($H$2:$H609) - ($C$2:$C609="Saida")*($F$2:$F609=Tabela_Movimentacao_Geral[[#This Row],[ID Produto]])*($H$2:$H609)),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610" s="5">
        <f ca="1">_xlfn.XLOOKUP(Tabela_Movimentacao_Geral[[#This Row],[ID Produto]], Tabela_Produtos[ID_Produto],Tabela_Produtos[Preco_Unitario_Venda])</f>
        <v>18</v>
      </c>
      <c r="J610" s="6">
        <f ca="1">Tabela_Movimentacao_Geral[[#This Row],[Quantidade]] * Tabela_Movimentacao_Geral[[#This Row],[Valor Unitário]]</f>
        <v>1566</v>
      </c>
      <c r="K610" t="str">
        <f ca="1">IF(
   $O$7="Desbloqueado",
   CHOOSE(RANDBETWEEN(1,3),"Pago","Pendente","Atrasado"),
   Tabela_Movimentacao_Geral[[#This Row],[Status Financeiro]]
)</f>
        <v>Pendente</v>
      </c>
      <c r="L610" t="str">
        <f ca="1">IF(
   $O$7="Desbloqueado",
   CHOOSE(RANDBETWEEN(1,3),"Entregue","Em Rota","Aguardando"),
   Tabela_Movimentacao_Geral[[#This Row],[Status Logistico]]
)</f>
        <v>Aguardando</v>
      </c>
      <c r="M61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45961</v>
      </c>
    </row>
    <row r="611" spans="1:13" x14ac:dyDescent="0.3">
      <c r="A611" t="str">
        <f t="shared" si="9"/>
        <v>T0610</v>
      </c>
      <c r="B611" s="1">
        <v>45960</v>
      </c>
      <c r="C611" t="str" cm="1">
        <f t="array" aca="1" ref="C611" ca="1">IF($O$7="Desbloqueado",
  _xlfn.LET(
    _xlpm.saldo_atual, SUM(($C$2:$C610="Entrada")*($F$2:$F610=Tabela_Movimentacao_Geral[[#This Row],[ID Produto]])*($H$2:$H610) - ($C$2:$C610="Saida")*($F$2:$F610=Tabela_Movimentacao_Geral[[#This Row],[ID Produto]])*($H$2:$H610)),
    IF(_xlpm.saldo_atual &gt; 0, IF(RANDBETWEEN(0,10)&gt;3,"Saida","Entrada"), "Entrada")
  ),
  Tabela_Movimentacao_Geral[[#This Row],[Tipo Fluxo]]
)</f>
        <v>Saida</v>
      </c>
      <c r="D6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6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611" t="str">
        <f ca="1">IF(
  $O$7="Desbloqueado",
  "PROD"&amp;TEXT(RANDBETWEEN(1,200),"000"),
  Tabela_Movimentacao_Geral[[#This Row],[ID Produto]]
)</f>
        <v>PROD199</v>
      </c>
      <c r="G611" t="str">
        <f ca="1">_xlfn.XLOOKUP(Tabela_Movimentacao_Geral[[#This Row],[ID Produto]], Tabela_Produtos[ID_Produto],Tabela_Produtos[Descricao_Produto],"Produto não encontrado")</f>
        <v>Sugador de Solda</v>
      </c>
      <c r="H611" cm="1">
        <f t="array" aca="1" ref="H611" ca="1">IF(
   $O$7="Desbloqueado",
   _xlfn.LET(
     _xlpm.saldo_atual, SUM(($C$2:$C610="Entrada")*($F$2:$F610=Tabela_Movimentacao_Geral[[#This Row],[ID Produto]])*($H$2:$H610) - ($C$2:$C610="Saida")*($F$2:$F610=Tabela_Movimentacao_Geral[[#This Row],[ID Produto]])*($H$2:$H610)),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611" s="5">
        <f ca="1">_xlfn.XLOOKUP(Tabela_Movimentacao_Geral[[#This Row],[ID Produto]], Tabela_Produtos[ID_Produto],Tabela_Produtos[Preco_Unitario_Venda])</f>
        <v>25</v>
      </c>
      <c r="J611" s="6">
        <f ca="1">Tabela_Movimentacao_Geral[[#This Row],[Quantidade]] * Tabela_Movimentacao_Geral[[#This Row],[Valor Unitário]]</f>
        <v>1800</v>
      </c>
      <c r="K611" t="str">
        <f ca="1">IF(
   $O$7="Desbloqueado",
   CHOOSE(RANDBETWEEN(1,3),"Pago","Pendente","Atrasado"),
   Tabela_Movimentacao_Geral[[#This Row],[Status Financeiro]]
)</f>
        <v>Pendente</v>
      </c>
      <c r="L611" t="str">
        <f ca="1">IF(
   $O$7="Desbloqueado",
   CHOOSE(RANDBETWEEN(1,3),"Entregue","Em Rota","Aguardando"),
   Tabela_Movimentacao_Geral[[#This Row],[Status Logistico]]
)</f>
        <v>Entregue</v>
      </c>
      <c r="M61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12" spans="1:13" x14ac:dyDescent="0.3">
      <c r="A612" t="str">
        <f t="shared" si="9"/>
        <v>T0611</v>
      </c>
      <c r="B612" s="1">
        <v>45960</v>
      </c>
      <c r="C612" t="str" cm="1">
        <f t="array" aca="1" ref="C612" ca="1">IF($O$7="Desbloqueado",
  _xlfn.LET(
    _xlpm.saldo_atual, SUM(($C$2:$C611="Entrada")*($F$2:$F611=Tabela_Movimentacao_Geral[[#This Row],[ID Produto]])*($H$2:$H611) - ($C$2:$C611="Saida")*($F$2:$F611=Tabela_Movimentacao_Geral[[#This Row],[ID Produto]])*($H$2:$H611)),
    IF(_xlpm.saldo_atual &gt; 0, IF(RANDBETWEEN(0,10)&gt;3,"Saida","Entrada"), "Entrada")
  ),
  Tabela_Movimentacao_Geral[[#This Row],[Tipo Fluxo]]
)</f>
        <v>Entrada</v>
      </c>
      <c r="D6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6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612" t="str">
        <f ca="1">IF(
  $O$7="Desbloqueado",
  "PROD"&amp;TEXT(RANDBETWEEN(1,200),"000"),
  Tabela_Movimentacao_Geral[[#This Row],[ID Produto]]
)</f>
        <v>PROD023</v>
      </c>
      <c r="G612" t="str">
        <f ca="1">_xlfn.XLOOKUP(Tabela_Movimentacao_Geral[[#This Row],[ID Produto]], Tabela_Produtos[ID_Produto],Tabela_Produtos[Descricao_Produto],"Produto não encontrado")</f>
        <v>Antivirus Endpoint 1 Ano</v>
      </c>
      <c r="H612" cm="1">
        <f t="array" aca="1" ref="H612" ca="1">IF(
   $O$7="Desbloqueado",
   _xlfn.LET(
     _xlpm.saldo_atual, SUM(($C$2:$C611="Entrada")*($F$2:$F611=Tabela_Movimentacao_Geral[[#This Row],[ID Produto]])*($H$2:$H611) - ($C$2:$C611="Saida")*($F$2:$F611=Tabela_Movimentacao_Geral[[#This Row],[ID Produto]])*($H$2:$H611)),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150</v>
      </c>
      <c r="I612" s="5">
        <f ca="1">_xlfn.XLOOKUP(Tabela_Movimentacao_Geral[[#This Row],[ID Produto]], Tabela_Produtos[ID_Produto],Tabela_Produtos[Preco_Unitario_Venda])</f>
        <v>150</v>
      </c>
      <c r="J612" s="6">
        <f ca="1">Tabela_Movimentacao_Geral[[#This Row],[Quantidade]] * Tabela_Movimentacao_Geral[[#This Row],[Valor Unitário]]</f>
        <v>22500</v>
      </c>
      <c r="K612" t="str">
        <f ca="1">IF(
   $O$7="Desbloqueado",
   CHOOSE(RANDBETWEEN(1,3),"Pago","Pendente","Atrasado"),
   Tabela_Movimentacao_Geral[[#This Row],[Status Financeiro]]
)</f>
        <v>Atrasado</v>
      </c>
      <c r="L612" t="str">
        <f ca="1">IF(
   $O$7="Desbloqueado",
   CHOOSE(RANDBETWEEN(1,3),"Entregue","Em Rota","Aguardando"),
   Tabela_Movimentacao_Geral[[#This Row],[Status Logistico]]
)</f>
        <v>Em Rota</v>
      </c>
      <c r="M61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45962</v>
      </c>
    </row>
    <row r="613" spans="1:13" x14ac:dyDescent="0.3">
      <c r="A613" t="str">
        <f t="shared" si="9"/>
        <v>T0612</v>
      </c>
      <c r="B613" s="1">
        <v>45960</v>
      </c>
      <c r="C613" t="str" cm="1">
        <f t="array" aca="1" ref="C613" ca="1">IF($O$7="Desbloqueado",
  _xlfn.LET(
    _xlpm.saldo_atual, SUM(($C$2:$C612="Entrada")*($F$2:$F612=Tabela_Movimentacao_Geral[[#This Row],[ID Produto]])*($H$2:$H612) - ($C$2:$C612="Saida")*($F$2:$F612=Tabela_Movimentacao_Geral[[#This Row],[ID Produto]])*($H$2:$H612)),
    IF(_xlpm.saldo_atual &gt; 0, IF(RANDBETWEEN(0,10)&gt;3,"Saida","Entrada"), "Entrada")
  ),
  Tabela_Movimentacao_Geral[[#This Row],[Tipo Fluxo]]
)</f>
        <v>Saida</v>
      </c>
      <c r="D6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6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613" t="str">
        <f ca="1">IF(
  $O$7="Desbloqueado",
  "PROD"&amp;TEXT(RANDBETWEEN(1,200),"000"),
  Tabela_Movimentacao_Geral[[#This Row],[ID Produto]]
)</f>
        <v>PROD080</v>
      </c>
      <c r="G613" t="str">
        <f ca="1">_xlfn.XLOOKUP(Tabela_Movimentacao_Geral[[#This Row],[ID Produto]], Tabela_Produtos[ID_Produto],Tabela_Produtos[Descricao_Produto],"Produto não encontrado")</f>
        <v>Quadro de Avisos Cortica</v>
      </c>
      <c r="H613" cm="1">
        <f t="array" aca="1" ref="H613" ca="1">IF(
   $O$7="Desbloqueado",
   _xlfn.LET(
     _xlpm.saldo_atual, SUM(($C$2:$C612="Entrada")*($F$2:$F612=Tabela_Movimentacao_Geral[[#This Row],[ID Produto]])*($H$2:$H612) - ($C$2:$C612="Saida")*($F$2:$F612=Tabela_Movimentacao_Geral[[#This Row],[ID Produto]])*($H$2:$H612)),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90</v>
      </c>
      <c r="I613" s="5">
        <f ca="1">_xlfn.XLOOKUP(Tabela_Movimentacao_Geral[[#This Row],[ID Produto]], Tabela_Produtos[ID_Produto],Tabela_Produtos[Preco_Unitario_Venda])</f>
        <v>110</v>
      </c>
      <c r="J613" s="6">
        <f ca="1">Tabela_Movimentacao_Geral[[#This Row],[Quantidade]] * Tabela_Movimentacao_Geral[[#This Row],[Valor Unitário]]</f>
        <v>9900</v>
      </c>
      <c r="K613" t="str">
        <f ca="1">IF(
   $O$7="Desbloqueado",
   CHOOSE(RANDBETWEEN(1,3),"Pago","Pendente","Atrasado"),
   Tabela_Movimentacao_Geral[[#This Row],[Status Financeiro]]
)</f>
        <v>Pendente</v>
      </c>
      <c r="L613" t="str">
        <f ca="1">IF(
   $O$7="Desbloqueado",
   CHOOSE(RANDBETWEEN(1,3),"Entregue","Em Rota","Aguardando"),
   Tabela_Movimentacao_Geral[[#This Row],[Status Logistico]]
)</f>
        <v>Em Rota</v>
      </c>
      <c r="M61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14" spans="1:13" x14ac:dyDescent="0.3">
      <c r="A614" t="str">
        <f t="shared" si="9"/>
        <v>T0613</v>
      </c>
      <c r="B614" s="1">
        <v>45960</v>
      </c>
      <c r="C614" t="str" cm="1">
        <f t="array" aca="1" ref="C614" ca="1">IF($O$7="Desbloqueado",
  _xlfn.LET(
    _xlpm.saldo_atual, SUM(($C$2:$C613="Entrada")*($F$2:$F613=Tabela_Movimentacao_Geral[[#This Row],[ID Produto]])*($H$2:$H613) - ($C$2:$C613="Saida")*($F$2:$F613=Tabela_Movimentacao_Geral[[#This Row],[ID Produto]])*($H$2:$H613)),
    IF(_xlpm.saldo_atual &gt; 0, IF(RANDBETWEEN(0,10)&gt;3,"Saida","Entrada"), "Entrada")
  ),
  Tabela_Movimentacao_Geral[[#This Row],[Tipo Fluxo]]
)</f>
        <v>Saida</v>
      </c>
      <c r="D6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6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614" t="str">
        <f ca="1">IF(
  $O$7="Desbloqueado",
  "PROD"&amp;TEXT(RANDBETWEEN(1,200),"000"),
  Tabela_Movimentacao_Geral[[#This Row],[ID Produto]]
)</f>
        <v>PROD142</v>
      </c>
      <c r="G614" t="str">
        <f ca="1">_xlfn.XLOOKUP(Tabela_Movimentacao_Geral[[#This Row],[ID Produto]], Tabela_Produtos[ID_Produto],Tabela_Produtos[Descricao_Produto],"Produto não encontrado")</f>
        <v>Trava de Seguranca Note</v>
      </c>
      <c r="H614" cm="1">
        <f t="array" aca="1" ref="H614" ca="1">IF(
   $O$7="Desbloqueado",
   _xlfn.LET(
     _xlpm.saldo_atual, SUM(($C$2:$C613="Entrada")*($F$2:$F613=Tabela_Movimentacao_Geral[[#This Row],[ID Produto]])*($H$2:$H613) - ($C$2:$C613="Saida")*($F$2:$F613=Tabela_Movimentacao_Geral[[#This Row],[ID Produto]])*($H$2:$H613)),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614" s="5">
        <f ca="1">_xlfn.XLOOKUP(Tabela_Movimentacao_Geral[[#This Row],[ID Produto]], Tabela_Produtos[ID_Produto],Tabela_Produtos[Preco_Unitario_Venda])</f>
        <v>85</v>
      </c>
      <c r="J614" s="6">
        <f ca="1">Tabela_Movimentacao_Geral[[#This Row],[Quantidade]] * Tabela_Movimentacao_Geral[[#This Row],[Valor Unitário]]</f>
        <v>1275</v>
      </c>
      <c r="K614" t="str">
        <f ca="1">IF(
   $O$7="Desbloqueado",
   CHOOSE(RANDBETWEEN(1,3),"Pago","Pendente","Atrasado"),
   Tabela_Movimentacao_Geral[[#This Row],[Status Financeiro]]
)</f>
        <v>Atrasado</v>
      </c>
      <c r="L614" t="str">
        <f ca="1">IF(
   $O$7="Desbloqueado",
   CHOOSE(RANDBETWEEN(1,3),"Entregue","Em Rota","Aguardando"),
   Tabela_Movimentacao_Geral[[#This Row],[Status Logistico]]
)</f>
        <v>Em Rota</v>
      </c>
      <c r="M61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15" spans="1:13" x14ac:dyDescent="0.3">
      <c r="A615" t="str">
        <f t="shared" si="9"/>
        <v>T0614</v>
      </c>
      <c r="B615" s="1">
        <v>45960</v>
      </c>
      <c r="C615" t="str" cm="1">
        <f t="array" aca="1" ref="C615" ca="1">IF($O$7="Desbloqueado",
  _xlfn.LET(
    _xlpm.saldo_atual, SUM(($C$2:$C614="Entrada")*($F$2:$F614=Tabela_Movimentacao_Geral[[#This Row],[ID Produto]])*($H$2:$H614) - ($C$2:$C614="Saida")*($F$2:$F614=Tabela_Movimentacao_Geral[[#This Row],[ID Produto]])*($H$2:$H614)),
    IF(_xlpm.saldo_atual &gt; 0, IF(RANDBETWEEN(0,10)&gt;3,"Saida","Entrada"), "Entrada")
  ),
  Tabela_Movimentacao_Geral[[#This Row],[Tipo Fluxo]]
)</f>
        <v>Entrada</v>
      </c>
      <c r="D6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6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615" t="str">
        <f ca="1">IF(
  $O$7="Desbloqueado",
  "PROD"&amp;TEXT(RANDBETWEEN(1,200),"000"),
  Tabela_Movimentacao_Geral[[#This Row],[ID Produto]]
)</f>
        <v>PROD138</v>
      </c>
      <c r="G615" t="str">
        <f ca="1">_xlfn.XLOOKUP(Tabela_Movimentacao_Geral[[#This Row],[ID Produto]], Tabela_Produtos[ID_Produto],Tabela_Produtos[Descricao_Produto],"Produto não encontrado")</f>
        <v>Placa Mae B550M</v>
      </c>
      <c r="H615" cm="1">
        <f t="array" aca="1" ref="H615" ca="1">IF(
   $O$7="Desbloqueado",
   _xlfn.LET(
     _xlpm.saldo_atual, SUM(($C$2:$C614="Entrada")*($F$2:$F614=Tabela_Movimentacao_Geral[[#This Row],[ID Produto]])*($H$2:$H614) - ($C$2:$C614="Saida")*($F$2:$F614=Tabela_Movimentacao_Geral[[#This Row],[ID Produto]])*($H$2:$H614)),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615" s="5">
        <f ca="1">_xlfn.XLOOKUP(Tabela_Movimentacao_Geral[[#This Row],[ID Produto]], Tabela_Produtos[ID_Produto],Tabela_Produtos[Preco_Unitario_Venda])</f>
        <v>850</v>
      </c>
      <c r="J615" s="6">
        <f ca="1">Tabela_Movimentacao_Geral[[#This Row],[Quantidade]] * Tabela_Movimentacao_Geral[[#This Row],[Valor Unitário]]</f>
        <v>6800</v>
      </c>
      <c r="K615" t="str">
        <f ca="1">IF(
   $O$7="Desbloqueado",
   CHOOSE(RANDBETWEEN(1,3),"Pago","Pendente","Atrasado"),
   Tabela_Movimentacao_Geral[[#This Row],[Status Financeiro]]
)</f>
        <v>Pendente</v>
      </c>
      <c r="L615" t="str">
        <f ca="1">IF(
   $O$7="Desbloqueado",
   CHOOSE(RANDBETWEEN(1,3),"Entregue","Em Rota","Aguardando"),
   Tabela_Movimentacao_Geral[[#This Row],[Status Logistico]]
)</f>
        <v>Aguardando</v>
      </c>
      <c r="M61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45962</v>
      </c>
    </row>
    <row r="616" spans="1:13" x14ac:dyDescent="0.3">
      <c r="A616" t="str">
        <f t="shared" si="9"/>
        <v>T0615</v>
      </c>
      <c r="B616" s="1">
        <v>45961</v>
      </c>
      <c r="C616" t="str" cm="1">
        <f t="array" aca="1" ref="C616" ca="1">IF($O$7="Desbloqueado",
  _xlfn.LET(
    _xlpm.saldo_atual, SUM(($C$2:$C615="Entrada")*($F$2:$F615=Tabela_Movimentacao_Geral[[#This Row],[ID Produto]])*($H$2:$H615) - ($C$2:$C615="Saida")*($F$2:$F615=Tabela_Movimentacao_Geral[[#This Row],[ID Produto]])*($H$2:$H615)),
    IF(_xlpm.saldo_atual &gt; 0, IF(RANDBETWEEN(0,10)&gt;3,"Saida","Entrada"), "Entrada")
  ),
  Tabela_Movimentacao_Geral[[#This Row],[Tipo Fluxo]]
)</f>
        <v>Saida</v>
      </c>
      <c r="D6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6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616" t="str">
        <f ca="1">IF(
  $O$7="Desbloqueado",
  "PROD"&amp;TEXT(RANDBETWEEN(1,200),"000"),
  Tabela_Movimentacao_Geral[[#This Row],[ID Produto]]
)</f>
        <v>PROD035</v>
      </c>
      <c r="G616" t="str">
        <f ca="1">_xlfn.XLOOKUP(Tabela_Movimentacao_Geral[[#This Row],[ID Produto]], Tabela_Produtos[ID_Produto],Tabela_Produtos[Descricao_Produto],"Produto não encontrado")</f>
        <v>Tela de Projecao 100 pol</v>
      </c>
      <c r="H616" cm="1">
        <f t="array" aca="1" ref="H616" ca="1">IF(
   $O$7="Desbloqueado",
   _xlfn.LET(
     _xlpm.saldo_atual, SUM(($C$2:$C615="Entrada")*($F$2:$F615=Tabela_Movimentacao_Geral[[#This Row],[ID Produto]])*($H$2:$H615) - ($C$2:$C615="Saida")*($F$2:$F615=Tabela_Movimentacao_Geral[[#This Row],[ID Produto]])*($H$2:$H615)),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616" s="5">
        <f ca="1">_xlfn.XLOOKUP(Tabela_Movimentacao_Geral[[#This Row],[ID Produto]], Tabela_Produtos[ID_Produto],Tabela_Produtos[Preco_Unitario_Venda])</f>
        <v>600</v>
      </c>
      <c r="J616" s="6">
        <f ca="1">Tabela_Movimentacao_Geral[[#This Row],[Quantidade]] * Tabela_Movimentacao_Geral[[#This Row],[Valor Unitário]]</f>
        <v>1800</v>
      </c>
      <c r="K616" t="str">
        <f ca="1">IF(
   $O$7="Desbloqueado",
   CHOOSE(RANDBETWEEN(1,3),"Pago","Pendente","Atrasado"),
   Tabela_Movimentacao_Geral[[#This Row],[Status Financeiro]]
)</f>
        <v>Pago</v>
      </c>
      <c r="L616" t="str">
        <f ca="1">IF(
   $O$7="Desbloqueado",
   CHOOSE(RANDBETWEEN(1,3),"Entregue","Em Rota","Aguardando"),
   Tabela_Movimentacao_Geral[[#This Row],[Status Logistico]]
)</f>
        <v>Entregue</v>
      </c>
      <c r="M61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17" spans="1:13" x14ac:dyDescent="0.3">
      <c r="A617" t="str">
        <f t="shared" si="9"/>
        <v>T0616</v>
      </c>
      <c r="B617" s="1">
        <v>45961</v>
      </c>
      <c r="C617" t="str" cm="1">
        <f t="array" aca="1" ref="C617" ca="1">IF($O$7="Desbloqueado",
  _xlfn.LET(
    _xlpm.saldo_atual, SUM(($C$2:$C616="Entrada")*($F$2:$F616=Tabela_Movimentacao_Geral[[#This Row],[ID Produto]])*($H$2:$H616) - ($C$2:$C616="Saida")*($F$2:$F616=Tabela_Movimentacao_Geral[[#This Row],[ID Produto]])*($H$2:$H616)),
    IF(_xlpm.saldo_atual &gt; 0, IF(RANDBETWEEN(0,10)&gt;3,"Saida","Entrada"), "Entrada")
  ),
  Tabela_Movimentacao_Geral[[#This Row],[Tipo Fluxo]]
)</f>
        <v>Entrada</v>
      </c>
      <c r="D6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6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617" t="str">
        <f ca="1">IF(
  $O$7="Desbloqueado",
  "PROD"&amp;TEXT(RANDBETWEEN(1,200),"000"),
  Tabela_Movimentacao_Geral[[#This Row],[ID Produto]]
)</f>
        <v>PROD054</v>
      </c>
      <c r="G617" t="str">
        <f ca="1">_xlfn.XLOOKUP(Tabela_Movimentacao_Geral[[#This Row],[ID Produto]], Tabela_Produtos[ID_Produto],Tabela_Produtos[Descricao_Produto],"Produto não encontrado")</f>
        <v>Caixa de Grampos 26/6</v>
      </c>
      <c r="H617" cm="1">
        <f t="array" aca="1" ref="H617" ca="1">IF(
   $O$7="Desbloqueado",
   _xlfn.LET(
     _xlpm.saldo_atual, SUM(($C$2:$C616="Entrada")*($F$2:$F616=Tabela_Movimentacao_Geral[[#This Row],[ID Produto]])*($H$2:$H616) - ($C$2:$C616="Saida")*($F$2:$F616=Tabela_Movimentacao_Geral[[#This Row],[ID Produto]])*($H$2:$H616)),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231</v>
      </c>
      <c r="I617" s="5">
        <f ca="1">_xlfn.XLOOKUP(Tabela_Movimentacao_Geral[[#This Row],[ID Produto]], Tabela_Produtos[ID_Produto],Tabela_Produtos[Preco_Unitario_Venda])</f>
        <v>8</v>
      </c>
      <c r="J617" s="6">
        <f ca="1">Tabela_Movimentacao_Geral[[#This Row],[Quantidade]] * Tabela_Movimentacao_Geral[[#This Row],[Valor Unitário]]</f>
        <v>1848</v>
      </c>
      <c r="K617" t="str">
        <f ca="1">IF(
   $O$7="Desbloqueado",
   CHOOSE(RANDBETWEEN(1,3),"Pago","Pendente","Atrasado"),
   Tabela_Movimentacao_Geral[[#This Row],[Status Financeiro]]
)</f>
        <v>Atrasado</v>
      </c>
      <c r="L617" t="str">
        <f ca="1">IF(
   $O$7="Desbloqueado",
   CHOOSE(RANDBETWEEN(1,3),"Entregue","Em Rota","Aguardando"),
   Tabela_Movimentacao_Geral[[#This Row],[Status Logistico]]
)</f>
        <v>Aguardando</v>
      </c>
      <c r="M61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45962</v>
      </c>
    </row>
    <row r="618" spans="1:13" x14ac:dyDescent="0.3">
      <c r="A618" t="str">
        <f t="shared" si="9"/>
        <v>T0617</v>
      </c>
      <c r="B618" s="1">
        <v>45961</v>
      </c>
      <c r="C618" t="str" cm="1">
        <f t="array" aca="1" ref="C618" ca="1">IF($O$7="Desbloqueado",
  _xlfn.LET(
    _xlpm.saldo_atual, SUM(($C$2:$C617="Entrada")*($F$2:$F617=Tabela_Movimentacao_Geral[[#This Row],[ID Produto]])*($H$2:$H617) - ($C$2:$C617="Saida")*($F$2:$F617=Tabela_Movimentacao_Geral[[#This Row],[ID Produto]])*($H$2:$H617)),
    IF(_xlpm.saldo_atual &gt; 0, IF(RANDBETWEEN(0,10)&gt;3,"Saida","Entrada"), "Entrada")
  ),
  Tabela_Movimentacao_Geral[[#This Row],[Tipo Fluxo]]
)</f>
        <v>Saida</v>
      </c>
      <c r="D6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6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618" t="str">
        <f ca="1">IF(
  $O$7="Desbloqueado",
  "PROD"&amp;TEXT(RANDBETWEEN(1,200),"000"),
  Tabela_Movimentacao_Geral[[#This Row],[ID Produto]]
)</f>
        <v>PROD148</v>
      </c>
      <c r="G618" t="str">
        <f ca="1">_xlfn.XLOOKUP(Tabela_Movimentacao_Geral[[#This Row],[ID Produto]], Tabela_Produtos[ID_Produto],Tabela_Produtos[Descricao_Produto],"Produto não encontrado")</f>
        <v>Decapador de Cabos</v>
      </c>
      <c r="H618" cm="1">
        <f t="array" aca="1" ref="H618" ca="1">IF(
   $O$7="Desbloqueado",
   _xlfn.LET(
     _xlpm.saldo_atual, SUM(($C$2:$C617="Entrada")*($F$2:$F617=Tabela_Movimentacao_Geral[[#This Row],[ID Produto]])*($H$2:$H617) - ($C$2:$C617="Saida")*($F$2:$F617=Tabela_Movimentacao_Geral[[#This Row],[ID Produto]])*($H$2:$H617)),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173</v>
      </c>
      <c r="I618" s="5">
        <f ca="1">_xlfn.XLOOKUP(Tabela_Movimentacao_Geral[[#This Row],[ID Produto]], Tabela_Produtos[ID_Produto],Tabela_Produtos[Preco_Unitario_Venda])</f>
        <v>35</v>
      </c>
      <c r="J618" s="6">
        <f ca="1">Tabela_Movimentacao_Geral[[#This Row],[Quantidade]] * Tabela_Movimentacao_Geral[[#This Row],[Valor Unitário]]</f>
        <v>6055</v>
      </c>
      <c r="K618" t="str">
        <f ca="1">IF(
   $O$7="Desbloqueado",
   CHOOSE(RANDBETWEEN(1,3),"Pago","Pendente","Atrasado"),
   Tabela_Movimentacao_Geral[[#This Row],[Status Financeiro]]
)</f>
        <v>Atrasado</v>
      </c>
      <c r="L618" t="str">
        <f ca="1">IF(
   $O$7="Desbloqueado",
   CHOOSE(RANDBETWEEN(1,3),"Entregue","Em Rota","Aguardando"),
   Tabela_Movimentacao_Geral[[#This Row],[Status Logistico]]
)</f>
        <v>Aguardando</v>
      </c>
      <c r="M61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19" spans="1:13" x14ac:dyDescent="0.3">
      <c r="A619" t="str">
        <f t="shared" si="9"/>
        <v>T0618</v>
      </c>
      <c r="B619" s="1">
        <v>45962</v>
      </c>
      <c r="C619" t="str" cm="1">
        <f t="array" aca="1" ref="C619" ca="1">IF($O$7="Desbloqueado",
  _xlfn.LET(
    _xlpm.saldo_atual, SUM(($C$2:$C618="Entrada")*($F$2:$F618=Tabela_Movimentacao_Geral[[#This Row],[ID Produto]])*($H$2:$H618) - ($C$2:$C618="Saida")*($F$2:$F618=Tabela_Movimentacao_Geral[[#This Row],[ID Produto]])*($H$2:$H618)),
    IF(_xlpm.saldo_atual &gt; 0, IF(RANDBETWEEN(0,10)&gt;3,"Saida","Entrada"), "Entrada")
  ),
  Tabela_Movimentacao_Geral[[#This Row],[Tipo Fluxo]]
)</f>
        <v>Saida</v>
      </c>
      <c r="D6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6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619" t="str">
        <f ca="1">IF(
  $O$7="Desbloqueado",
  "PROD"&amp;TEXT(RANDBETWEEN(1,200),"000"),
  Tabela_Movimentacao_Geral[[#This Row],[ID Produto]]
)</f>
        <v>PROD062</v>
      </c>
      <c r="G619" t="str">
        <f ca="1">_xlfn.XLOOKUP(Tabela_Movimentacao_Geral[[#This Row],[ID Produto]], Tabela_Produtos[ID_Produto],Tabela_Produtos[Descricao_Produto],"Produto não encontrado")</f>
        <v>Regua 30cm Acrilico</v>
      </c>
      <c r="H619" cm="1">
        <f t="array" aca="1" ref="H619" ca="1">IF(
   $O$7="Desbloqueado",
   _xlfn.LET(
     _xlpm.saldo_atual, SUM(($C$2:$C618="Entrada")*($F$2:$F618=Tabela_Movimentacao_Geral[[#This Row],[ID Produto]])*($H$2:$H618) - ($C$2:$C618="Saida")*($F$2:$F618=Tabela_Movimentacao_Geral[[#This Row],[ID Produto]])*($H$2:$H618)),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39</v>
      </c>
      <c r="I619" s="5">
        <f ca="1">_xlfn.XLOOKUP(Tabela_Movimentacao_Geral[[#This Row],[ID Produto]], Tabela_Produtos[ID_Produto],Tabela_Produtos[Preco_Unitario_Venda])</f>
        <v>4.5</v>
      </c>
      <c r="J619" s="6">
        <f ca="1">Tabela_Movimentacao_Geral[[#This Row],[Quantidade]] * Tabela_Movimentacao_Geral[[#This Row],[Valor Unitário]]</f>
        <v>175.5</v>
      </c>
      <c r="K619" t="str">
        <f ca="1">IF(
   $O$7="Desbloqueado",
   CHOOSE(RANDBETWEEN(1,3),"Pago","Pendente","Atrasado"),
   Tabela_Movimentacao_Geral[[#This Row],[Status Financeiro]]
)</f>
        <v>Pago</v>
      </c>
      <c r="L619" t="str">
        <f ca="1">IF(
   $O$7="Desbloqueado",
   CHOOSE(RANDBETWEEN(1,3),"Entregue","Em Rota","Aguardando"),
   Tabela_Movimentacao_Geral[[#This Row],[Status Logistico]]
)</f>
        <v>Em Rota</v>
      </c>
      <c r="M61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20" spans="1:13" x14ac:dyDescent="0.3">
      <c r="A620" t="str">
        <f t="shared" si="9"/>
        <v>T0619</v>
      </c>
      <c r="B620" s="1">
        <v>45962</v>
      </c>
      <c r="C620" t="str" cm="1">
        <f t="array" aca="1" ref="C620" ca="1">IF($O$7="Desbloqueado",
  _xlfn.LET(
    _xlpm.saldo_atual, SUM(($C$2:$C619="Entrada")*($F$2:$F619=Tabela_Movimentacao_Geral[[#This Row],[ID Produto]])*($H$2:$H619) - ($C$2:$C619="Saida")*($F$2:$F619=Tabela_Movimentacao_Geral[[#This Row],[ID Produto]])*($H$2:$H619)),
    IF(_xlpm.saldo_atual &gt; 0, IF(RANDBETWEEN(0,10)&gt;3,"Saida","Entrada"), "Entrada")
  ),
  Tabela_Movimentacao_Geral[[#This Row],[Tipo Fluxo]]
)</f>
        <v>Saida</v>
      </c>
      <c r="D6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6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620" t="str">
        <f ca="1">IF(
  $O$7="Desbloqueado",
  "PROD"&amp;TEXT(RANDBETWEEN(1,200),"000"),
  Tabela_Movimentacao_Geral[[#This Row],[ID Produto]]
)</f>
        <v>PROD105</v>
      </c>
      <c r="G620" t="str">
        <f ca="1">_xlfn.XLOOKUP(Tabela_Movimentacao_Geral[[#This Row],[ID Produto]], Tabela_Produtos[ID_Produto],Tabela_Produtos[Descricao_Produto],"Produto não encontrado")</f>
        <v>Notebook i3 8GB SSD</v>
      </c>
      <c r="H620" cm="1">
        <f t="array" aca="1" ref="H620" ca="1">IF(
   $O$7="Desbloqueado",
   _xlfn.LET(
     _xlpm.saldo_atual, SUM(($C$2:$C619="Entrada")*($F$2:$F619=Tabela_Movimentacao_Geral[[#This Row],[ID Produto]])*($H$2:$H619) - ($C$2:$C619="Saida")*($F$2:$F619=Tabela_Movimentacao_Geral[[#This Row],[ID Produto]])*($H$2:$H619)),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52</v>
      </c>
      <c r="I620" s="5">
        <f ca="1">_xlfn.XLOOKUP(Tabela_Movimentacao_Geral[[#This Row],[ID Produto]], Tabela_Produtos[ID_Produto],Tabela_Produtos[Preco_Unitario_Venda])</f>
        <v>2600</v>
      </c>
      <c r="J620" s="6">
        <f ca="1">Tabela_Movimentacao_Geral[[#This Row],[Quantidade]] * Tabela_Movimentacao_Geral[[#This Row],[Valor Unitário]]</f>
        <v>135200</v>
      </c>
      <c r="K620" t="str">
        <f ca="1">IF(
   $O$7="Desbloqueado",
   CHOOSE(RANDBETWEEN(1,3),"Pago","Pendente","Atrasado"),
   Tabela_Movimentacao_Geral[[#This Row],[Status Financeiro]]
)</f>
        <v>Pago</v>
      </c>
      <c r="L620" t="str">
        <f ca="1">IF(
   $O$7="Desbloqueado",
   CHOOSE(RANDBETWEEN(1,3),"Entregue","Em Rota","Aguardando"),
   Tabela_Movimentacao_Geral[[#This Row],[Status Logistico]]
)</f>
        <v>Em Rota</v>
      </c>
      <c r="M62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21" spans="1:13" x14ac:dyDescent="0.3">
      <c r="A621" t="str">
        <f t="shared" si="9"/>
        <v>T0620</v>
      </c>
      <c r="B621" s="1">
        <v>45962</v>
      </c>
      <c r="C621" t="str" cm="1">
        <f t="array" aca="1" ref="C621" ca="1">IF($O$7="Desbloqueado",
  _xlfn.LET(
    _xlpm.saldo_atual, SUM(($C$2:$C620="Entrada")*($F$2:$F620=Tabela_Movimentacao_Geral[[#This Row],[ID Produto]])*($H$2:$H620) - ($C$2:$C620="Saida")*($F$2:$F620=Tabela_Movimentacao_Geral[[#This Row],[ID Produto]])*($H$2:$H620)),
    IF(_xlpm.saldo_atual &gt; 0, IF(RANDBETWEEN(0,10)&gt;3,"Saida","Entrada"), "Entrada")
  ),
  Tabela_Movimentacao_Geral[[#This Row],[Tipo Fluxo]]
)</f>
        <v>Entrada</v>
      </c>
      <c r="D6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21" t="str">
        <f ca="1">IF(
  $O$7="Desbloqueado",
  "PROD"&amp;TEXT(RANDBETWEEN(1,200),"000"),
  Tabela_Movimentacao_Geral[[#This Row],[ID Produto]]
)</f>
        <v>PROD127</v>
      </c>
      <c r="G621" t="str">
        <f ca="1">_xlfn.XLOOKUP(Tabela_Movimentacao_Geral[[#This Row],[ID Produto]], Tabela_Produtos[ID_Produto],Tabela_Produtos[Descricao_Produto],"Produto não encontrado")</f>
        <v>Hub USB-C 7 em 1</v>
      </c>
      <c r="H621" cm="1">
        <f t="array" aca="1" ref="H621" ca="1">IF(
   $O$7="Desbloqueado",
   _xlfn.LET(
     _xlpm.saldo_atual, SUM(($C$2:$C620="Entrada")*($F$2:$F620=Tabela_Movimentacao_Geral[[#This Row],[ID Produto]])*($H$2:$H620) - ($C$2:$C620="Saida")*($F$2:$F620=Tabela_Movimentacao_Geral[[#This Row],[ID Produto]])*($H$2:$H620)),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71</v>
      </c>
      <c r="I621" s="5">
        <f ca="1">_xlfn.XLOOKUP(Tabela_Movimentacao_Geral[[#This Row],[ID Produto]], Tabela_Produtos[ID_Produto],Tabela_Produtos[Preco_Unitario_Venda])</f>
        <v>350</v>
      </c>
      <c r="J621" s="6">
        <f ca="1">Tabela_Movimentacao_Geral[[#This Row],[Quantidade]] * Tabela_Movimentacao_Geral[[#This Row],[Valor Unitário]]</f>
        <v>24850</v>
      </c>
      <c r="K621" t="str">
        <f ca="1">IF(
   $O$7="Desbloqueado",
   CHOOSE(RANDBETWEEN(1,3),"Pago","Pendente","Atrasado"),
   Tabela_Movimentacao_Geral[[#This Row],[Status Financeiro]]
)</f>
        <v>Pendente</v>
      </c>
      <c r="L621" t="str">
        <f ca="1">IF(
   $O$7="Desbloqueado",
   CHOOSE(RANDBETWEEN(1,3),"Entregue","Em Rota","Aguardando"),
   Tabela_Movimentacao_Geral[[#This Row],[Status Logistico]]
)</f>
        <v>Aguardando</v>
      </c>
      <c r="M62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45963</v>
      </c>
    </row>
    <row r="622" spans="1:13" x14ac:dyDescent="0.3">
      <c r="A622" t="str">
        <f t="shared" si="9"/>
        <v>T0621</v>
      </c>
      <c r="B622" s="1">
        <v>45962</v>
      </c>
      <c r="C622" t="str" cm="1">
        <f t="array" aca="1" ref="C622" ca="1">IF($O$7="Desbloqueado",
  _xlfn.LET(
    _xlpm.saldo_atual, SUM(($C$2:$C621="Entrada")*($F$2:$F621=Tabela_Movimentacao_Geral[[#This Row],[ID Produto]])*($H$2:$H621) - ($C$2:$C621="Saida")*($F$2:$F621=Tabela_Movimentacao_Geral[[#This Row],[ID Produto]])*($H$2:$H621)),
    IF(_xlpm.saldo_atual &gt; 0, IF(RANDBETWEEN(0,10)&gt;3,"Saida","Entrada"), "Entrada")
  ),
  Tabela_Movimentacao_Geral[[#This Row],[Tipo Fluxo]]
)</f>
        <v>Saida</v>
      </c>
      <c r="D6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6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622" t="str">
        <f ca="1">IF(
  $O$7="Desbloqueado",
  "PROD"&amp;TEXT(RANDBETWEEN(1,200),"000"),
  Tabela_Movimentacao_Geral[[#This Row],[ID Produto]]
)</f>
        <v>PROD170</v>
      </c>
      <c r="G622" t="str">
        <f ca="1">_xlfn.XLOOKUP(Tabela_Movimentacao_Geral[[#This Row],[ID Produto]], Tabela_Produtos[ID_Produto],Tabela_Produtos[Descricao_Produto],"Produto não encontrado")</f>
        <v>Caixa Organizadora 20L</v>
      </c>
      <c r="H622" cm="1">
        <f t="array" aca="1" ref="H622" ca="1">IF(
   $O$7="Desbloqueado",
   _xlfn.LET(
     _xlpm.saldo_atual, SUM(($C$2:$C621="Entrada")*($F$2:$F621=Tabela_Movimentacao_Geral[[#This Row],[ID Produto]])*($H$2:$H621) - ($C$2:$C621="Saida")*($F$2:$F621=Tabela_Movimentacao_Geral[[#This Row],[ID Produto]])*($H$2:$H621)),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622" s="5">
        <f ca="1">_xlfn.XLOOKUP(Tabela_Movimentacao_Geral[[#This Row],[ID Produto]], Tabela_Produtos[ID_Produto],Tabela_Produtos[Preco_Unitario_Venda])</f>
        <v>55</v>
      </c>
      <c r="J622" s="6">
        <f ca="1">Tabela_Movimentacao_Geral[[#This Row],[Quantidade]] * Tabela_Movimentacao_Geral[[#This Row],[Valor Unitário]]</f>
        <v>3960</v>
      </c>
      <c r="K622" t="str">
        <f ca="1">IF(
   $O$7="Desbloqueado",
   CHOOSE(RANDBETWEEN(1,3),"Pago","Pendente","Atrasado"),
   Tabela_Movimentacao_Geral[[#This Row],[Status Financeiro]]
)</f>
        <v>Atrasado</v>
      </c>
      <c r="L622" t="str">
        <f ca="1">IF(
   $O$7="Desbloqueado",
   CHOOSE(RANDBETWEEN(1,3),"Entregue","Em Rota","Aguardando"),
   Tabela_Movimentacao_Geral[[#This Row],[Status Logistico]]
)</f>
        <v>Em Rota</v>
      </c>
      <c r="M62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23" spans="1:13" x14ac:dyDescent="0.3">
      <c r="A623" t="str">
        <f t="shared" si="9"/>
        <v>T0622</v>
      </c>
      <c r="B623" s="1">
        <v>45963</v>
      </c>
      <c r="C623" t="str" cm="1">
        <f t="array" aca="1" ref="C623" ca="1">IF($O$7="Desbloqueado",
  _xlfn.LET(
    _xlpm.saldo_atual, SUM(($C$2:$C622="Entrada")*($F$2:$F622=Tabela_Movimentacao_Geral[[#This Row],[ID Produto]])*($H$2:$H622) - ($C$2:$C622="Saida")*($F$2:$F622=Tabela_Movimentacao_Geral[[#This Row],[ID Produto]])*($H$2:$H622)),
    IF(_xlpm.saldo_atual &gt; 0, IF(RANDBETWEEN(0,10)&gt;3,"Saida","Entrada"), "Entrada")
  ),
  Tabela_Movimentacao_Geral[[#This Row],[Tipo Fluxo]]
)</f>
        <v>Entrada</v>
      </c>
      <c r="D6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6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623" t="str">
        <f ca="1">IF(
  $O$7="Desbloqueado",
  "PROD"&amp;TEXT(RANDBETWEEN(1,200),"000"),
  Tabela_Movimentacao_Geral[[#This Row],[ID Produto]]
)</f>
        <v>PROD062</v>
      </c>
      <c r="G623" t="str">
        <f ca="1">_xlfn.XLOOKUP(Tabela_Movimentacao_Geral[[#This Row],[ID Produto]], Tabela_Produtos[ID_Produto],Tabela_Produtos[Descricao_Produto],"Produto não encontrado")</f>
        <v>Regua 30cm Acrilico</v>
      </c>
      <c r="H623" cm="1">
        <f t="array" aca="1" ref="H623" ca="1">IF(
   $O$7="Desbloqueado",
   _xlfn.LET(
     _xlpm.saldo_atual, SUM(($C$2:$C622="Entrada")*($F$2:$F622=Tabela_Movimentacao_Geral[[#This Row],[ID Produto]])*($H$2:$H622) - ($C$2:$C622="Saida")*($F$2:$F622=Tabela_Movimentacao_Geral[[#This Row],[ID Produto]])*($H$2:$H622)),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623" s="5">
        <f ca="1">_xlfn.XLOOKUP(Tabela_Movimentacao_Geral[[#This Row],[ID Produto]], Tabela_Produtos[ID_Produto],Tabela_Produtos[Preco_Unitario_Venda])</f>
        <v>4.5</v>
      </c>
      <c r="J623" s="6">
        <f ca="1">Tabela_Movimentacao_Geral[[#This Row],[Quantidade]] * Tabela_Movimentacao_Geral[[#This Row],[Valor Unitário]]</f>
        <v>31.5</v>
      </c>
      <c r="K623" t="str">
        <f ca="1">IF(
   $O$7="Desbloqueado",
   CHOOSE(RANDBETWEEN(1,3),"Pago","Pendente","Atrasado"),
   Tabela_Movimentacao_Geral[[#This Row],[Status Financeiro]]
)</f>
        <v>Pago</v>
      </c>
      <c r="L623" t="str">
        <f ca="1">IF(
   $O$7="Desbloqueado",
   CHOOSE(RANDBETWEEN(1,3),"Entregue","Em Rota","Aguardando"),
   Tabela_Movimentacao_Geral[[#This Row],[Status Logistico]]
)</f>
        <v>Em Rota</v>
      </c>
      <c r="M62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45975</v>
      </c>
    </row>
    <row r="624" spans="1:13" x14ac:dyDescent="0.3">
      <c r="A624" t="str">
        <f t="shared" si="9"/>
        <v>T0623</v>
      </c>
      <c r="B624" s="1">
        <v>45963</v>
      </c>
      <c r="C624" t="str" cm="1">
        <f t="array" aca="1" ref="C624" ca="1">IF($O$7="Desbloqueado",
  _xlfn.LET(
    _xlpm.saldo_atual, SUM(($C$2:$C623="Entrada")*($F$2:$F623=Tabela_Movimentacao_Geral[[#This Row],[ID Produto]])*($H$2:$H623) - ($C$2:$C623="Saida")*($F$2:$F623=Tabela_Movimentacao_Geral[[#This Row],[ID Produto]])*($H$2:$H623)),
    IF(_xlpm.saldo_atual &gt; 0, IF(RANDBETWEEN(0,10)&gt;3,"Saida","Entrada"), "Entrada")
  ),
  Tabela_Movimentacao_Geral[[#This Row],[Tipo Fluxo]]
)</f>
        <v>Saida</v>
      </c>
      <c r="D6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6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624" t="str">
        <f ca="1">IF(
  $O$7="Desbloqueado",
  "PROD"&amp;TEXT(RANDBETWEEN(1,200),"000"),
  Tabela_Movimentacao_Geral[[#This Row],[ID Produto]]
)</f>
        <v>PROD181</v>
      </c>
      <c r="G624" t="str">
        <f ca="1">_xlfn.XLOOKUP(Tabela_Movimentacao_Geral[[#This Row],[ID Produto]], Tabela_Produtos[ID_Produto],Tabela_Produtos[Descricao_Produto],"Produto não encontrado")</f>
        <v>Servidor Tower i3 16GB</v>
      </c>
      <c r="H624" cm="1">
        <f t="array" aca="1" ref="H624" ca="1">IF(
   $O$7="Desbloqueado",
   _xlfn.LET(
     _xlpm.saldo_atual, SUM(($C$2:$C623="Entrada")*($F$2:$F623=Tabela_Movimentacao_Geral[[#This Row],[ID Produto]])*($H$2:$H623) - ($C$2:$C623="Saida")*($F$2:$F623=Tabela_Movimentacao_Geral[[#This Row],[ID Produto]])*($H$2:$H623)),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624" s="5">
        <f ca="1">_xlfn.XLOOKUP(Tabela_Movimentacao_Geral[[#This Row],[ID Produto]], Tabela_Produtos[ID_Produto],Tabela_Produtos[Preco_Unitario_Venda])</f>
        <v>6500</v>
      </c>
      <c r="J624" s="6">
        <f ca="1">Tabela_Movimentacao_Geral[[#This Row],[Quantidade]] * Tabela_Movimentacao_Geral[[#This Row],[Valor Unitário]]</f>
        <v>130000</v>
      </c>
      <c r="K624" t="str">
        <f ca="1">IF(
   $O$7="Desbloqueado",
   CHOOSE(RANDBETWEEN(1,3),"Pago","Pendente","Atrasado"),
   Tabela_Movimentacao_Geral[[#This Row],[Status Financeiro]]
)</f>
        <v>Atrasado</v>
      </c>
      <c r="L624" t="str">
        <f ca="1">IF(
   $O$7="Desbloqueado",
   CHOOSE(RANDBETWEEN(1,3),"Entregue","Em Rota","Aguardando"),
   Tabela_Movimentacao_Geral[[#This Row],[Status Logistico]]
)</f>
        <v>Em Rota</v>
      </c>
      <c r="M62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25" spans="1:13" x14ac:dyDescent="0.3">
      <c r="A625" t="str">
        <f t="shared" si="9"/>
        <v>T0624</v>
      </c>
      <c r="B625" s="1">
        <v>45964</v>
      </c>
      <c r="C625" t="str" cm="1">
        <f t="array" aca="1" ref="C625" ca="1">IF($O$7="Desbloqueado",
  _xlfn.LET(
    _xlpm.saldo_atual, SUM(($C$2:$C624="Entrada")*($F$2:$F624=Tabela_Movimentacao_Geral[[#This Row],[ID Produto]])*($H$2:$H624) - ($C$2:$C624="Saida")*($F$2:$F624=Tabela_Movimentacao_Geral[[#This Row],[ID Produto]])*($H$2:$H624)),
    IF(_xlpm.saldo_atual &gt; 0, IF(RANDBETWEEN(0,10)&gt;3,"Saida","Entrada"), "Entrada")
  ),
  Tabela_Movimentacao_Geral[[#This Row],[Tipo Fluxo]]
)</f>
        <v>Saida</v>
      </c>
      <c r="D6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6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625" t="str">
        <f ca="1">IF(
  $O$7="Desbloqueado",
  "PROD"&amp;TEXT(RANDBETWEEN(1,200),"000"),
  Tabela_Movimentacao_Geral[[#This Row],[ID Produto]]
)</f>
        <v>PROD071</v>
      </c>
      <c r="G625" t="str">
        <f ca="1">_xlfn.XLOOKUP(Tabela_Movimentacao_Geral[[#This Row],[ID Produto]], Tabela_Produtos[ID_Produto],Tabela_Produtos[Descricao_Produto],"Produto não encontrado")</f>
        <v>Bloco Auto-Adesivo 76x76</v>
      </c>
      <c r="H625" cm="1">
        <f t="array" aca="1" ref="H625" ca="1">IF(
   $O$7="Desbloqueado",
   _xlfn.LET(
     _xlpm.saldo_atual, SUM(($C$2:$C624="Entrada")*($F$2:$F624=Tabela_Movimentacao_Geral[[#This Row],[ID Produto]])*($H$2:$H624) - ($C$2:$C624="Saida")*($F$2:$F624=Tabela_Movimentacao_Geral[[#This Row],[ID Produto]])*($H$2:$H624)),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67</v>
      </c>
      <c r="I625" s="5">
        <f ca="1">_xlfn.XLOOKUP(Tabela_Movimentacao_Geral[[#This Row],[ID Produto]], Tabela_Produtos[ID_Produto],Tabela_Produtos[Preco_Unitario_Venda])</f>
        <v>8.5</v>
      </c>
      <c r="J625" s="6">
        <f ca="1">Tabela_Movimentacao_Geral[[#This Row],[Quantidade]] * Tabela_Movimentacao_Geral[[#This Row],[Valor Unitário]]</f>
        <v>569.5</v>
      </c>
      <c r="K625" t="str">
        <f ca="1">IF(
   $O$7="Desbloqueado",
   CHOOSE(RANDBETWEEN(1,3),"Pago","Pendente","Atrasado"),
   Tabela_Movimentacao_Geral[[#This Row],[Status Financeiro]]
)</f>
        <v>Pendente</v>
      </c>
      <c r="L625" t="str">
        <f ca="1">IF(
   $O$7="Desbloqueado",
   CHOOSE(RANDBETWEEN(1,3),"Entregue","Em Rota","Aguardando"),
   Tabela_Movimentacao_Geral[[#This Row],[Status Logistico]]
)</f>
        <v>Em Rota</v>
      </c>
      <c r="M62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26" spans="1:13" x14ac:dyDescent="0.3">
      <c r="A626" t="str">
        <f t="shared" si="9"/>
        <v>T0625</v>
      </c>
      <c r="B626" s="1">
        <v>45964</v>
      </c>
      <c r="C626" t="str" cm="1">
        <f t="array" aca="1" ref="C626" ca="1">IF($O$7="Desbloqueado",
  _xlfn.LET(
    _xlpm.saldo_atual, SUM(($C$2:$C625="Entrada")*($F$2:$F625=Tabela_Movimentacao_Geral[[#This Row],[ID Produto]])*($H$2:$H625) - ($C$2:$C625="Saida")*($F$2:$F625=Tabela_Movimentacao_Geral[[#This Row],[ID Produto]])*($H$2:$H625)),
    IF(_xlpm.saldo_atual &gt; 0, IF(RANDBETWEEN(0,10)&gt;3,"Saida","Entrada"), "Entrada")
  ),
  Tabela_Movimentacao_Geral[[#This Row],[Tipo Fluxo]]
)</f>
        <v>Entrada</v>
      </c>
      <c r="D6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6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626" t="str">
        <f ca="1">IF(
  $O$7="Desbloqueado",
  "PROD"&amp;TEXT(RANDBETWEEN(1,200),"000"),
  Tabela_Movimentacao_Geral[[#This Row],[ID Produto]]
)</f>
        <v>PROD138</v>
      </c>
      <c r="G626" t="str">
        <f ca="1">_xlfn.XLOOKUP(Tabela_Movimentacao_Geral[[#This Row],[ID Produto]], Tabela_Produtos[ID_Produto],Tabela_Produtos[Descricao_Produto],"Produto não encontrado")</f>
        <v>Placa Mae B550M</v>
      </c>
      <c r="H626" cm="1">
        <f t="array" aca="1" ref="H626" ca="1">IF(
   $O$7="Desbloqueado",
   _xlfn.LET(
     _xlpm.saldo_atual, SUM(($C$2:$C625="Entrada")*($F$2:$F625=Tabela_Movimentacao_Geral[[#This Row],[ID Produto]])*($H$2:$H625) - ($C$2:$C625="Saida")*($F$2:$F625=Tabela_Movimentacao_Geral[[#This Row],[ID Produto]])*($H$2:$H625)),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626" s="5">
        <f ca="1">_xlfn.XLOOKUP(Tabela_Movimentacao_Geral[[#This Row],[ID Produto]], Tabela_Produtos[ID_Produto],Tabela_Produtos[Preco_Unitario_Venda])</f>
        <v>850</v>
      </c>
      <c r="J626" s="6">
        <f ca="1">Tabela_Movimentacao_Geral[[#This Row],[Quantidade]] * Tabela_Movimentacao_Geral[[#This Row],[Valor Unitário]]</f>
        <v>51850</v>
      </c>
      <c r="K626" t="str">
        <f ca="1">IF(
   $O$7="Desbloqueado",
   CHOOSE(RANDBETWEEN(1,3),"Pago","Pendente","Atrasado"),
   Tabela_Movimentacao_Geral[[#This Row],[Status Financeiro]]
)</f>
        <v>Pago</v>
      </c>
      <c r="L626" t="str">
        <f ca="1">IF(
   $O$7="Desbloqueado",
   CHOOSE(RANDBETWEEN(1,3),"Entregue","Em Rota","Aguardando"),
   Tabela_Movimentacao_Geral[[#This Row],[Status Logistico]]
)</f>
        <v>Entregue</v>
      </c>
      <c r="M62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45966</v>
      </c>
    </row>
    <row r="627" spans="1:13" x14ac:dyDescent="0.3">
      <c r="A627" t="str">
        <f t="shared" si="9"/>
        <v>T0626</v>
      </c>
      <c r="B627" s="1">
        <v>45964</v>
      </c>
      <c r="C627" t="str" cm="1">
        <f t="array" aca="1" ref="C627" ca="1">IF($O$7="Desbloqueado",
  _xlfn.LET(
    _xlpm.saldo_atual, SUM(($C$2:$C626="Entrada")*($F$2:$F626=Tabela_Movimentacao_Geral[[#This Row],[ID Produto]])*($H$2:$H626) - ($C$2:$C626="Saida")*($F$2:$F626=Tabela_Movimentacao_Geral[[#This Row],[ID Produto]])*($H$2:$H626)),
    IF(_xlpm.saldo_atual &gt; 0, IF(RANDBETWEEN(0,10)&gt;3,"Saida","Entrada"), "Entrada")
  ),
  Tabela_Movimentacao_Geral[[#This Row],[Tipo Fluxo]]
)</f>
        <v>Saida</v>
      </c>
      <c r="D6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6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627" t="str">
        <f ca="1">IF(
  $O$7="Desbloqueado",
  "PROD"&amp;TEXT(RANDBETWEEN(1,200),"000"),
  Tabela_Movimentacao_Geral[[#This Row],[ID Produto]]
)</f>
        <v>PROD017</v>
      </c>
      <c r="G627" t="str">
        <f ca="1">_xlfn.XLOOKUP(Tabela_Movimentacao_Geral[[#This Row],[ID Produto]], Tabela_Produtos[ID_Produto],Tabela_Produtos[Descricao_Produto],"Produto não encontrado")</f>
        <v>Adaptador USB-C para HDMI</v>
      </c>
      <c r="H627" cm="1">
        <f t="array" aca="1" ref="H627" ca="1">IF(
   $O$7="Desbloqueado",
   _xlfn.LET(
     _xlpm.saldo_atual, SUM(($C$2:$C626="Entrada")*($F$2:$F626=Tabela_Movimentacao_Geral[[#This Row],[ID Produto]])*($H$2:$H626) - ($C$2:$C626="Saida")*($F$2:$F626=Tabela_Movimentacao_Geral[[#This Row],[ID Produto]])*($H$2:$H626)),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627" s="5">
        <f ca="1">_xlfn.XLOOKUP(Tabela_Movimentacao_Geral[[#This Row],[ID Produto]], Tabela_Produtos[ID_Produto],Tabela_Produtos[Preco_Unitario_Venda])</f>
        <v>130</v>
      </c>
      <c r="J627" s="6">
        <f ca="1">Tabela_Movimentacao_Geral[[#This Row],[Quantidade]] * Tabela_Movimentacao_Geral[[#This Row],[Valor Unitário]]</f>
        <v>520</v>
      </c>
      <c r="K627" t="str">
        <f ca="1">IF(
   $O$7="Desbloqueado",
   CHOOSE(RANDBETWEEN(1,3),"Pago","Pendente","Atrasado"),
   Tabela_Movimentacao_Geral[[#This Row],[Status Financeiro]]
)</f>
        <v>Atrasado</v>
      </c>
      <c r="L627" t="str">
        <f ca="1">IF(
   $O$7="Desbloqueado",
   CHOOSE(RANDBETWEEN(1,3),"Entregue","Em Rota","Aguardando"),
   Tabela_Movimentacao_Geral[[#This Row],[Status Logistico]]
)</f>
        <v>Em Rota</v>
      </c>
      <c r="M62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28" spans="1:13" x14ac:dyDescent="0.3">
      <c r="A628" t="str">
        <f t="shared" si="9"/>
        <v>T0627</v>
      </c>
      <c r="B628" s="1">
        <v>45965</v>
      </c>
      <c r="C628" t="str" cm="1">
        <f t="array" aca="1" ref="C628" ca="1">IF($O$7="Desbloqueado",
  _xlfn.LET(
    _xlpm.saldo_atual, SUM(($C$2:$C627="Entrada")*($F$2:$F627=Tabela_Movimentacao_Geral[[#This Row],[ID Produto]])*($H$2:$H627) - ($C$2:$C627="Saida")*($F$2:$F627=Tabela_Movimentacao_Geral[[#This Row],[ID Produto]])*($H$2:$H627)),
    IF(_xlpm.saldo_atual &gt; 0, IF(RANDBETWEEN(0,10)&gt;3,"Saida","Entrada"), "Entrada")
  ),
  Tabela_Movimentacao_Geral[[#This Row],[Tipo Fluxo]]
)</f>
        <v>Entrada</v>
      </c>
      <c r="D6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28" t="str">
        <f ca="1">IF(
  $O$7="Desbloqueado",
  "PROD"&amp;TEXT(RANDBETWEEN(1,200),"000"),
  Tabela_Movimentacao_Geral[[#This Row],[ID Produto]]
)</f>
        <v>PROD099</v>
      </c>
      <c r="G628" t="str">
        <f ca="1">_xlfn.XLOOKUP(Tabela_Movimentacao_Geral[[#This Row],[ID Produto]], Tabela_Produtos[ID_Produto],Tabela_Produtos[Descricao_Produto],"Produto não encontrado")</f>
        <v>HD SkyHawk 4TB (CFTV)</v>
      </c>
      <c r="H628" cm="1">
        <f t="array" aca="1" ref="H628" ca="1">IF(
   $O$7="Desbloqueado",
   _xlfn.LET(
     _xlpm.saldo_atual, SUM(($C$2:$C627="Entrada")*($F$2:$F627=Tabela_Movimentacao_Geral[[#This Row],[ID Produto]])*($H$2:$H627) - ($C$2:$C627="Saida")*($F$2:$F627=Tabela_Movimentacao_Geral[[#This Row],[ID Produto]])*($H$2:$H627)),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90</v>
      </c>
      <c r="I628" s="5">
        <f ca="1">_xlfn.XLOOKUP(Tabela_Movimentacao_Geral[[#This Row],[ID Produto]], Tabela_Produtos[ID_Produto],Tabela_Produtos[Preco_Unitario_Venda])</f>
        <v>750</v>
      </c>
      <c r="J628" s="6">
        <f ca="1">Tabela_Movimentacao_Geral[[#This Row],[Quantidade]] * Tabela_Movimentacao_Geral[[#This Row],[Valor Unitário]]</f>
        <v>67500</v>
      </c>
      <c r="K628" t="str">
        <f ca="1">IF(
   $O$7="Desbloqueado",
   CHOOSE(RANDBETWEEN(1,3),"Pago","Pendente","Atrasado"),
   Tabela_Movimentacao_Geral[[#This Row],[Status Financeiro]]
)</f>
        <v>Atrasado</v>
      </c>
      <c r="L628" t="str">
        <f ca="1">IF(
   $O$7="Desbloqueado",
   CHOOSE(RANDBETWEEN(1,3),"Entregue","Em Rota","Aguardando"),
   Tabela_Movimentacao_Geral[[#This Row],[Status Logistico]]
)</f>
        <v>Entregue</v>
      </c>
      <c r="M62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45966</v>
      </c>
    </row>
    <row r="629" spans="1:13" x14ac:dyDescent="0.3">
      <c r="A629" t="str">
        <f t="shared" si="9"/>
        <v>T0628</v>
      </c>
      <c r="B629" s="1">
        <v>45965</v>
      </c>
      <c r="C629" t="str" cm="1">
        <f t="array" aca="1" ref="C629" ca="1">IF($O$7="Desbloqueado",
  _xlfn.LET(
    _xlpm.saldo_atual, SUM(($C$2:$C628="Entrada")*($F$2:$F628=Tabela_Movimentacao_Geral[[#This Row],[ID Produto]])*($H$2:$H628) - ($C$2:$C628="Saida")*($F$2:$F628=Tabela_Movimentacao_Geral[[#This Row],[ID Produto]])*($H$2:$H628)),
    IF(_xlpm.saldo_atual &gt; 0, IF(RANDBETWEEN(0,10)&gt;3,"Saida","Entrada"), "Entrada")
  ),
  Tabela_Movimentacao_Geral[[#This Row],[Tipo Fluxo]]
)</f>
        <v>Saida</v>
      </c>
      <c r="D6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6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629" t="str">
        <f ca="1">IF(
  $O$7="Desbloqueado",
  "PROD"&amp;TEXT(RANDBETWEEN(1,200),"000"),
  Tabela_Movimentacao_Geral[[#This Row],[ID Produto]]
)</f>
        <v>PROD042</v>
      </c>
      <c r="G629" t="str">
        <f ca="1">_xlfn.XLOOKUP(Tabela_Movimentacao_Geral[[#This Row],[ID Produto]], Tabela_Produtos[ID_Produto],Tabela_Produtos[Descricao_Produto],"Produto não encontrado")</f>
        <v>Docking Station Universal</v>
      </c>
      <c r="H629" cm="1">
        <f t="array" aca="1" ref="H629" ca="1">IF(
   $O$7="Desbloqueado",
   _xlfn.LET(
     _xlpm.saldo_atual, SUM(($C$2:$C628="Entrada")*($F$2:$F628=Tabela_Movimentacao_Geral[[#This Row],[ID Produto]])*($H$2:$H628) - ($C$2:$C628="Saida")*($F$2:$F628=Tabela_Movimentacao_Geral[[#This Row],[ID Produto]])*($H$2:$H628)),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629" s="5">
        <f ca="1">_xlfn.XLOOKUP(Tabela_Movimentacao_Geral[[#This Row],[ID Produto]], Tabela_Produtos[ID_Produto],Tabela_Produtos[Preco_Unitario_Venda])</f>
        <v>890</v>
      </c>
      <c r="J629" s="6">
        <f ca="1">Tabela_Movimentacao_Geral[[#This Row],[Quantidade]] * Tabela_Movimentacao_Geral[[#This Row],[Valor Unitário]]</f>
        <v>10680</v>
      </c>
      <c r="K629" t="str">
        <f ca="1">IF(
   $O$7="Desbloqueado",
   CHOOSE(RANDBETWEEN(1,3),"Pago","Pendente","Atrasado"),
   Tabela_Movimentacao_Geral[[#This Row],[Status Financeiro]]
)</f>
        <v>Pendente</v>
      </c>
      <c r="L629" t="str">
        <f ca="1">IF(
   $O$7="Desbloqueado",
   CHOOSE(RANDBETWEEN(1,3),"Entregue","Em Rota","Aguardando"),
   Tabela_Movimentacao_Geral[[#This Row],[Status Logistico]]
)</f>
        <v>Aguardando</v>
      </c>
      <c r="M62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30" spans="1:13" x14ac:dyDescent="0.3">
      <c r="A630" t="str">
        <f t="shared" si="9"/>
        <v>T0629</v>
      </c>
      <c r="B630" s="1">
        <v>45965</v>
      </c>
      <c r="C630" t="str" cm="1">
        <f t="array" aca="1" ref="C630" ca="1">IF($O$7="Desbloqueado",
  _xlfn.LET(
    _xlpm.saldo_atual, SUM(($C$2:$C629="Entrada")*($F$2:$F629=Tabela_Movimentacao_Geral[[#This Row],[ID Produto]])*($H$2:$H629) - ($C$2:$C629="Saida")*($F$2:$F629=Tabela_Movimentacao_Geral[[#This Row],[ID Produto]])*($H$2:$H629)),
    IF(_xlpm.saldo_atual &gt; 0, IF(RANDBETWEEN(0,10)&gt;3,"Saida","Entrada"), "Entrada")
  ),
  Tabela_Movimentacao_Geral[[#This Row],[Tipo Fluxo]]
)</f>
        <v>Entrada</v>
      </c>
      <c r="D6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30" t="str">
        <f ca="1">IF(
  $O$7="Desbloqueado",
  "PROD"&amp;TEXT(RANDBETWEEN(1,200),"000"),
  Tabela_Movimentacao_Geral[[#This Row],[ID Produto]]
)</f>
        <v>PROD047</v>
      </c>
      <c r="G630" t="str">
        <f ca="1">_xlfn.XLOOKUP(Tabela_Movimentacao_Geral[[#This Row],[ID Produto]], Tabela_Produtos[ID_Produto],Tabela_Produtos[Descricao_Produto],"Produto não encontrado")</f>
        <v>Etiquetadora Termica</v>
      </c>
      <c r="H630" cm="1">
        <f t="array" aca="1" ref="H630" ca="1">IF(
   $O$7="Desbloqueado",
   _xlfn.LET(
     _xlpm.saldo_atual, SUM(($C$2:$C629="Entrada")*($F$2:$F629=Tabela_Movimentacao_Geral[[#This Row],[ID Produto]])*($H$2:$H629) - ($C$2:$C629="Saida")*($F$2:$F629=Tabela_Movimentacao_Geral[[#This Row],[ID Produto]])*($H$2:$H629)),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630" s="5">
        <f ca="1">_xlfn.XLOOKUP(Tabela_Movimentacao_Geral[[#This Row],[ID Produto]], Tabela_Produtos[ID_Produto],Tabela_Produtos[Preco_Unitario_Venda])</f>
        <v>420</v>
      </c>
      <c r="J630" s="6">
        <f ca="1">Tabela_Movimentacao_Geral[[#This Row],[Quantidade]] * Tabela_Movimentacao_Geral[[#This Row],[Valor Unitário]]</f>
        <v>3780</v>
      </c>
      <c r="K630" t="str">
        <f ca="1">IF(
   $O$7="Desbloqueado",
   CHOOSE(RANDBETWEEN(1,3),"Pago","Pendente","Atrasado"),
   Tabela_Movimentacao_Geral[[#This Row],[Status Financeiro]]
)</f>
        <v>Pendente</v>
      </c>
      <c r="L630" t="str">
        <f ca="1">IF(
   $O$7="Desbloqueado",
   CHOOSE(RANDBETWEEN(1,3),"Entregue","Em Rota","Aguardando"),
   Tabela_Movimentacao_Geral[[#This Row],[Status Logistico]]
)</f>
        <v>Aguardando</v>
      </c>
      <c r="M63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45966</v>
      </c>
    </row>
    <row r="631" spans="1:13" x14ac:dyDescent="0.3">
      <c r="A631" t="str">
        <f t="shared" si="9"/>
        <v>T0630</v>
      </c>
      <c r="B631" s="1">
        <v>45965</v>
      </c>
      <c r="C631" t="str" cm="1">
        <f t="array" aca="1" ref="C631" ca="1">IF($O$7="Desbloqueado",
  _xlfn.LET(
    _xlpm.saldo_atual, SUM(($C$2:$C630="Entrada")*($F$2:$F630=Tabela_Movimentacao_Geral[[#This Row],[ID Produto]])*($H$2:$H630) - ($C$2:$C630="Saida")*($F$2:$F630=Tabela_Movimentacao_Geral[[#This Row],[ID Produto]])*($H$2:$H630)),
    IF(_xlpm.saldo_atual &gt; 0, IF(RANDBETWEEN(0,10)&gt;3,"Saida","Entrada"), "Entrada")
  ),
  Tabela_Movimentacao_Geral[[#This Row],[Tipo Fluxo]]
)</f>
        <v>Saida</v>
      </c>
      <c r="D6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6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631" t="str">
        <f ca="1">IF(
  $O$7="Desbloqueado",
  "PROD"&amp;TEXT(RANDBETWEEN(1,200),"000"),
  Tabela_Movimentacao_Geral[[#This Row],[ID Produto]]
)</f>
        <v>PROD031</v>
      </c>
      <c r="G631" t="str">
        <f ca="1">_xlfn.XLOOKUP(Tabela_Movimentacao_Geral[[#This Row],[ID Produto]], Tabela_Produtos[ID_Produto],Tabela_Produtos[Descricao_Produto],"Produto não encontrado")</f>
        <v>Nobreak 1500VA Biz</v>
      </c>
      <c r="H631" cm="1">
        <f t="array" aca="1" ref="H631" ca="1">IF(
   $O$7="Desbloqueado",
   _xlfn.LET(
     _xlpm.saldo_atual, SUM(($C$2:$C630="Entrada")*($F$2:$F630=Tabela_Movimentacao_Geral[[#This Row],[ID Produto]])*($H$2:$H630) - ($C$2:$C630="Saida")*($F$2:$F630=Tabela_Movimentacao_Geral[[#This Row],[ID Produto]])*($H$2:$H630)),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631" s="5">
        <f ca="1">_xlfn.XLOOKUP(Tabela_Movimentacao_Geral[[#This Row],[ID Produto]], Tabela_Produtos[ID_Produto],Tabela_Produtos[Preco_Unitario_Venda])</f>
        <v>1450</v>
      </c>
      <c r="J631" s="6">
        <f ca="1">Tabela_Movimentacao_Geral[[#This Row],[Quantidade]] * Tabela_Movimentacao_Geral[[#This Row],[Valor Unitário]]</f>
        <v>2900</v>
      </c>
      <c r="K631" t="str">
        <f ca="1">IF(
   $O$7="Desbloqueado",
   CHOOSE(RANDBETWEEN(1,3),"Pago","Pendente","Atrasado"),
   Tabela_Movimentacao_Geral[[#This Row],[Status Financeiro]]
)</f>
        <v>Atrasado</v>
      </c>
      <c r="L631" t="str">
        <f ca="1">IF(
   $O$7="Desbloqueado",
   CHOOSE(RANDBETWEEN(1,3),"Entregue","Em Rota","Aguardando"),
   Tabela_Movimentacao_Geral[[#This Row],[Status Logistico]]
)</f>
        <v>Entregue</v>
      </c>
      <c r="M63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32" spans="1:13" x14ac:dyDescent="0.3">
      <c r="A632" t="str">
        <f t="shared" si="9"/>
        <v>T0631</v>
      </c>
      <c r="B632" s="1">
        <v>45965</v>
      </c>
      <c r="C632" t="str" cm="1">
        <f t="array" aca="1" ref="C632" ca="1">IF($O$7="Desbloqueado",
  _xlfn.LET(
    _xlpm.saldo_atual, SUM(($C$2:$C631="Entrada")*($F$2:$F631=Tabela_Movimentacao_Geral[[#This Row],[ID Produto]])*($H$2:$H631) - ($C$2:$C631="Saida")*($F$2:$F631=Tabela_Movimentacao_Geral[[#This Row],[ID Produto]])*($H$2:$H631)),
    IF(_xlpm.saldo_atual &gt; 0, IF(RANDBETWEEN(0,10)&gt;3,"Saida","Entrada"), "Entrada")
  ),
  Tabela_Movimentacao_Geral[[#This Row],[Tipo Fluxo]]
)</f>
        <v>Entrada</v>
      </c>
      <c r="D6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6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632" t="str">
        <f ca="1">IF(
  $O$7="Desbloqueado",
  "PROD"&amp;TEXT(RANDBETWEEN(1,200),"000"),
  Tabela_Movimentacao_Geral[[#This Row],[ID Produto]]
)</f>
        <v>PROD069</v>
      </c>
      <c r="G632" t="str">
        <f ca="1">_xlfn.XLOOKUP(Tabela_Movimentacao_Geral[[#This Row],[ID Produto]], Tabela_Produtos[ID_Produto],Tabela_Produtos[Descricao_Produto],"Produto não encontrado")</f>
        <v>Apagador para Quadro</v>
      </c>
      <c r="H632" cm="1">
        <f t="array" aca="1" ref="H632" ca="1">IF(
   $O$7="Desbloqueado",
   _xlfn.LET(
     _xlpm.saldo_atual, SUM(($C$2:$C631="Entrada")*($F$2:$F631=Tabela_Movimentacao_Geral[[#This Row],[ID Produto]])*($H$2:$H631) - ($C$2:$C631="Saida")*($F$2:$F631=Tabela_Movimentacao_Geral[[#This Row],[ID Produto]])*($H$2:$H631)),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125</v>
      </c>
      <c r="I632" s="5">
        <f ca="1">_xlfn.XLOOKUP(Tabela_Movimentacao_Geral[[#This Row],[ID Produto]], Tabela_Produtos[ID_Produto],Tabela_Produtos[Preco_Unitario_Venda])</f>
        <v>15</v>
      </c>
      <c r="J632" s="6">
        <f ca="1">Tabela_Movimentacao_Geral[[#This Row],[Quantidade]] * Tabela_Movimentacao_Geral[[#This Row],[Valor Unitário]]</f>
        <v>1875</v>
      </c>
      <c r="K632" t="str">
        <f ca="1">IF(
   $O$7="Desbloqueado",
   CHOOSE(RANDBETWEEN(1,3),"Pago","Pendente","Atrasado"),
   Tabela_Movimentacao_Geral[[#This Row],[Status Financeiro]]
)</f>
        <v>Atrasado</v>
      </c>
      <c r="L632" t="str">
        <f ca="1">IF(
   $O$7="Desbloqueado",
   CHOOSE(RANDBETWEEN(1,3),"Entregue","Em Rota","Aguardando"),
   Tabela_Movimentacao_Geral[[#This Row],[Status Logistico]]
)</f>
        <v>Entregue</v>
      </c>
      <c r="M63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45966</v>
      </c>
    </row>
    <row r="633" spans="1:13" x14ac:dyDescent="0.3">
      <c r="A633" t="str">
        <f t="shared" si="9"/>
        <v>T0632</v>
      </c>
      <c r="B633" s="1">
        <v>45966</v>
      </c>
      <c r="C633" t="str" cm="1">
        <f t="array" aca="1" ref="C633" ca="1">IF($O$7="Desbloqueado",
  _xlfn.LET(
    _xlpm.saldo_atual, SUM(($C$2:$C632="Entrada")*($F$2:$F632=Tabela_Movimentacao_Geral[[#This Row],[ID Produto]])*($H$2:$H632) - ($C$2:$C632="Saida")*($F$2:$F632=Tabela_Movimentacao_Geral[[#This Row],[ID Produto]])*($H$2:$H632)),
    IF(_xlpm.saldo_atual &gt; 0, IF(RANDBETWEEN(0,10)&gt;3,"Saida","Entrada"), "Entrada")
  ),
  Tabela_Movimentacao_Geral[[#This Row],[Tipo Fluxo]]
)</f>
        <v>Saida</v>
      </c>
      <c r="D6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6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633" t="str">
        <f ca="1">IF(
  $O$7="Desbloqueado",
  "PROD"&amp;TEXT(RANDBETWEEN(1,200),"000"),
  Tabela_Movimentacao_Geral[[#This Row],[ID Produto]]
)</f>
        <v>PROD105</v>
      </c>
      <c r="G633" t="str">
        <f ca="1">_xlfn.XLOOKUP(Tabela_Movimentacao_Geral[[#This Row],[ID Produto]], Tabela_Produtos[ID_Produto],Tabela_Produtos[Descricao_Produto],"Produto não encontrado")</f>
        <v>Notebook i3 8GB SSD</v>
      </c>
      <c r="H633" cm="1">
        <f t="array" aca="1" ref="H633" ca="1">IF(
   $O$7="Desbloqueado",
   _xlfn.LET(
     _xlpm.saldo_atual, SUM(($C$2:$C632="Entrada")*($F$2:$F632=Tabela_Movimentacao_Geral[[#This Row],[ID Produto]])*($H$2:$H632) - ($C$2:$C632="Saida")*($F$2:$F632=Tabela_Movimentacao_Geral[[#This Row],[ID Produto]])*($H$2:$H632)),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633" s="5">
        <f ca="1">_xlfn.XLOOKUP(Tabela_Movimentacao_Geral[[#This Row],[ID Produto]], Tabela_Produtos[ID_Produto],Tabela_Produtos[Preco_Unitario_Venda])</f>
        <v>2600</v>
      </c>
      <c r="J633" s="6">
        <f ca="1">Tabela_Movimentacao_Geral[[#This Row],[Quantidade]] * Tabela_Movimentacao_Geral[[#This Row],[Valor Unitário]]</f>
        <v>5200</v>
      </c>
      <c r="K633" t="str">
        <f ca="1">IF(
   $O$7="Desbloqueado",
   CHOOSE(RANDBETWEEN(1,3),"Pago","Pendente","Atrasado"),
   Tabela_Movimentacao_Geral[[#This Row],[Status Financeiro]]
)</f>
        <v>Pago</v>
      </c>
      <c r="L633" t="str">
        <f ca="1">IF(
   $O$7="Desbloqueado",
   CHOOSE(RANDBETWEEN(1,3),"Entregue","Em Rota","Aguardando"),
   Tabela_Movimentacao_Geral[[#This Row],[Status Logistico]]
)</f>
        <v>Entregue</v>
      </c>
      <c r="M63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34" spans="1:13" x14ac:dyDescent="0.3">
      <c r="A634" t="str">
        <f t="shared" si="9"/>
        <v>T0633</v>
      </c>
      <c r="B634" s="1">
        <v>45966</v>
      </c>
      <c r="C634" t="str" cm="1">
        <f t="array" aca="1" ref="C634" ca="1">IF($O$7="Desbloqueado",
  _xlfn.LET(
    _xlpm.saldo_atual, SUM(($C$2:$C633="Entrada")*($F$2:$F633=Tabela_Movimentacao_Geral[[#This Row],[ID Produto]])*($H$2:$H633) - ($C$2:$C633="Saida")*($F$2:$F633=Tabela_Movimentacao_Geral[[#This Row],[ID Produto]])*($H$2:$H633)),
    IF(_xlpm.saldo_atual &gt; 0, IF(RANDBETWEEN(0,10)&gt;3,"Saida","Entrada"), "Entrada")
  ),
  Tabela_Movimentacao_Geral[[#This Row],[Tipo Fluxo]]
)</f>
        <v>Saida</v>
      </c>
      <c r="D6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6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634" t="str">
        <f ca="1">IF(
  $O$7="Desbloqueado",
  "PROD"&amp;TEXT(RANDBETWEEN(1,200),"000"),
  Tabela_Movimentacao_Geral[[#This Row],[ID Produto]]
)</f>
        <v>PROD160</v>
      </c>
      <c r="G634" t="str">
        <f ca="1">_xlfn.XLOOKUP(Tabela_Movimentacao_Geral[[#This Row],[ID Produto]], Tabela_Produtos[ID_Produto],Tabela_Produtos[Descricao_Produto],"Produto não encontrado")</f>
        <v>Alfinete para Quadro 50un</v>
      </c>
      <c r="H634" cm="1">
        <f t="array" aca="1" ref="H634" ca="1">IF(
   $O$7="Desbloqueado",
   _xlfn.LET(
     _xlpm.saldo_atual, SUM(($C$2:$C633="Entrada")*($F$2:$F633=Tabela_Movimentacao_Geral[[#This Row],[ID Produto]])*($H$2:$H633) - ($C$2:$C633="Saida")*($F$2:$F633=Tabela_Movimentacao_Geral[[#This Row],[ID Produto]])*($H$2:$H633)),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220</v>
      </c>
      <c r="I634" s="5">
        <f ca="1">_xlfn.XLOOKUP(Tabela_Movimentacao_Geral[[#This Row],[ID Produto]], Tabela_Produtos[ID_Produto],Tabela_Produtos[Preco_Unitario_Venda])</f>
        <v>9</v>
      </c>
      <c r="J634" s="6">
        <f ca="1">Tabela_Movimentacao_Geral[[#This Row],[Quantidade]] * Tabela_Movimentacao_Geral[[#This Row],[Valor Unitário]]</f>
        <v>1980</v>
      </c>
      <c r="K634" t="str">
        <f ca="1">IF(
   $O$7="Desbloqueado",
   CHOOSE(RANDBETWEEN(1,3),"Pago","Pendente","Atrasado"),
   Tabela_Movimentacao_Geral[[#This Row],[Status Financeiro]]
)</f>
        <v>Pago</v>
      </c>
      <c r="L634" t="str">
        <f ca="1">IF(
   $O$7="Desbloqueado",
   CHOOSE(RANDBETWEEN(1,3),"Entregue","Em Rota","Aguardando"),
   Tabela_Movimentacao_Geral[[#This Row],[Status Logistico]]
)</f>
        <v>Em Rota</v>
      </c>
      <c r="M6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35" spans="1:13" x14ac:dyDescent="0.3">
      <c r="A635" t="str">
        <f t="shared" si="9"/>
        <v>T0634</v>
      </c>
      <c r="B635" s="1">
        <v>45966</v>
      </c>
      <c r="C635" t="str" cm="1">
        <f t="array" aca="1" ref="C635" ca="1">IF($O$7="Desbloqueado",
  _xlfn.LET(
    _xlpm.saldo_atual, SUM(($C$2:$C634="Entrada")*($F$2:$F634=Tabela_Movimentacao_Geral[[#This Row],[ID Produto]])*($H$2:$H634) - ($C$2:$C634="Saida")*($F$2:$F634=Tabela_Movimentacao_Geral[[#This Row],[ID Produto]])*($H$2:$H634)),
    IF(_xlpm.saldo_atual &gt; 0, IF(RANDBETWEEN(0,10)&gt;3,"Saida","Entrada"), "Entrada")
  ),
  Tabela_Movimentacao_Geral[[#This Row],[Tipo Fluxo]]
)</f>
        <v>Saida</v>
      </c>
      <c r="D6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6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635" t="str">
        <f ca="1">IF(
  $O$7="Desbloqueado",
  "PROD"&amp;TEXT(RANDBETWEEN(1,200),"000"),
  Tabela_Movimentacao_Geral[[#This Row],[ID Produto]]
)</f>
        <v>PROD177</v>
      </c>
      <c r="G635" t="str">
        <f ca="1">_xlfn.XLOOKUP(Tabela_Movimentacao_Geral[[#This Row],[ID Produto]], Tabela_Produtos[ID_Produto],Tabela_Produtos[Descricao_Produto],"Produto não encontrado")</f>
        <v>Estante de Aco 6 Prateiras</v>
      </c>
      <c r="H635" cm="1">
        <f t="array" aca="1" ref="H635" ca="1">IF(
   $O$7="Desbloqueado",
   _xlfn.LET(
     _xlpm.saldo_atual, SUM(($C$2:$C634="Entrada")*($F$2:$F634=Tabela_Movimentacao_Geral[[#This Row],[ID Produto]])*($H$2:$H634) - ($C$2:$C634="Saida")*($F$2:$F634=Tabela_Movimentacao_Geral[[#This Row],[ID Produto]])*($H$2:$H634)),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635" s="5">
        <f ca="1">_xlfn.XLOOKUP(Tabela_Movimentacao_Geral[[#This Row],[ID Produto]], Tabela_Produtos[ID_Produto],Tabela_Produtos[Preco_Unitario_Venda])</f>
        <v>280</v>
      </c>
      <c r="J635" s="6">
        <f ca="1">Tabela_Movimentacao_Geral[[#This Row],[Quantidade]] * Tabela_Movimentacao_Geral[[#This Row],[Valor Unitário]]</f>
        <v>1680</v>
      </c>
      <c r="K635" t="str">
        <f ca="1">IF(
   $O$7="Desbloqueado",
   CHOOSE(RANDBETWEEN(1,3),"Pago","Pendente","Atrasado"),
   Tabela_Movimentacao_Geral[[#This Row],[Status Financeiro]]
)</f>
        <v>Pago</v>
      </c>
      <c r="L635" t="str">
        <f ca="1">IF(
   $O$7="Desbloqueado",
   CHOOSE(RANDBETWEEN(1,3),"Entregue","Em Rota","Aguardando"),
   Tabela_Movimentacao_Geral[[#This Row],[Status Logistico]]
)</f>
        <v>Entregue</v>
      </c>
      <c r="M63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36" spans="1:13" x14ac:dyDescent="0.3">
      <c r="A636" t="str">
        <f t="shared" si="9"/>
        <v>T0635</v>
      </c>
      <c r="B636" s="1">
        <v>45966</v>
      </c>
      <c r="C636" t="str" cm="1">
        <f t="array" aca="1" ref="C636" ca="1">IF($O$7="Desbloqueado",
  _xlfn.LET(
    _xlpm.saldo_atual, SUM(($C$2:$C635="Entrada")*($F$2:$F635=Tabela_Movimentacao_Geral[[#This Row],[ID Produto]])*($H$2:$H635) - ($C$2:$C635="Saida")*($F$2:$F635=Tabela_Movimentacao_Geral[[#This Row],[ID Produto]])*($H$2:$H635)),
    IF(_xlpm.saldo_atual &gt; 0, IF(RANDBETWEEN(0,10)&gt;3,"Saida","Entrada"), "Entrada")
  ),
  Tabela_Movimentacao_Geral[[#This Row],[Tipo Fluxo]]
)</f>
        <v>Saida</v>
      </c>
      <c r="D6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6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636" t="str">
        <f ca="1">IF(
  $O$7="Desbloqueado",
  "PROD"&amp;TEXT(RANDBETWEEN(1,200),"000"),
  Tabela_Movimentacao_Geral[[#This Row],[ID Produto]]
)</f>
        <v>PROD047</v>
      </c>
      <c r="G636" t="str">
        <f ca="1">_xlfn.XLOOKUP(Tabela_Movimentacao_Geral[[#This Row],[ID Produto]], Tabela_Produtos[ID_Produto],Tabela_Produtos[Descricao_Produto],"Produto não encontrado")</f>
        <v>Etiquetadora Termica</v>
      </c>
      <c r="H636" cm="1">
        <f t="array" aca="1" ref="H636" ca="1">IF(
   $O$7="Desbloqueado",
   _xlfn.LET(
     _xlpm.saldo_atual, SUM(($C$2:$C635="Entrada")*($F$2:$F635=Tabela_Movimentacao_Geral[[#This Row],[ID Produto]])*($H$2:$H635) - ($C$2:$C635="Saida")*($F$2:$F635=Tabela_Movimentacao_Geral[[#This Row],[ID Produto]])*($H$2:$H635)),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636" s="5">
        <f ca="1">_xlfn.XLOOKUP(Tabela_Movimentacao_Geral[[#This Row],[ID Produto]], Tabela_Produtos[ID_Produto],Tabela_Produtos[Preco_Unitario_Venda])</f>
        <v>420</v>
      </c>
      <c r="J636" s="6">
        <f ca="1">Tabela_Movimentacao_Geral[[#This Row],[Quantidade]] * Tabela_Movimentacao_Geral[[#This Row],[Valor Unitário]]</f>
        <v>5040</v>
      </c>
      <c r="K636" t="str">
        <f ca="1">IF(
   $O$7="Desbloqueado",
   CHOOSE(RANDBETWEEN(1,3),"Pago","Pendente","Atrasado"),
   Tabela_Movimentacao_Geral[[#This Row],[Status Financeiro]]
)</f>
        <v>Pago</v>
      </c>
      <c r="L636" t="str">
        <f ca="1">IF(
   $O$7="Desbloqueado",
   CHOOSE(RANDBETWEEN(1,3),"Entregue","Em Rota","Aguardando"),
   Tabela_Movimentacao_Geral[[#This Row],[Status Logistico]]
)</f>
        <v>Aguardando</v>
      </c>
      <c r="M63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37" spans="1:13" x14ac:dyDescent="0.3">
      <c r="A637" t="str">
        <f t="shared" si="9"/>
        <v>T0636</v>
      </c>
      <c r="B637" s="1">
        <v>45967</v>
      </c>
      <c r="C637" t="str" cm="1">
        <f t="array" aca="1" ref="C637" ca="1">IF($O$7="Desbloqueado",
  _xlfn.LET(
    _xlpm.saldo_atual, SUM(($C$2:$C636="Entrada")*($F$2:$F636=Tabela_Movimentacao_Geral[[#This Row],[ID Produto]])*($H$2:$H636) - ($C$2:$C636="Saida")*($F$2:$F636=Tabela_Movimentacao_Geral[[#This Row],[ID Produto]])*($H$2:$H636)),
    IF(_xlpm.saldo_atual &gt; 0, IF(RANDBETWEEN(0,10)&gt;3,"Saida","Entrada"), "Entrada")
  ),
  Tabela_Movimentacao_Geral[[#This Row],[Tipo Fluxo]]
)</f>
        <v>Entrada</v>
      </c>
      <c r="D6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6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637" t="str">
        <f ca="1">IF(
  $O$7="Desbloqueado",
  "PROD"&amp;TEXT(RANDBETWEEN(1,200),"000"),
  Tabela_Movimentacao_Geral[[#This Row],[ID Produto]]
)</f>
        <v>PROD042</v>
      </c>
      <c r="G637" t="str">
        <f ca="1">_xlfn.XLOOKUP(Tabela_Movimentacao_Geral[[#This Row],[ID Produto]], Tabela_Produtos[ID_Produto],Tabela_Produtos[Descricao_Produto],"Produto não encontrado")</f>
        <v>Docking Station Universal</v>
      </c>
      <c r="H637" cm="1">
        <f t="array" aca="1" ref="H637" ca="1">IF(
   $O$7="Desbloqueado",
   _xlfn.LET(
     _xlpm.saldo_atual, SUM(($C$2:$C636="Entrada")*($F$2:$F636=Tabela_Movimentacao_Geral[[#This Row],[ID Produto]])*($H$2:$H636) - ($C$2:$C636="Saida")*($F$2:$F636=Tabela_Movimentacao_Geral[[#This Row],[ID Produto]])*($H$2:$H636)),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637" s="5">
        <f ca="1">_xlfn.XLOOKUP(Tabela_Movimentacao_Geral[[#This Row],[ID Produto]], Tabela_Produtos[ID_Produto],Tabela_Produtos[Preco_Unitario_Venda])</f>
        <v>890</v>
      </c>
      <c r="J637" s="6">
        <f ca="1">Tabela_Movimentacao_Geral[[#This Row],[Quantidade]] * Tabela_Movimentacao_Geral[[#This Row],[Valor Unitário]]</f>
        <v>23140</v>
      </c>
      <c r="K637" t="str">
        <f ca="1">IF(
   $O$7="Desbloqueado",
   CHOOSE(RANDBETWEEN(1,3),"Pago","Pendente","Atrasado"),
   Tabela_Movimentacao_Geral[[#This Row],[Status Financeiro]]
)</f>
        <v>Pago</v>
      </c>
      <c r="L637" t="str">
        <f ca="1">IF(
   $O$7="Desbloqueado",
   CHOOSE(RANDBETWEEN(1,3),"Entregue","Em Rota","Aguardando"),
   Tabela_Movimentacao_Geral[[#This Row],[Status Logistico]]
)</f>
        <v>Em Rota</v>
      </c>
      <c r="M63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45968</v>
      </c>
    </row>
    <row r="638" spans="1:13" x14ac:dyDescent="0.3">
      <c r="A638" t="str">
        <f t="shared" si="9"/>
        <v>T0637</v>
      </c>
      <c r="B638" s="1">
        <v>45967</v>
      </c>
      <c r="C638" t="str" cm="1">
        <f t="array" aca="1" ref="C638" ca="1">IF($O$7="Desbloqueado",
  _xlfn.LET(
    _xlpm.saldo_atual, SUM(($C$2:$C637="Entrada")*($F$2:$F637=Tabela_Movimentacao_Geral[[#This Row],[ID Produto]])*($H$2:$H637) - ($C$2:$C637="Saida")*($F$2:$F637=Tabela_Movimentacao_Geral[[#This Row],[ID Produto]])*($H$2:$H637)),
    IF(_xlpm.saldo_atual &gt; 0, IF(RANDBETWEEN(0,10)&gt;3,"Saida","Entrada"), "Entrada")
  ),
  Tabela_Movimentacao_Geral[[#This Row],[Tipo Fluxo]]
)</f>
        <v>Saida</v>
      </c>
      <c r="D6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6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638" t="str">
        <f ca="1">IF(
  $O$7="Desbloqueado",
  "PROD"&amp;TEXT(RANDBETWEEN(1,200),"000"),
  Tabela_Movimentacao_Geral[[#This Row],[ID Produto]]
)</f>
        <v>PROD054</v>
      </c>
      <c r="G638" t="str">
        <f ca="1">_xlfn.XLOOKUP(Tabela_Movimentacao_Geral[[#This Row],[ID Produto]], Tabela_Produtos[ID_Produto],Tabela_Produtos[Descricao_Produto],"Produto não encontrado")</f>
        <v>Caixa de Grampos 26/6</v>
      </c>
      <c r="H638" cm="1">
        <f t="array" aca="1" ref="H638" ca="1">IF(
   $O$7="Desbloqueado",
   _xlfn.LET(
     _xlpm.saldo_atual, SUM(($C$2:$C637="Entrada")*($F$2:$F637=Tabela_Movimentacao_Geral[[#This Row],[ID Produto]])*($H$2:$H637) - ($C$2:$C637="Saida")*($F$2:$F637=Tabela_Movimentacao_Geral[[#This Row],[ID Produto]])*($H$2:$H637)),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105</v>
      </c>
      <c r="I638" s="5">
        <f ca="1">_xlfn.XLOOKUP(Tabela_Movimentacao_Geral[[#This Row],[ID Produto]], Tabela_Produtos[ID_Produto],Tabela_Produtos[Preco_Unitario_Venda])</f>
        <v>8</v>
      </c>
      <c r="J638" s="6">
        <f ca="1">Tabela_Movimentacao_Geral[[#This Row],[Quantidade]] * Tabela_Movimentacao_Geral[[#This Row],[Valor Unitário]]</f>
        <v>840</v>
      </c>
      <c r="K638" t="str">
        <f ca="1">IF(
   $O$7="Desbloqueado",
   CHOOSE(RANDBETWEEN(1,3),"Pago","Pendente","Atrasado"),
   Tabela_Movimentacao_Geral[[#This Row],[Status Financeiro]]
)</f>
        <v>Atrasado</v>
      </c>
      <c r="L638" t="str">
        <f ca="1">IF(
   $O$7="Desbloqueado",
   CHOOSE(RANDBETWEEN(1,3),"Entregue","Em Rota","Aguardando"),
   Tabela_Movimentacao_Geral[[#This Row],[Status Logistico]]
)</f>
        <v>Em Rota</v>
      </c>
      <c r="M6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39" spans="1:13" x14ac:dyDescent="0.3">
      <c r="A639" t="str">
        <f t="shared" si="9"/>
        <v>T0638</v>
      </c>
      <c r="B639" s="1">
        <v>45968</v>
      </c>
      <c r="C639" t="str" cm="1">
        <f t="array" aca="1" ref="C639" ca="1">IF($O$7="Desbloqueado",
  _xlfn.LET(
    _xlpm.saldo_atual, SUM(($C$2:$C638="Entrada")*($F$2:$F638=Tabela_Movimentacao_Geral[[#This Row],[ID Produto]])*($H$2:$H638) - ($C$2:$C638="Saida")*($F$2:$F638=Tabela_Movimentacao_Geral[[#This Row],[ID Produto]])*($H$2:$H638)),
    IF(_xlpm.saldo_atual &gt; 0, IF(RANDBETWEEN(0,10)&gt;3,"Saida","Entrada"), "Entrada")
  ),
  Tabela_Movimentacao_Geral[[#This Row],[Tipo Fluxo]]
)</f>
        <v>Saida</v>
      </c>
      <c r="D6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6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639" t="str">
        <f ca="1">IF(
  $O$7="Desbloqueado",
  "PROD"&amp;TEXT(RANDBETWEEN(1,200),"000"),
  Tabela_Movimentacao_Geral[[#This Row],[ID Produto]]
)</f>
        <v>PROD195</v>
      </c>
      <c r="G639" t="str">
        <f ca="1">_xlfn.XLOOKUP(Tabela_Movimentacao_Geral[[#This Row],[ID Produto]], Tabela_Produtos[ID_Produto],Tabela_Produtos[Descricao_Produto],"Produto não encontrado")</f>
        <v>Terminador Optico</v>
      </c>
      <c r="H639" cm="1">
        <f t="array" aca="1" ref="H639" ca="1">IF(
   $O$7="Desbloqueado",
   _xlfn.LET(
     _xlpm.saldo_atual, SUM(($C$2:$C638="Entrada")*($F$2:$F638=Tabela_Movimentacao_Geral[[#This Row],[ID Produto]])*($H$2:$H638) - ($C$2:$C638="Saida")*($F$2:$F638=Tabela_Movimentacao_Geral[[#This Row],[ID Produto]])*($H$2:$H638)),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639" s="5">
        <f ca="1">_xlfn.XLOOKUP(Tabela_Movimentacao_Geral[[#This Row],[ID Produto]], Tabela_Produtos[ID_Produto],Tabela_Produtos[Preco_Unitario_Venda])</f>
        <v>120</v>
      </c>
      <c r="J639" s="6">
        <f ca="1">Tabela_Movimentacao_Geral[[#This Row],[Quantidade]] * Tabela_Movimentacao_Geral[[#This Row],[Valor Unitário]]</f>
        <v>1320</v>
      </c>
      <c r="K639" t="str">
        <f ca="1">IF(
   $O$7="Desbloqueado",
   CHOOSE(RANDBETWEEN(1,3),"Pago","Pendente","Atrasado"),
   Tabela_Movimentacao_Geral[[#This Row],[Status Financeiro]]
)</f>
        <v>Atrasado</v>
      </c>
      <c r="L639" t="str">
        <f ca="1">IF(
   $O$7="Desbloqueado",
   CHOOSE(RANDBETWEEN(1,3),"Entregue","Em Rota","Aguardando"),
   Tabela_Movimentacao_Geral[[#This Row],[Status Logistico]]
)</f>
        <v>Em Rota</v>
      </c>
      <c r="M63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40" spans="1:13" x14ac:dyDescent="0.3">
      <c r="A640" t="str">
        <f t="shared" si="9"/>
        <v>T0639</v>
      </c>
      <c r="B640" s="1">
        <v>45968</v>
      </c>
      <c r="C640" t="str" cm="1">
        <f t="array" aca="1" ref="C640" ca="1">IF($O$7="Desbloqueado",
  _xlfn.LET(
    _xlpm.saldo_atual, SUM(($C$2:$C639="Entrada")*($F$2:$F639=Tabela_Movimentacao_Geral[[#This Row],[ID Produto]])*($H$2:$H639) - ($C$2:$C639="Saida")*($F$2:$F639=Tabela_Movimentacao_Geral[[#This Row],[ID Produto]])*($H$2:$H639)),
    IF(_xlpm.saldo_atual &gt; 0, IF(RANDBETWEEN(0,10)&gt;3,"Saida","Entrada"), "Entrada")
  ),
  Tabela_Movimentacao_Geral[[#This Row],[Tipo Fluxo]]
)</f>
        <v>Entrada</v>
      </c>
      <c r="D6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6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640" t="str">
        <f ca="1">IF(
  $O$7="Desbloqueado",
  "PROD"&amp;TEXT(RANDBETWEEN(1,200),"000"),
  Tabela_Movimentacao_Geral[[#This Row],[ID Produto]]
)</f>
        <v>PROD070</v>
      </c>
      <c r="G640" t="str">
        <f ca="1">_xlfn.XLOOKUP(Tabela_Movimentacao_Geral[[#This Row],[ID Produto]], Tabela_Produtos[ID_Produto],Tabela_Produtos[Descricao_Produto],"Produto não encontrado")</f>
        <v>Marcador para Quadro Azul</v>
      </c>
      <c r="H640" cm="1">
        <f t="array" aca="1" ref="H640" ca="1">IF(
   $O$7="Desbloqueado",
   _xlfn.LET(
     _xlpm.saldo_atual, SUM(($C$2:$C639="Entrada")*($F$2:$F639=Tabela_Movimentacao_Geral[[#This Row],[ID Produto]])*($H$2:$H639) - ($C$2:$C639="Saida")*($F$2:$F639=Tabela_Movimentacao_Geral[[#This Row],[ID Produto]])*($H$2:$H639)),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640" s="5">
        <f ca="1">_xlfn.XLOOKUP(Tabela_Movimentacao_Geral[[#This Row],[ID Produto]], Tabela_Produtos[ID_Produto],Tabela_Produtos[Preco_Unitario_Venda])</f>
        <v>7.5</v>
      </c>
      <c r="J640" s="6">
        <f ca="1">Tabela_Movimentacao_Geral[[#This Row],[Quantidade]] * Tabela_Movimentacao_Geral[[#This Row],[Valor Unitário]]</f>
        <v>540</v>
      </c>
      <c r="K640" t="str">
        <f ca="1">IF(
   $O$7="Desbloqueado",
   CHOOSE(RANDBETWEEN(1,3),"Pago","Pendente","Atrasado"),
   Tabela_Movimentacao_Geral[[#This Row],[Status Financeiro]]
)</f>
        <v>Pendente</v>
      </c>
      <c r="L640" t="str">
        <f ca="1">IF(
   $O$7="Desbloqueado",
   CHOOSE(RANDBETWEEN(1,3),"Entregue","Em Rota","Aguardando"),
   Tabela_Movimentacao_Geral[[#This Row],[Status Logistico]]
)</f>
        <v>Entregue</v>
      </c>
      <c r="M64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45974</v>
      </c>
    </row>
    <row r="641" spans="1:13" x14ac:dyDescent="0.3">
      <c r="A641" t="str">
        <f t="shared" si="9"/>
        <v>T0640</v>
      </c>
      <c r="B641" s="1">
        <v>45969</v>
      </c>
      <c r="C641" t="str" cm="1">
        <f t="array" aca="1" ref="C641" ca="1">IF($O$7="Desbloqueado",
  _xlfn.LET(
    _xlpm.saldo_atual, SUM(($C$2:$C640="Entrada")*($F$2:$F640=Tabela_Movimentacao_Geral[[#This Row],[ID Produto]])*($H$2:$H640) - ($C$2:$C640="Saida")*($F$2:$F640=Tabela_Movimentacao_Geral[[#This Row],[ID Produto]])*($H$2:$H640)),
    IF(_xlpm.saldo_atual &gt; 0, IF(RANDBETWEEN(0,10)&gt;3,"Saida","Entrada"), "Entrada")
  ),
  Tabela_Movimentacao_Geral[[#This Row],[Tipo Fluxo]]
)</f>
        <v>Saida</v>
      </c>
      <c r="D6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6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641" t="str">
        <f ca="1">IF(
  $O$7="Desbloqueado",
  "PROD"&amp;TEXT(RANDBETWEEN(1,200),"000"),
  Tabela_Movimentacao_Geral[[#This Row],[ID Produto]]
)</f>
        <v>PROD180</v>
      </c>
      <c r="G641" t="str">
        <f ca="1">_xlfn.XLOOKUP(Tabela_Movimentacao_Geral[[#This Row],[ID Produto]], Tabela_Produtos[ID_Produto],Tabela_Produtos[Descricao_Produto],"Produto não encontrado")</f>
        <v>Gaveteiro 3 Gavetas</v>
      </c>
      <c r="H641" cm="1">
        <f t="array" aca="1" ref="H641" ca="1">IF(
   $O$7="Desbloqueado",
   _xlfn.LET(
     _xlpm.saldo_atual, SUM(($C$2:$C640="Entrada")*($F$2:$F640=Tabela_Movimentacao_Geral[[#This Row],[ID Produto]])*($H$2:$H640) - ($C$2:$C640="Saida")*($F$2:$F640=Tabela_Movimentacao_Geral[[#This Row],[ID Produto]])*($H$2:$H640)),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641" s="5">
        <f ca="1">_xlfn.XLOOKUP(Tabela_Movimentacao_Geral[[#This Row],[ID Produto]], Tabela_Produtos[ID_Produto],Tabela_Produtos[Preco_Unitario_Venda])</f>
        <v>450</v>
      </c>
      <c r="J641" s="6">
        <f ca="1">Tabela_Movimentacao_Geral[[#This Row],[Quantidade]] * Tabela_Movimentacao_Geral[[#This Row],[Valor Unitário]]</f>
        <v>900</v>
      </c>
      <c r="K641" t="str">
        <f ca="1">IF(
   $O$7="Desbloqueado",
   CHOOSE(RANDBETWEEN(1,3),"Pago","Pendente","Atrasado"),
   Tabela_Movimentacao_Geral[[#This Row],[Status Financeiro]]
)</f>
        <v>Pago</v>
      </c>
      <c r="L641" t="str">
        <f ca="1">IF(
   $O$7="Desbloqueado",
   CHOOSE(RANDBETWEEN(1,3),"Entregue","Em Rota","Aguardando"),
   Tabela_Movimentacao_Geral[[#This Row],[Status Logistico]]
)</f>
        <v>Em Rota</v>
      </c>
      <c r="M64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42" spans="1:13" x14ac:dyDescent="0.3">
      <c r="A642" t="str">
        <f t="shared" si="9"/>
        <v>T0641</v>
      </c>
      <c r="B642" s="1">
        <v>45969</v>
      </c>
      <c r="C642" t="str" cm="1">
        <f t="array" aca="1" ref="C642" ca="1">IF($O$7="Desbloqueado",
  _xlfn.LET(
    _xlpm.saldo_atual, SUM(($C$2:$C641="Entrada")*($F$2:$F641=Tabela_Movimentacao_Geral[[#This Row],[ID Produto]])*($H$2:$H641) - ($C$2:$C641="Saida")*($F$2:$F641=Tabela_Movimentacao_Geral[[#This Row],[ID Produto]])*($H$2:$H641)),
    IF(_xlpm.saldo_atual &gt; 0, IF(RANDBETWEEN(0,10)&gt;3,"Saida","Entrada"), "Entrada")
  ),
  Tabela_Movimentacao_Geral[[#This Row],[Tipo Fluxo]]
)</f>
        <v>Saida</v>
      </c>
      <c r="D6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6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642" t="str">
        <f ca="1">IF(
  $O$7="Desbloqueado",
  "PROD"&amp;TEXT(RANDBETWEEN(1,200),"000"),
  Tabela_Movimentacao_Geral[[#This Row],[ID Produto]]
)</f>
        <v>PROD082</v>
      </c>
      <c r="G642" t="str">
        <f ca="1">_xlfn.XLOOKUP(Tabela_Movimentacao_Geral[[#This Row],[ID Produto]], Tabela_Produtos[ID_Produto],Tabela_Produtos[Descricao_Produto],"Produto não encontrado")</f>
        <v>HD SAS 600GB 15K</v>
      </c>
      <c r="H642" cm="1">
        <f t="array" aca="1" ref="H642" ca="1">IF(
   $O$7="Desbloqueado",
   _xlfn.LET(
     _xlpm.saldo_atual, SUM(($C$2:$C641="Entrada")*($F$2:$F641=Tabela_Movimentacao_Geral[[#This Row],[ID Produto]])*($H$2:$H641) - ($C$2:$C641="Saida")*($F$2:$F641=Tabela_Movimentacao_Geral[[#This Row],[ID Produto]])*($H$2:$H641)),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</v>
      </c>
      <c r="I642" s="5">
        <f ca="1">_xlfn.XLOOKUP(Tabela_Movimentacao_Geral[[#This Row],[ID Produto]], Tabela_Produtos[ID_Produto],Tabela_Produtos[Preco_Unitario_Venda])</f>
        <v>1800</v>
      </c>
      <c r="J642" s="6">
        <f ca="1">Tabela_Movimentacao_Geral[[#This Row],[Quantidade]] * Tabela_Movimentacao_Geral[[#This Row],[Valor Unitário]]</f>
        <v>102600</v>
      </c>
      <c r="K642" t="str">
        <f ca="1">IF(
   $O$7="Desbloqueado",
   CHOOSE(RANDBETWEEN(1,3),"Pago","Pendente","Atrasado"),
   Tabela_Movimentacao_Geral[[#This Row],[Status Financeiro]]
)</f>
        <v>Pendente</v>
      </c>
      <c r="L642" t="str">
        <f ca="1">IF(
   $O$7="Desbloqueado",
   CHOOSE(RANDBETWEEN(1,3),"Entregue","Em Rota","Aguardando"),
   Tabela_Movimentacao_Geral[[#This Row],[Status Logistico]]
)</f>
        <v>Em Rota</v>
      </c>
      <c r="M64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43" spans="1:13" x14ac:dyDescent="0.3">
      <c r="A643" t="str">
        <f t="shared" si="9"/>
        <v>T0642</v>
      </c>
      <c r="B643" s="1">
        <v>45969</v>
      </c>
      <c r="C643" t="str" cm="1">
        <f t="array" aca="1" ref="C643" ca="1">IF($O$7="Desbloqueado",
  _xlfn.LET(
    _xlpm.saldo_atual, SUM(($C$2:$C642="Entrada")*($F$2:$F642=Tabela_Movimentacao_Geral[[#This Row],[ID Produto]])*($H$2:$H642) - ($C$2:$C642="Saida")*($F$2:$F642=Tabela_Movimentacao_Geral[[#This Row],[ID Produto]])*($H$2:$H642)),
    IF(_xlpm.saldo_atual &gt; 0, IF(RANDBETWEEN(0,10)&gt;3,"Saida","Entrada"), "Entrada")
  ),
  Tabela_Movimentacao_Geral[[#This Row],[Tipo Fluxo]]
)</f>
        <v>Saida</v>
      </c>
      <c r="D6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6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643" t="str">
        <f ca="1">IF(
  $O$7="Desbloqueado",
  "PROD"&amp;TEXT(RANDBETWEEN(1,200),"000"),
  Tabela_Movimentacao_Geral[[#This Row],[ID Produto]]
)</f>
        <v>PROD062</v>
      </c>
      <c r="G643" t="str">
        <f ca="1">_xlfn.XLOOKUP(Tabela_Movimentacao_Geral[[#This Row],[ID Produto]], Tabela_Produtos[ID_Produto],Tabela_Produtos[Descricao_Produto],"Produto não encontrado")</f>
        <v>Regua 30cm Acrilico</v>
      </c>
      <c r="H643" cm="1">
        <f t="array" aca="1" ref="H643" ca="1">IF(
   $O$7="Desbloqueado",
   _xlfn.LET(
     _xlpm.saldo_atual, SUM(($C$2:$C642="Entrada")*($F$2:$F642=Tabela_Movimentacao_Geral[[#This Row],[ID Produto]])*($H$2:$H642) - ($C$2:$C642="Saida")*($F$2:$F642=Tabela_Movimentacao_Geral[[#This Row],[ID Produto]])*($H$2:$H642)),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99</v>
      </c>
      <c r="I643" s="5">
        <f ca="1">_xlfn.XLOOKUP(Tabela_Movimentacao_Geral[[#This Row],[ID Produto]], Tabela_Produtos[ID_Produto],Tabela_Produtos[Preco_Unitario_Venda])</f>
        <v>4.5</v>
      </c>
      <c r="J643" s="6">
        <f ca="1">Tabela_Movimentacao_Geral[[#This Row],[Quantidade]] * Tabela_Movimentacao_Geral[[#This Row],[Valor Unitário]]</f>
        <v>445.5</v>
      </c>
      <c r="K643" t="str">
        <f ca="1">IF(
   $O$7="Desbloqueado",
   CHOOSE(RANDBETWEEN(1,3),"Pago","Pendente","Atrasado"),
   Tabela_Movimentacao_Geral[[#This Row],[Status Financeiro]]
)</f>
        <v>Atrasado</v>
      </c>
      <c r="L643" t="str">
        <f ca="1">IF(
   $O$7="Desbloqueado",
   CHOOSE(RANDBETWEEN(1,3),"Entregue","Em Rota","Aguardando"),
   Tabela_Movimentacao_Geral[[#This Row],[Status Logistico]]
)</f>
        <v>Aguardando</v>
      </c>
      <c r="M6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44" spans="1:13" x14ac:dyDescent="0.3">
      <c r="A644" t="str">
        <f t="shared" si="9"/>
        <v>T0643</v>
      </c>
      <c r="B644" s="1">
        <v>45970</v>
      </c>
      <c r="C644" t="str" cm="1">
        <f t="array" aca="1" ref="C644" ca="1">IF($O$7="Desbloqueado",
  _xlfn.LET(
    _xlpm.saldo_atual, SUM(($C$2:$C643="Entrada")*($F$2:$F643=Tabela_Movimentacao_Geral[[#This Row],[ID Produto]])*($H$2:$H643) - ($C$2:$C643="Saida")*($F$2:$F643=Tabela_Movimentacao_Geral[[#This Row],[ID Produto]])*($H$2:$H643)),
    IF(_xlpm.saldo_atual &gt; 0, IF(RANDBETWEEN(0,10)&gt;3,"Saida","Entrada"), "Entrada")
  ),
  Tabela_Movimentacao_Geral[[#This Row],[Tipo Fluxo]]
)</f>
        <v>Saida</v>
      </c>
      <c r="D6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6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644" t="str">
        <f ca="1">IF(
  $O$7="Desbloqueado",
  "PROD"&amp;TEXT(RANDBETWEEN(1,200),"000"),
  Tabela_Movimentacao_Geral[[#This Row],[ID Produto]]
)</f>
        <v>PROD002</v>
      </c>
      <c r="G644" t="str">
        <f ca="1">_xlfn.XLOOKUP(Tabela_Movimentacao_Geral[[#This Row],[ID Produto]], Tabela_Produtos[ID_Produto],Tabela_Produtos[Descricao_Produto],"Produto não encontrado")</f>
        <v>Teclado Mecanico RGB</v>
      </c>
      <c r="H644" cm="1">
        <f t="array" aca="1" ref="H644" ca="1">IF(
   $O$7="Desbloqueado",
   _xlfn.LET(
     _xlpm.saldo_atual, SUM(($C$2:$C643="Entrada")*($F$2:$F643=Tabela_Movimentacao_Geral[[#This Row],[ID Produto]])*($H$2:$H643) - ($C$2:$C643="Saida")*($F$2:$F643=Tabela_Movimentacao_Geral[[#This Row],[ID Produto]])*($H$2:$H643)),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644" s="5">
        <f ca="1">_xlfn.XLOOKUP(Tabela_Movimentacao_Geral[[#This Row],[ID Produto]], Tabela_Produtos[ID_Produto],Tabela_Produtos[Preco_Unitario_Venda])</f>
        <v>350</v>
      </c>
      <c r="J644" s="6">
        <f ca="1">Tabela_Movimentacao_Geral[[#This Row],[Quantidade]] * Tabela_Movimentacao_Geral[[#This Row],[Valor Unitário]]</f>
        <v>2100</v>
      </c>
      <c r="K644" t="str">
        <f ca="1">IF(
   $O$7="Desbloqueado",
   CHOOSE(RANDBETWEEN(1,3),"Pago","Pendente","Atrasado"),
   Tabela_Movimentacao_Geral[[#This Row],[Status Financeiro]]
)</f>
        <v>Pago</v>
      </c>
      <c r="L644" t="str">
        <f ca="1">IF(
   $O$7="Desbloqueado",
   CHOOSE(RANDBETWEEN(1,3),"Entregue","Em Rota","Aguardando"),
   Tabela_Movimentacao_Geral[[#This Row],[Status Logistico]]
)</f>
        <v>Entregue</v>
      </c>
      <c r="M6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45" spans="1:13" x14ac:dyDescent="0.3">
      <c r="A645" t="str">
        <f t="shared" si="9"/>
        <v>T0644</v>
      </c>
      <c r="B645" s="1">
        <v>45970</v>
      </c>
      <c r="C645" t="str" cm="1">
        <f t="array" aca="1" ref="C645" ca="1">IF($O$7="Desbloqueado",
  _xlfn.LET(
    _xlpm.saldo_atual, SUM(($C$2:$C644="Entrada")*($F$2:$F644=Tabela_Movimentacao_Geral[[#This Row],[ID Produto]])*($H$2:$H644) - ($C$2:$C644="Saida")*($F$2:$F644=Tabela_Movimentacao_Geral[[#This Row],[ID Produto]])*($H$2:$H644)),
    IF(_xlpm.saldo_atual &gt; 0, IF(RANDBETWEEN(0,10)&gt;3,"Saida","Entrada"), "Entrada")
  ),
  Tabela_Movimentacao_Geral[[#This Row],[Tipo Fluxo]]
)</f>
        <v>Saida</v>
      </c>
      <c r="D6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6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645" t="str">
        <f ca="1">IF(
  $O$7="Desbloqueado",
  "PROD"&amp;TEXT(RANDBETWEEN(1,200),"000"),
  Tabela_Movimentacao_Geral[[#This Row],[ID Produto]]
)</f>
        <v>PROD176</v>
      </c>
      <c r="G645" t="str">
        <f ca="1">_xlfn.XLOOKUP(Tabela_Movimentacao_Geral[[#This Row],[ID Produto]], Tabela_Produtos[ID_Produto],Tabela_Produtos[Descricao_Produto],"Produto não encontrado")</f>
        <v>Envelope Bolha A4 10un</v>
      </c>
      <c r="H645" cm="1">
        <f t="array" aca="1" ref="H645" ca="1">IF(
   $O$7="Desbloqueado",
   _xlfn.LET(
     _xlpm.saldo_atual, SUM(($C$2:$C644="Entrada")*($F$2:$F644=Tabela_Movimentacao_Geral[[#This Row],[ID Produto]])*($H$2:$H644) - ($C$2:$C644="Saida")*($F$2:$F644=Tabela_Movimentacao_Geral[[#This Row],[ID Produto]])*($H$2:$H644)),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117</v>
      </c>
      <c r="I645" s="5">
        <f ca="1">_xlfn.XLOOKUP(Tabela_Movimentacao_Geral[[#This Row],[ID Produto]], Tabela_Produtos[ID_Produto],Tabela_Produtos[Preco_Unitario_Venda])</f>
        <v>35</v>
      </c>
      <c r="J645" s="6">
        <f ca="1">Tabela_Movimentacao_Geral[[#This Row],[Quantidade]] * Tabela_Movimentacao_Geral[[#This Row],[Valor Unitário]]</f>
        <v>4095</v>
      </c>
      <c r="K645" t="str">
        <f ca="1">IF(
   $O$7="Desbloqueado",
   CHOOSE(RANDBETWEEN(1,3),"Pago","Pendente","Atrasado"),
   Tabela_Movimentacao_Geral[[#This Row],[Status Financeiro]]
)</f>
        <v>Pendente</v>
      </c>
      <c r="L645" t="str">
        <f ca="1">IF(
   $O$7="Desbloqueado",
   CHOOSE(RANDBETWEEN(1,3),"Entregue","Em Rota","Aguardando"),
   Tabela_Movimentacao_Geral[[#This Row],[Status Logistico]]
)</f>
        <v>Entregue</v>
      </c>
      <c r="M64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46" spans="1:13" x14ac:dyDescent="0.3">
      <c r="A646" t="str">
        <f t="shared" si="9"/>
        <v>T0645</v>
      </c>
      <c r="B646" s="1">
        <v>45970</v>
      </c>
      <c r="C646" t="str" cm="1">
        <f t="array" aca="1" ref="C646" ca="1">IF($O$7="Desbloqueado",
  _xlfn.LET(
    _xlpm.saldo_atual, SUM(($C$2:$C645="Entrada")*($F$2:$F645=Tabela_Movimentacao_Geral[[#This Row],[ID Produto]])*($H$2:$H645) - ($C$2:$C645="Saida")*($F$2:$F645=Tabela_Movimentacao_Geral[[#This Row],[ID Produto]])*($H$2:$H645)),
    IF(_xlpm.saldo_atual &gt; 0, IF(RANDBETWEEN(0,10)&gt;3,"Saida","Entrada"), "Entrada")
  ),
  Tabela_Movimentacao_Geral[[#This Row],[Tipo Fluxo]]
)</f>
        <v>Entrada</v>
      </c>
      <c r="D6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6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646" t="str">
        <f ca="1">IF(
  $O$7="Desbloqueado",
  "PROD"&amp;TEXT(RANDBETWEEN(1,200),"000"),
  Tabela_Movimentacao_Geral[[#This Row],[ID Produto]]
)</f>
        <v>PROD170</v>
      </c>
      <c r="G646" t="str">
        <f ca="1">_xlfn.XLOOKUP(Tabela_Movimentacao_Geral[[#This Row],[ID Produto]], Tabela_Produtos[ID_Produto],Tabela_Produtos[Descricao_Produto],"Produto não encontrado")</f>
        <v>Caixa Organizadora 20L</v>
      </c>
      <c r="H646" cm="1">
        <f t="array" aca="1" ref="H646" ca="1">IF(
   $O$7="Desbloqueado",
   _xlfn.LET(
     _xlpm.saldo_atual, SUM(($C$2:$C645="Entrada")*($F$2:$F645=Tabela_Movimentacao_Geral[[#This Row],[ID Produto]])*($H$2:$H645) - ($C$2:$C645="Saida")*($F$2:$F645=Tabela_Movimentacao_Geral[[#This Row],[ID Produto]])*($H$2:$H645)),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646" s="5">
        <f ca="1">_xlfn.XLOOKUP(Tabela_Movimentacao_Geral[[#This Row],[ID Produto]], Tabela_Produtos[ID_Produto],Tabela_Produtos[Preco_Unitario_Venda])</f>
        <v>55</v>
      </c>
      <c r="J646" s="6">
        <f ca="1">Tabela_Movimentacao_Geral[[#This Row],[Quantidade]] * Tabela_Movimentacao_Geral[[#This Row],[Valor Unitário]]</f>
        <v>2915</v>
      </c>
      <c r="K646" t="str">
        <f ca="1">IF(
   $O$7="Desbloqueado",
   CHOOSE(RANDBETWEEN(1,3),"Pago","Pendente","Atrasado"),
   Tabela_Movimentacao_Geral[[#This Row],[Status Financeiro]]
)</f>
        <v>Pago</v>
      </c>
      <c r="L646" t="str">
        <f ca="1">IF(
   $O$7="Desbloqueado",
   CHOOSE(RANDBETWEEN(1,3),"Entregue","Em Rota","Aguardando"),
   Tabela_Movimentacao_Geral[[#This Row],[Status Logistico]]
)</f>
        <v>Em Rota</v>
      </c>
      <c r="M6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45974</v>
      </c>
    </row>
    <row r="647" spans="1:13" x14ac:dyDescent="0.3">
      <c r="A647" t="str">
        <f t="shared" si="9"/>
        <v>T0646</v>
      </c>
      <c r="B647" s="1">
        <v>45971</v>
      </c>
      <c r="C647" t="str" cm="1">
        <f t="array" aca="1" ref="C647" ca="1">IF($O$7="Desbloqueado",
  _xlfn.LET(
    _xlpm.saldo_atual, SUM(($C$2:$C646="Entrada")*($F$2:$F646=Tabela_Movimentacao_Geral[[#This Row],[ID Produto]])*($H$2:$H646) - ($C$2:$C646="Saida")*($F$2:$F646=Tabela_Movimentacao_Geral[[#This Row],[ID Produto]])*($H$2:$H646)),
    IF(_xlpm.saldo_atual &gt; 0, IF(RANDBETWEEN(0,10)&gt;3,"Saida","Entrada"), "Entrada")
  ),
  Tabela_Movimentacao_Geral[[#This Row],[Tipo Fluxo]]
)</f>
        <v>Entrada</v>
      </c>
      <c r="D6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47" t="str">
        <f ca="1">IF(
  $O$7="Desbloqueado",
  "PROD"&amp;TEXT(RANDBETWEEN(1,200),"000"),
  Tabela_Movimentacao_Geral[[#This Row],[ID Produto]]
)</f>
        <v>PROD028</v>
      </c>
      <c r="G647" t="str">
        <f ca="1">_xlfn.XLOOKUP(Tabela_Movimentacao_Geral[[#This Row],[ID Produto]], Tabela_Produtos[ID_Produto],Tabela_Produtos[Descricao_Produto],"Produto não encontrado")</f>
        <v>Cabo de Rede Cat6 3m</v>
      </c>
      <c r="H647" cm="1">
        <f t="array" aca="1" ref="H647" ca="1">IF(
   $O$7="Desbloqueado",
   _xlfn.LET(
     _xlpm.saldo_atual, SUM(($C$2:$C646="Entrada")*($F$2:$F646=Tabela_Movimentacao_Geral[[#This Row],[ID Produto]])*($H$2:$H646) - ($C$2:$C646="Saida")*($F$2:$F646=Tabela_Movimentacao_Geral[[#This Row],[ID Produto]])*($H$2:$H646)),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647" s="5">
        <f ca="1">_xlfn.XLOOKUP(Tabela_Movimentacao_Geral[[#This Row],[ID Produto]], Tabela_Produtos[ID_Produto],Tabela_Produtos[Preco_Unitario_Venda])</f>
        <v>25</v>
      </c>
      <c r="J647" s="6">
        <f ca="1">Tabela_Movimentacao_Geral[[#This Row],[Quantidade]] * Tabela_Movimentacao_Geral[[#This Row],[Valor Unitário]]</f>
        <v>150</v>
      </c>
      <c r="K647" t="str">
        <f ca="1">IF(
   $O$7="Desbloqueado",
   CHOOSE(RANDBETWEEN(1,3),"Pago","Pendente","Atrasado"),
   Tabela_Movimentacao_Geral[[#This Row],[Status Financeiro]]
)</f>
        <v>Atrasado</v>
      </c>
      <c r="L647" t="str">
        <f ca="1">IF(
   $O$7="Desbloqueado",
   CHOOSE(RANDBETWEEN(1,3),"Entregue","Em Rota","Aguardando"),
   Tabela_Movimentacao_Geral[[#This Row],[Status Logistico]]
)</f>
        <v>Em Rota</v>
      </c>
      <c r="M6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45972</v>
      </c>
    </row>
    <row r="648" spans="1:13" x14ac:dyDescent="0.3">
      <c r="A648" t="str">
        <f t="shared" si="9"/>
        <v>T0647</v>
      </c>
      <c r="B648" s="1">
        <v>45971</v>
      </c>
      <c r="C648" t="str" cm="1">
        <f t="array" aca="1" ref="C648" ca="1">IF($O$7="Desbloqueado",
  _xlfn.LET(
    _xlpm.saldo_atual, SUM(($C$2:$C647="Entrada")*($F$2:$F647=Tabela_Movimentacao_Geral[[#This Row],[ID Produto]])*($H$2:$H647) - ($C$2:$C647="Saida")*($F$2:$F647=Tabela_Movimentacao_Geral[[#This Row],[ID Produto]])*($H$2:$H647)),
    IF(_xlpm.saldo_atual &gt; 0, IF(RANDBETWEEN(0,10)&gt;3,"Saida","Entrada"), "Entrada")
  ),
  Tabela_Movimentacao_Geral[[#This Row],[Tipo Fluxo]]
)</f>
        <v>Entrada</v>
      </c>
      <c r="D6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6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648" t="str">
        <f ca="1">IF(
  $O$7="Desbloqueado",
  "PROD"&amp;TEXT(RANDBETWEEN(1,200),"000"),
  Tabela_Movimentacao_Geral[[#This Row],[ID Produto]]
)</f>
        <v>PROD197</v>
      </c>
      <c r="G648" t="str">
        <f ca="1">_xlfn.XLOOKUP(Tabela_Movimentacao_Geral[[#This Row],[ID Produto]], Tabela_Produtos[ID_Produto],Tabela_Produtos[Descricao_Produto],"Produto não encontrado")</f>
        <v>Soprador Térmico 1800W</v>
      </c>
      <c r="H648" cm="1">
        <f t="array" aca="1" ref="H648" ca="1">IF(
   $O$7="Desbloqueado",
   _xlfn.LET(
     _xlpm.saldo_atual, SUM(($C$2:$C647="Entrada")*($F$2:$F647=Tabela_Movimentacao_Geral[[#This Row],[ID Produto]])*($H$2:$H647) - ($C$2:$C647="Saida")*($F$2:$F647=Tabela_Movimentacao_Geral[[#This Row],[ID Produto]])*($H$2:$H647)),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648" s="5">
        <f ca="1">_xlfn.XLOOKUP(Tabela_Movimentacao_Geral[[#This Row],[ID Produto]], Tabela_Produtos[ID_Produto],Tabela_Produtos[Preco_Unitario_Venda])</f>
        <v>280</v>
      </c>
      <c r="J648" s="6">
        <f ca="1">Tabela_Movimentacao_Geral[[#This Row],[Quantidade]] * Tabela_Movimentacao_Geral[[#This Row],[Valor Unitário]]</f>
        <v>6160</v>
      </c>
      <c r="K648" t="str">
        <f ca="1">IF(
   $O$7="Desbloqueado",
   CHOOSE(RANDBETWEEN(1,3),"Pago","Pendente","Atrasado"),
   Tabela_Movimentacao_Geral[[#This Row],[Status Financeiro]]
)</f>
        <v>Pendente</v>
      </c>
      <c r="L648" t="str">
        <f ca="1">IF(
   $O$7="Desbloqueado",
   CHOOSE(RANDBETWEEN(1,3),"Entregue","Em Rota","Aguardando"),
   Tabela_Movimentacao_Geral[[#This Row],[Status Logistico]]
)</f>
        <v>Em Rota</v>
      </c>
      <c r="M64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45974</v>
      </c>
    </row>
    <row r="649" spans="1:13" x14ac:dyDescent="0.3">
      <c r="A649" t="str">
        <f t="shared" si="9"/>
        <v>T0648</v>
      </c>
      <c r="B649" s="1">
        <v>45971</v>
      </c>
      <c r="C649" t="str" cm="1">
        <f t="array" aca="1" ref="C649" ca="1">IF($O$7="Desbloqueado",
  _xlfn.LET(
    _xlpm.saldo_atual, SUM(($C$2:$C648="Entrada")*($F$2:$F648=Tabela_Movimentacao_Geral[[#This Row],[ID Produto]])*($H$2:$H648) - ($C$2:$C648="Saida")*($F$2:$F648=Tabela_Movimentacao_Geral[[#This Row],[ID Produto]])*($H$2:$H648)),
    IF(_xlpm.saldo_atual &gt; 0, IF(RANDBETWEEN(0,10)&gt;3,"Saida","Entrada"), "Entrada")
  ),
  Tabela_Movimentacao_Geral[[#This Row],[Tipo Fluxo]]
)</f>
        <v>Saida</v>
      </c>
      <c r="D6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6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649" t="str">
        <f ca="1">IF(
  $O$7="Desbloqueado",
  "PROD"&amp;TEXT(RANDBETWEEN(1,200),"000"),
  Tabela_Movimentacao_Geral[[#This Row],[ID Produto]]
)</f>
        <v>PROD172</v>
      </c>
      <c r="G649" t="str">
        <f ca="1">_xlfn.XLOOKUP(Tabela_Movimentacao_Geral[[#This Row],[ID Produto]], Tabela_Produtos[ID_Produto],Tabela_Produtos[Descricao_Produto],"Produto não encontrado")</f>
        <v>Grampeador de Tapeceiro</v>
      </c>
      <c r="H649" cm="1">
        <f t="array" aca="1" ref="H649" ca="1">IF(
   $O$7="Desbloqueado",
   _xlfn.LET(
     _xlpm.saldo_atual, SUM(($C$2:$C648="Entrada")*($F$2:$F648=Tabela_Movimentacao_Geral[[#This Row],[ID Produto]])*($H$2:$H648) - ($C$2:$C648="Saida")*($F$2:$F648=Tabela_Movimentacao_Geral[[#This Row],[ID Produto]])*($H$2:$H648)),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60</v>
      </c>
      <c r="I649" s="5">
        <f ca="1">_xlfn.XLOOKUP(Tabela_Movimentacao_Geral[[#This Row],[ID Produto]], Tabela_Produtos[ID_Produto],Tabela_Produtos[Preco_Unitario_Venda])</f>
        <v>120</v>
      </c>
      <c r="J649" s="6">
        <f ca="1">Tabela_Movimentacao_Geral[[#This Row],[Quantidade]] * Tabela_Movimentacao_Geral[[#This Row],[Valor Unitário]]</f>
        <v>7200</v>
      </c>
      <c r="K649" t="str">
        <f ca="1">IF(
   $O$7="Desbloqueado",
   CHOOSE(RANDBETWEEN(1,3),"Pago","Pendente","Atrasado"),
   Tabela_Movimentacao_Geral[[#This Row],[Status Financeiro]]
)</f>
        <v>Atrasado</v>
      </c>
      <c r="L649" t="str">
        <f ca="1">IF(
   $O$7="Desbloqueado",
   CHOOSE(RANDBETWEEN(1,3),"Entregue","Em Rota","Aguardando"),
   Tabela_Movimentacao_Geral[[#This Row],[Status Logistico]]
)</f>
        <v>Entregue</v>
      </c>
      <c r="M64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0" spans="1:13" x14ac:dyDescent="0.3">
      <c r="A650" t="str">
        <f t="shared" si="9"/>
        <v>T0649</v>
      </c>
      <c r="B650" s="1">
        <v>45973</v>
      </c>
      <c r="C650" t="str" cm="1">
        <f t="array" aca="1" ref="C650" ca="1">IF($O$7="Desbloqueado",
  _xlfn.LET(
    _xlpm.saldo_atual, SUM(($C$2:$C649="Entrada")*($F$2:$F649=Tabela_Movimentacao_Geral[[#This Row],[ID Produto]])*($H$2:$H649) - ($C$2:$C649="Saida")*($F$2:$F649=Tabela_Movimentacao_Geral[[#This Row],[ID Produto]])*($H$2:$H649)),
    IF(_xlpm.saldo_atual &gt; 0, IF(RANDBETWEEN(0,10)&gt;3,"Saida","Entrada"), "Entrada")
  ),
  Tabela_Movimentacao_Geral[[#This Row],[Tipo Fluxo]]
)</f>
        <v>Saida</v>
      </c>
      <c r="D6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6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650" t="str">
        <f ca="1">IF(
  $O$7="Desbloqueado",
  "PROD"&amp;TEXT(RANDBETWEEN(1,200),"000"),
  Tabela_Movimentacao_Geral[[#This Row],[ID Produto]]
)</f>
        <v>PROD134</v>
      </c>
      <c r="G650" t="str">
        <f ca="1">_xlfn.XLOOKUP(Tabela_Movimentacao_Geral[[#This Row],[ID Produto]], Tabela_Produtos[ID_Produto],Tabela_Produtos[Descricao_Produto],"Produto não encontrado")</f>
        <v>Suporte Projetor Teto</v>
      </c>
      <c r="H650" cm="1">
        <f t="array" aca="1" ref="H650" ca="1">IF(
   $O$7="Desbloqueado",
   _xlfn.LET(
     _xlpm.saldo_atual, SUM(($C$2:$C649="Entrada")*($F$2:$F649=Tabela_Movimentacao_Geral[[#This Row],[ID Produto]])*($H$2:$H649) - ($C$2:$C649="Saida")*($F$2:$F649=Tabela_Movimentacao_Geral[[#This Row],[ID Produto]])*($H$2:$H649)),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46</v>
      </c>
      <c r="I650" s="5">
        <f ca="1">_xlfn.XLOOKUP(Tabela_Movimentacao_Geral[[#This Row],[ID Produto]], Tabela_Produtos[ID_Produto],Tabela_Produtos[Preco_Unitario_Venda])</f>
        <v>155</v>
      </c>
      <c r="J650" s="6">
        <f ca="1">Tabela_Movimentacao_Geral[[#This Row],[Quantidade]] * Tabela_Movimentacao_Geral[[#This Row],[Valor Unitário]]</f>
        <v>7130</v>
      </c>
      <c r="K650" t="str">
        <f ca="1">IF(
   $O$7="Desbloqueado",
   CHOOSE(RANDBETWEEN(1,3),"Pago","Pendente","Atrasado"),
   Tabela_Movimentacao_Geral[[#This Row],[Status Financeiro]]
)</f>
        <v>Pendente</v>
      </c>
      <c r="L650" t="str">
        <f ca="1">IF(
   $O$7="Desbloqueado",
   CHOOSE(RANDBETWEEN(1,3),"Entregue","Em Rota","Aguardando"),
   Tabela_Movimentacao_Geral[[#This Row],[Status Logistico]]
)</f>
        <v>Aguardando</v>
      </c>
      <c r="M65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1" spans="1:13" x14ac:dyDescent="0.3">
      <c r="A651" t="str">
        <f t="shared" si="9"/>
        <v>T0650</v>
      </c>
      <c r="B651" s="1">
        <v>45973</v>
      </c>
      <c r="C651" t="str" cm="1">
        <f t="array" aca="1" ref="C651" ca="1">IF($O$7="Desbloqueado",
  _xlfn.LET(
    _xlpm.saldo_atual, SUM(($C$2:$C650="Entrada")*($F$2:$F650=Tabela_Movimentacao_Geral[[#This Row],[ID Produto]])*($H$2:$H650) - ($C$2:$C650="Saida")*($F$2:$F650=Tabela_Movimentacao_Geral[[#This Row],[ID Produto]])*($H$2:$H650)),
    IF(_xlpm.saldo_atual &gt; 0, IF(RANDBETWEEN(0,10)&gt;3,"Saida","Entrada"), "Entrada")
  ),
  Tabela_Movimentacao_Geral[[#This Row],[Tipo Fluxo]]
)</f>
        <v>Saida</v>
      </c>
      <c r="D6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6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651" t="str">
        <f ca="1">IF(
  $O$7="Desbloqueado",
  "PROD"&amp;TEXT(RANDBETWEEN(1,200),"000"),
  Tabela_Movimentacao_Geral[[#This Row],[ID Produto]]
)</f>
        <v>PROD108</v>
      </c>
      <c r="G651" t="str">
        <f ca="1">_xlfn.XLOOKUP(Tabela_Movimentacao_Geral[[#This Row],[ID Produto]], Tabela_Produtos[ID_Produto],Tabela_Produtos[Descricao_Produto],"Produto não encontrado")</f>
        <v>Toner Colorido (Kit 4)</v>
      </c>
      <c r="H651" cm="1">
        <f t="array" aca="1" ref="H651" ca="1">IF(
   $O$7="Desbloqueado",
   _xlfn.LET(
     _xlpm.saldo_atual, SUM(($C$2:$C650="Entrada")*($F$2:$F650=Tabela_Movimentacao_Geral[[#This Row],[ID Produto]])*($H$2:$H650) - ($C$2:$C650="Saida")*($F$2:$F650=Tabela_Movimentacao_Geral[[#This Row],[ID Produto]])*($H$2:$H650)),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651" s="5">
        <f ca="1">_xlfn.XLOOKUP(Tabela_Movimentacao_Geral[[#This Row],[ID Produto]], Tabela_Produtos[ID_Produto],Tabela_Produtos[Preco_Unitario_Venda])</f>
        <v>1200</v>
      </c>
      <c r="J651" s="6">
        <f ca="1">Tabela_Movimentacao_Geral[[#This Row],[Quantidade]] * Tabela_Movimentacao_Geral[[#This Row],[Valor Unitário]]</f>
        <v>8400</v>
      </c>
      <c r="K651" t="str">
        <f ca="1">IF(
   $O$7="Desbloqueado",
   CHOOSE(RANDBETWEEN(1,3),"Pago","Pendente","Atrasado"),
   Tabela_Movimentacao_Geral[[#This Row],[Status Financeiro]]
)</f>
        <v>Atrasado</v>
      </c>
      <c r="L651" t="str">
        <f ca="1">IF(
   $O$7="Desbloqueado",
   CHOOSE(RANDBETWEEN(1,3),"Entregue","Em Rota","Aguardando"),
   Tabela_Movimentacao_Geral[[#This Row],[Status Logistico]]
)</f>
        <v>Entregue</v>
      </c>
      <c r="M65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2" spans="1:13" x14ac:dyDescent="0.3">
      <c r="A652" t="str">
        <f t="shared" si="9"/>
        <v>T0651</v>
      </c>
      <c r="B652" s="1">
        <v>45973</v>
      </c>
      <c r="C652" t="str" cm="1">
        <f t="array" aca="1" ref="C652" ca="1">IF($O$7="Desbloqueado",
  _xlfn.LET(
    _xlpm.saldo_atual, SUM(($C$2:$C651="Entrada")*($F$2:$F651=Tabela_Movimentacao_Geral[[#This Row],[ID Produto]])*($H$2:$H651) - ($C$2:$C651="Saida")*($F$2:$F651=Tabela_Movimentacao_Geral[[#This Row],[ID Produto]])*($H$2:$H651)),
    IF(_xlpm.saldo_atual &gt; 0, IF(RANDBETWEEN(0,10)&gt;3,"Saida","Entrada"), "Entrada")
  ),
  Tabela_Movimentacao_Geral[[#This Row],[Tipo Fluxo]]
)</f>
        <v>Saida</v>
      </c>
      <c r="D6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6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652" t="str">
        <f ca="1">IF(
  $O$7="Desbloqueado",
  "PROD"&amp;TEXT(RANDBETWEEN(1,200),"000"),
  Tabela_Movimentacao_Geral[[#This Row],[ID Produto]]
)</f>
        <v>PROD064</v>
      </c>
      <c r="G652" t="str">
        <f ca="1">_xlfn.XLOOKUP(Tabela_Movimentacao_Geral[[#This Row],[ID Produto]], Tabela_Produtos[ID_Produto],Tabela_Produtos[Descricao_Produto],"Produto não encontrado")</f>
        <v>Cola em Bastao 40g</v>
      </c>
      <c r="H652" cm="1">
        <f t="array" aca="1" ref="H652" ca="1">IF(
   $O$7="Desbloqueado",
   _xlfn.LET(
     _xlpm.saldo_atual, SUM(($C$2:$C651="Entrada")*($F$2:$F651=Tabela_Movimentacao_Geral[[#This Row],[ID Produto]])*($H$2:$H651) - ($C$2:$C651="Saida")*($F$2:$F651=Tabela_Movimentacao_Geral[[#This Row],[ID Produto]])*($H$2:$H651)),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652" s="5">
        <f ca="1">_xlfn.XLOOKUP(Tabela_Movimentacao_Geral[[#This Row],[ID Produto]], Tabela_Produtos[ID_Produto],Tabela_Produtos[Preco_Unitario_Venda])</f>
        <v>14</v>
      </c>
      <c r="J652" s="6">
        <f ca="1">Tabela_Movimentacao_Geral[[#This Row],[Quantidade]] * Tabela_Movimentacao_Geral[[#This Row],[Valor Unitário]]</f>
        <v>1022</v>
      </c>
      <c r="K652" t="str">
        <f ca="1">IF(
   $O$7="Desbloqueado",
   CHOOSE(RANDBETWEEN(1,3),"Pago","Pendente","Atrasado"),
   Tabela_Movimentacao_Geral[[#This Row],[Status Financeiro]]
)</f>
        <v>Pago</v>
      </c>
      <c r="L652" t="str">
        <f ca="1">IF(
   $O$7="Desbloqueado",
   CHOOSE(RANDBETWEEN(1,3),"Entregue","Em Rota","Aguardando"),
   Tabela_Movimentacao_Geral[[#This Row],[Status Logistico]]
)</f>
        <v>Entregue</v>
      </c>
      <c r="M6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3" spans="1:13" x14ac:dyDescent="0.3">
      <c r="A653" t="str">
        <f t="shared" si="9"/>
        <v>T0652</v>
      </c>
      <c r="B653" s="1">
        <v>45973</v>
      </c>
      <c r="C653" t="str" cm="1">
        <f t="array" aca="1" ref="C653" ca="1">IF($O$7="Desbloqueado",
  _xlfn.LET(
    _xlpm.saldo_atual, SUM(($C$2:$C652="Entrada")*($F$2:$F652=Tabela_Movimentacao_Geral[[#This Row],[ID Produto]])*($H$2:$H652) - ($C$2:$C652="Saida")*($F$2:$F652=Tabela_Movimentacao_Geral[[#This Row],[ID Produto]])*($H$2:$H652)),
    IF(_xlpm.saldo_atual &gt; 0, IF(RANDBETWEEN(0,10)&gt;3,"Saida","Entrada"), "Entrada")
  ),
  Tabela_Movimentacao_Geral[[#This Row],[Tipo Fluxo]]
)</f>
        <v>Saida</v>
      </c>
      <c r="D6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6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653" t="str">
        <f ca="1">IF(
  $O$7="Desbloqueado",
  "PROD"&amp;TEXT(RANDBETWEEN(1,200),"000"),
  Tabela_Movimentacao_Geral[[#This Row],[ID Produto]]
)</f>
        <v>PROD189</v>
      </c>
      <c r="G653" t="str">
        <f ca="1">_xlfn.XLOOKUP(Tabela_Movimentacao_Geral[[#This Row],[ID Produto]], Tabela_Produtos[ID_Produto],Tabela_Produtos[Descricao_Produto],"Produto não encontrado")</f>
        <v>Switch Core Layer 3</v>
      </c>
      <c r="H653" cm="1">
        <f t="array" aca="1" ref="H653" ca="1">IF(
   $O$7="Desbloqueado",
   _xlfn.LET(
     _xlpm.saldo_atual, SUM(($C$2:$C652="Entrada")*($F$2:$F652=Tabela_Movimentacao_Geral[[#This Row],[ID Produto]])*($H$2:$H652) - ($C$2:$C652="Saida")*($F$2:$F652=Tabela_Movimentacao_Geral[[#This Row],[ID Produto]])*($H$2:$H652)),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653" s="5">
        <f ca="1">_xlfn.XLOOKUP(Tabela_Movimentacao_Geral[[#This Row],[ID Produto]], Tabela_Produtos[ID_Produto],Tabela_Produtos[Preco_Unitario_Venda])</f>
        <v>22000</v>
      </c>
      <c r="J653" s="6">
        <f ca="1">Tabela_Movimentacao_Geral[[#This Row],[Quantidade]] * Tabela_Movimentacao_Geral[[#This Row],[Valor Unitário]]</f>
        <v>44000</v>
      </c>
      <c r="K653" t="str">
        <f ca="1">IF(
   $O$7="Desbloqueado",
   CHOOSE(RANDBETWEEN(1,3),"Pago","Pendente","Atrasado"),
   Tabela_Movimentacao_Geral[[#This Row],[Status Financeiro]]
)</f>
        <v>Pago</v>
      </c>
      <c r="L653" t="str">
        <f ca="1">IF(
   $O$7="Desbloqueado",
   CHOOSE(RANDBETWEEN(1,3),"Entregue","Em Rota","Aguardando"),
   Tabela_Movimentacao_Geral[[#This Row],[Status Logistico]]
)</f>
        <v>Entregue</v>
      </c>
      <c r="M65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4" spans="1:13" x14ac:dyDescent="0.3">
      <c r="A654" t="str">
        <f t="shared" si="9"/>
        <v>T0653</v>
      </c>
      <c r="B654" s="1">
        <v>45973</v>
      </c>
      <c r="C654" t="str" cm="1">
        <f t="array" aca="1" ref="C654" ca="1">IF($O$7="Desbloqueado",
  _xlfn.LET(
    _xlpm.saldo_atual, SUM(($C$2:$C653="Entrada")*($F$2:$F653=Tabela_Movimentacao_Geral[[#This Row],[ID Produto]])*($H$2:$H653) - ($C$2:$C653="Saida")*($F$2:$F653=Tabela_Movimentacao_Geral[[#This Row],[ID Produto]])*($H$2:$H653)),
    IF(_xlpm.saldo_atual &gt; 0, IF(RANDBETWEEN(0,10)&gt;3,"Saida","Entrada"), "Entrada")
  ),
  Tabela_Movimentacao_Geral[[#This Row],[Tipo Fluxo]]
)</f>
        <v>Saida</v>
      </c>
      <c r="D6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6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654" t="str">
        <f ca="1">IF(
  $O$7="Desbloqueado",
  "PROD"&amp;TEXT(RANDBETWEEN(1,200),"000"),
  Tabela_Movimentacao_Geral[[#This Row],[ID Produto]]
)</f>
        <v>PROD092</v>
      </c>
      <c r="G654" t="str">
        <f ca="1">_xlfn.XLOOKUP(Tabela_Movimentacao_Geral[[#This Row],[ID Produto]], Tabela_Produtos[ID_Produto],Tabela_Produtos[Descricao_Produto],"Produto não encontrado")</f>
        <v>Fita LTO-8 Ultrium</v>
      </c>
      <c r="H654" cm="1">
        <f t="array" aca="1" ref="H654" ca="1">IF(
   $O$7="Desbloqueado",
   _xlfn.LET(
     _xlpm.saldo_atual, SUM(($C$2:$C653="Entrada")*($F$2:$F653=Tabela_Movimentacao_Geral[[#This Row],[ID Produto]])*($H$2:$H653) - ($C$2:$C653="Saida")*($F$2:$F653=Tabela_Movimentacao_Geral[[#This Row],[ID Produto]])*($H$2:$H653)),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654" s="5">
        <f ca="1">_xlfn.XLOOKUP(Tabela_Movimentacao_Geral[[#This Row],[ID Produto]], Tabela_Produtos[ID_Produto],Tabela_Produtos[Preco_Unitario_Venda])</f>
        <v>950</v>
      </c>
      <c r="J654" s="6">
        <f ca="1">Tabela_Movimentacao_Geral[[#This Row],[Quantidade]] * Tabela_Movimentacao_Geral[[#This Row],[Valor Unitário]]</f>
        <v>950</v>
      </c>
      <c r="K654" t="str">
        <f ca="1">IF(
   $O$7="Desbloqueado",
   CHOOSE(RANDBETWEEN(1,3),"Pago","Pendente","Atrasado"),
   Tabela_Movimentacao_Geral[[#This Row],[Status Financeiro]]
)</f>
        <v>Atrasado</v>
      </c>
      <c r="L654" t="str">
        <f ca="1">IF(
   $O$7="Desbloqueado",
   CHOOSE(RANDBETWEEN(1,3),"Entregue","Em Rota","Aguardando"),
   Tabela_Movimentacao_Geral[[#This Row],[Status Logistico]]
)</f>
        <v>Entregue</v>
      </c>
      <c r="M65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5" spans="1:13" x14ac:dyDescent="0.3">
      <c r="A655" t="str">
        <f t="shared" si="9"/>
        <v>T0654</v>
      </c>
      <c r="B655" s="1">
        <v>45973</v>
      </c>
      <c r="C655" t="str" cm="1">
        <f t="array" aca="1" ref="C655" ca="1">IF($O$7="Desbloqueado",
  _xlfn.LET(
    _xlpm.saldo_atual, SUM(($C$2:$C654="Entrada")*($F$2:$F654=Tabela_Movimentacao_Geral[[#This Row],[ID Produto]])*($H$2:$H654) - ($C$2:$C654="Saida")*($F$2:$F654=Tabela_Movimentacao_Geral[[#This Row],[ID Produto]])*($H$2:$H654)),
    IF(_xlpm.saldo_atual &gt; 0, IF(RANDBETWEEN(0,10)&gt;3,"Saida","Entrada"), "Entrada")
  ),
  Tabela_Movimentacao_Geral[[#This Row],[Tipo Fluxo]]
)</f>
        <v>Saida</v>
      </c>
      <c r="D6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6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655" t="str">
        <f ca="1">IF(
  $O$7="Desbloqueado",
  "PROD"&amp;TEXT(RANDBETWEEN(1,200),"000"),
  Tabela_Movimentacao_Geral[[#This Row],[ID Produto]]
)</f>
        <v>PROD173</v>
      </c>
      <c r="G655" t="str">
        <f ca="1">_xlfn.XLOOKUP(Tabela_Movimentacao_Geral[[#This Row],[ID Produto]], Tabela_Produtos[ID_Produto],Tabela_Produtos[Descricao_Produto],"Produto não encontrado")</f>
        <v>Fita para Empacotamento</v>
      </c>
      <c r="H655" cm="1">
        <f t="array" aca="1" ref="H655" ca="1">IF(
   $O$7="Desbloqueado",
   _xlfn.LET(
     _xlpm.saldo_atual, SUM(($C$2:$C654="Entrada")*($F$2:$F654=Tabela_Movimentacao_Geral[[#This Row],[ID Produto]])*($H$2:$H654) - ($C$2:$C654="Saida")*($F$2:$F654=Tabela_Movimentacao_Geral[[#This Row],[ID Produto]])*($H$2:$H654)),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655" s="5">
        <f ca="1">_xlfn.XLOOKUP(Tabela_Movimentacao_Geral[[#This Row],[ID Produto]], Tabela_Produtos[ID_Produto],Tabela_Produtos[Preco_Unitario_Venda])</f>
        <v>15</v>
      </c>
      <c r="J655" s="6">
        <f ca="1">Tabela_Movimentacao_Geral[[#This Row],[Quantidade]] * Tabela_Movimentacao_Geral[[#This Row],[Valor Unitário]]</f>
        <v>885</v>
      </c>
      <c r="K655" t="str">
        <f ca="1">IF(
   $O$7="Desbloqueado",
   CHOOSE(RANDBETWEEN(1,3),"Pago","Pendente","Atrasado"),
   Tabela_Movimentacao_Geral[[#This Row],[Status Financeiro]]
)</f>
        <v>Atrasado</v>
      </c>
      <c r="L655" t="str">
        <f ca="1">IF(
   $O$7="Desbloqueado",
   CHOOSE(RANDBETWEEN(1,3),"Entregue","Em Rota","Aguardando"),
   Tabela_Movimentacao_Geral[[#This Row],[Status Logistico]]
)</f>
        <v>Aguardando</v>
      </c>
      <c r="M65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6" spans="1:13" x14ac:dyDescent="0.3">
      <c r="A656" t="str">
        <f t="shared" si="9"/>
        <v>T0655</v>
      </c>
      <c r="B656" s="1">
        <v>45974</v>
      </c>
      <c r="C656" t="str" cm="1">
        <f t="array" aca="1" ref="C656" ca="1">IF($O$7="Desbloqueado",
  _xlfn.LET(
    _xlpm.saldo_atual, SUM(($C$2:$C655="Entrada")*($F$2:$F655=Tabela_Movimentacao_Geral[[#This Row],[ID Produto]])*($H$2:$H655) - ($C$2:$C655="Saida")*($F$2:$F655=Tabela_Movimentacao_Geral[[#This Row],[ID Produto]])*($H$2:$H655)),
    IF(_xlpm.saldo_atual &gt; 0, IF(RANDBETWEEN(0,10)&gt;3,"Saida","Entrada"), "Entrada")
  ),
  Tabela_Movimentacao_Geral[[#This Row],[Tipo Fluxo]]
)</f>
        <v>Entrada</v>
      </c>
      <c r="D6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56" t="str">
        <f ca="1">IF(
  $O$7="Desbloqueado",
  "PROD"&amp;TEXT(RANDBETWEEN(1,200),"000"),
  Tabela_Movimentacao_Geral[[#This Row],[ID Produto]]
)</f>
        <v>PROD047</v>
      </c>
      <c r="G656" t="str">
        <f ca="1">_xlfn.XLOOKUP(Tabela_Movimentacao_Geral[[#This Row],[ID Produto]], Tabela_Produtos[ID_Produto],Tabela_Produtos[Descricao_Produto],"Produto não encontrado")</f>
        <v>Etiquetadora Termica</v>
      </c>
      <c r="H656" cm="1">
        <f t="array" aca="1" ref="H656" ca="1">IF(
   $O$7="Desbloqueado",
   _xlfn.LET(
     _xlpm.saldo_atual, SUM(($C$2:$C655="Entrada")*($F$2:$F655=Tabela_Movimentacao_Geral[[#This Row],[ID Produto]])*($H$2:$H655) - ($C$2:$C655="Saida")*($F$2:$F655=Tabela_Movimentacao_Geral[[#This Row],[ID Produto]])*($H$2:$H655)),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33</v>
      </c>
      <c r="I656" s="5">
        <f ca="1">_xlfn.XLOOKUP(Tabela_Movimentacao_Geral[[#This Row],[ID Produto]], Tabela_Produtos[ID_Produto],Tabela_Produtos[Preco_Unitario_Venda])</f>
        <v>420</v>
      </c>
      <c r="J656" s="6">
        <f ca="1">Tabela_Movimentacao_Geral[[#This Row],[Quantidade]] * Tabela_Movimentacao_Geral[[#This Row],[Valor Unitário]]</f>
        <v>13860</v>
      </c>
      <c r="K656" t="str">
        <f ca="1">IF(
   $O$7="Desbloqueado",
   CHOOSE(RANDBETWEEN(1,3),"Pago","Pendente","Atrasado"),
   Tabela_Movimentacao_Geral[[#This Row],[Status Financeiro]]
)</f>
        <v>Atrasado</v>
      </c>
      <c r="L656" t="str">
        <f ca="1">IF(
   $O$7="Desbloqueado",
   CHOOSE(RANDBETWEEN(1,3),"Entregue","Em Rota","Aguardando"),
   Tabela_Movimentacao_Geral[[#This Row],[Status Logistico]]
)</f>
        <v>Entregue</v>
      </c>
      <c r="M65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45975</v>
      </c>
    </row>
    <row r="657" spans="1:13" x14ac:dyDescent="0.3">
      <c r="A657" t="str">
        <f t="shared" si="9"/>
        <v>T0656</v>
      </c>
      <c r="B657" s="1">
        <v>45974</v>
      </c>
      <c r="C657" t="str" cm="1">
        <f t="array" aca="1" ref="C657" ca="1">IF($O$7="Desbloqueado",
  _xlfn.LET(
    _xlpm.saldo_atual, SUM(($C$2:$C656="Entrada")*($F$2:$F656=Tabela_Movimentacao_Geral[[#This Row],[ID Produto]])*($H$2:$H656) - ($C$2:$C656="Saida")*($F$2:$F656=Tabela_Movimentacao_Geral[[#This Row],[ID Produto]])*($H$2:$H656)),
    IF(_xlpm.saldo_atual &gt; 0, IF(RANDBETWEEN(0,10)&gt;3,"Saida","Entrada"), "Entrada")
  ),
  Tabela_Movimentacao_Geral[[#This Row],[Tipo Fluxo]]
)</f>
        <v>Saida</v>
      </c>
      <c r="D6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6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657" t="str">
        <f ca="1">IF(
  $O$7="Desbloqueado",
  "PROD"&amp;TEXT(RANDBETWEEN(1,200),"000"),
  Tabela_Movimentacao_Geral[[#This Row],[ID Produto]]
)</f>
        <v>PROD128</v>
      </c>
      <c r="G657" t="str">
        <f ca="1">_xlfn.XLOOKUP(Tabela_Movimentacao_Geral[[#This Row],[ID Produto]], Tabela_Produtos[ID_Produto],Tabela_Produtos[Descricao_Produto],"Produto não encontrado")</f>
        <v>Cabo de Rede Cat5e 5m</v>
      </c>
      <c r="H657" cm="1">
        <f t="array" aca="1" ref="H657" ca="1">IF(
   $O$7="Desbloqueado",
   _xlfn.LET(
     _xlpm.saldo_atual, SUM(($C$2:$C656="Entrada")*($F$2:$F656=Tabela_Movimentacao_Geral[[#This Row],[ID Produto]])*($H$2:$H656) - ($C$2:$C656="Saida")*($F$2:$F656=Tabela_Movimentacao_Geral[[#This Row],[ID Produto]])*($H$2:$H656)),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657" s="5">
        <f ca="1">_xlfn.XLOOKUP(Tabela_Movimentacao_Geral[[#This Row],[ID Produto]], Tabela_Produtos[ID_Produto],Tabela_Produtos[Preco_Unitario_Venda])</f>
        <v>18</v>
      </c>
      <c r="J657" s="6">
        <f ca="1">Tabela_Movimentacao_Geral[[#This Row],[Quantidade]] * Tabela_Movimentacao_Geral[[#This Row],[Valor Unitário]]</f>
        <v>756</v>
      </c>
      <c r="K657" t="str">
        <f ca="1">IF(
   $O$7="Desbloqueado",
   CHOOSE(RANDBETWEEN(1,3),"Pago","Pendente","Atrasado"),
   Tabela_Movimentacao_Geral[[#This Row],[Status Financeiro]]
)</f>
        <v>Atrasado</v>
      </c>
      <c r="L657" t="str">
        <f ca="1">IF(
   $O$7="Desbloqueado",
   CHOOSE(RANDBETWEEN(1,3),"Entregue","Em Rota","Aguardando"),
   Tabela_Movimentacao_Geral[[#This Row],[Status Logistico]]
)</f>
        <v>Entregue</v>
      </c>
      <c r="M65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58" spans="1:13" x14ac:dyDescent="0.3">
      <c r="A658" t="str">
        <f t="shared" si="9"/>
        <v>T0657</v>
      </c>
      <c r="B658" s="1">
        <v>45975</v>
      </c>
      <c r="C658" t="str" cm="1">
        <f t="array" aca="1" ref="C658" ca="1">IF($O$7="Desbloqueado",
  _xlfn.LET(
    _xlpm.saldo_atual, SUM(($C$2:$C657="Entrada")*($F$2:$F657=Tabela_Movimentacao_Geral[[#This Row],[ID Produto]])*($H$2:$H657) - ($C$2:$C657="Saida")*($F$2:$F657=Tabela_Movimentacao_Geral[[#This Row],[ID Produto]])*($H$2:$H657)),
    IF(_xlpm.saldo_atual &gt; 0, IF(RANDBETWEEN(0,10)&gt;3,"Saida","Entrada"), "Entrada")
  ),
  Tabela_Movimentacao_Geral[[#This Row],[Tipo Fluxo]]
)</f>
        <v>Entrada</v>
      </c>
      <c r="D6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6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658" t="str">
        <f ca="1">IF(
  $O$7="Desbloqueado",
  "PROD"&amp;TEXT(RANDBETWEEN(1,200),"000"),
  Tabela_Movimentacao_Geral[[#This Row],[ID Produto]]
)</f>
        <v>PROD086</v>
      </c>
      <c r="G658" t="str">
        <f ca="1">_xlfn.XLOOKUP(Tabela_Movimentacao_Geral[[#This Row],[ID Produto]], Tabela_Produtos[ID_Produto],Tabela_Produtos[Descricao_Produto],"Produto não encontrado")</f>
        <v>Transceiver SFP+ 10G</v>
      </c>
      <c r="H658" cm="1">
        <f t="array" aca="1" ref="H658" ca="1">IF(
   $O$7="Desbloqueado",
   _xlfn.LET(
     _xlpm.saldo_atual, SUM(($C$2:$C657="Entrada")*($F$2:$F657=Tabela_Movimentacao_Geral[[#This Row],[ID Produto]])*($H$2:$H657) - ($C$2:$C657="Saida")*($F$2:$F657=Tabela_Movimentacao_Geral[[#This Row],[ID Produto]])*($H$2:$H657)),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658" s="5">
        <f ca="1">_xlfn.XLOOKUP(Tabela_Movimentacao_Geral[[#This Row],[ID Produto]], Tabela_Produtos[ID_Produto],Tabela_Produtos[Preco_Unitario_Venda])</f>
        <v>320</v>
      </c>
      <c r="J658" s="6">
        <f ca="1">Tabela_Movimentacao_Geral[[#This Row],[Quantidade]] * Tabela_Movimentacao_Geral[[#This Row],[Valor Unitário]]</f>
        <v>14080</v>
      </c>
      <c r="K658" t="str">
        <f ca="1">IF(
   $O$7="Desbloqueado",
   CHOOSE(RANDBETWEEN(1,3),"Pago","Pendente","Atrasado"),
   Tabela_Movimentacao_Geral[[#This Row],[Status Financeiro]]
)</f>
        <v>Pago</v>
      </c>
      <c r="L658" t="str">
        <f ca="1">IF(
   $O$7="Desbloqueado",
   CHOOSE(RANDBETWEEN(1,3),"Entregue","Em Rota","Aguardando"),
   Tabela_Movimentacao_Geral[[#This Row],[Status Logistico]]
)</f>
        <v>Entregue</v>
      </c>
      <c r="M65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45980</v>
      </c>
    </row>
    <row r="659" spans="1:13" x14ac:dyDescent="0.3">
      <c r="A659" t="str">
        <f t="shared" si="9"/>
        <v>T0658</v>
      </c>
      <c r="B659" s="1">
        <v>45975</v>
      </c>
      <c r="C659" t="str" cm="1">
        <f t="array" aca="1" ref="C659" ca="1">IF($O$7="Desbloqueado",
  _xlfn.LET(
    _xlpm.saldo_atual, SUM(($C$2:$C658="Entrada")*($F$2:$F658=Tabela_Movimentacao_Geral[[#This Row],[ID Produto]])*($H$2:$H658) - ($C$2:$C658="Saida")*($F$2:$F658=Tabela_Movimentacao_Geral[[#This Row],[ID Produto]])*($H$2:$H658)),
    IF(_xlpm.saldo_atual &gt; 0, IF(RANDBETWEEN(0,10)&gt;3,"Saida","Entrada"), "Entrada")
  ),
  Tabela_Movimentacao_Geral[[#This Row],[Tipo Fluxo]]
)</f>
        <v>Saida</v>
      </c>
      <c r="D6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6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659" t="str">
        <f ca="1">IF(
  $O$7="Desbloqueado",
  "PROD"&amp;TEXT(RANDBETWEEN(1,200),"000"),
  Tabela_Movimentacao_Geral[[#This Row],[ID Produto]]
)</f>
        <v>PROD088</v>
      </c>
      <c r="G659" t="str">
        <f ca="1">_xlfn.XLOOKUP(Tabela_Movimentacao_Geral[[#This Row],[ID Produto]], Tabela_Produtos[ID_Produto],Tabela_Produtos[Descricao_Produto],"Produto não encontrado")</f>
        <v>Guia de Cabos Horizontal</v>
      </c>
      <c r="H659" cm="1">
        <f t="array" aca="1" ref="H659" ca="1">IF(
   $O$7="Desbloqueado",
   _xlfn.LET(
     _xlpm.saldo_atual, SUM(($C$2:$C658="Entrada")*($F$2:$F658=Tabela_Movimentacao_Geral[[#This Row],[ID Produto]])*($H$2:$H658) - ($C$2:$C658="Saida")*($F$2:$F658=Tabela_Movimentacao_Geral[[#This Row],[ID Produto]])*($H$2:$H658)),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58</v>
      </c>
      <c r="I659" s="5">
        <f ca="1">_xlfn.XLOOKUP(Tabela_Movimentacao_Geral[[#This Row],[ID Produto]], Tabela_Produtos[ID_Produto],Tabela_Produtos[Preco_Unitario_Venda])</f>
        <v>65</v>
      </c>
      <c r="J659" s="6">
        <f ca="1">Tabela_Movimentacao_Geral[[#This Row],[Quantidade]] * Tabela_Movimentacao_Geral[[#This Row],[Valor Unitário]]</f>
        <v>3770</v>
      </c>
      <c r="K659" t="str">
        <f ca="1">IF(
   $O$7="Desbloqueado",
   CHOOSE(RANDBETWEEN(1,3),"Pago","Pendente","Atrasado"),
   Tabela_Movimentacao_Geral[[#This Row],[Status Financeiro]]
)</f>
        <v>Atrasado</v>
      </c>
      <c r="L659" t="str">
        <f ca="1">IF(
   $O$7="Desbloqueado",
   CHOOSE(RANDBETWEEN(1,3),"Entregue","Em Rota","Aguardando"),
   Tabela_Movimentacao_Geral[[#This Row],[Status Logistico]]
)</f>
        <v>Aguardando</v>
      </c>
      <c r="M65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0" spans="1:13" x14ac:dyDescent="0.3">
      <c r="A660" t="str">
        <f t="shared" si="9"/>
        <v>T0659</v>
      </c>
      <c r="B660" s="1">
        <v>45975</v>
      </c>
      <c r="C660" t="str" cm="1">
        <f t="array" aca="1" ref="C660" ca="1">IF($O$7="Desbloqueado",
  _xlfn.LET(
    _xlpm.saldo_atual, SUM(($C$2:$C659="Entrada")*($F$2:$F659=Tabela_Movimentacao_Geral[[#This Row],[ID Produto]])*($H$2:$H659) - ($C$2:$C659="Saida")*($F$2:$F659=Tabela_Movimentacao_Geral[[#This Row],[ID Produto]])*($H$2:$H659)),
    IF(_xlpm.saldo_atual &gt; 0, IF(RANDBETWEEN(0,10)&gt;3,"Saida","Entrada"), "Entrada")
  ),
  Tabela_Movimentacao_Geral[[#This Row],[Tipo Fluxo]]
)</f>
        <v>Saida</v>
      </c>
      <c r="D6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6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660" t="str">
        <f ca="1">IF(
  $O$7="Desbloqueado",
  "PROD"&amp;TEXT(RANDBETWEEN(1,200),"000"),
  Tabela_Movimentacao_Geral[[#This Row],[ID Produto]]
)</f>
        <v>PROD116</v>
      </c>
      <c r="G660" t="str">
        <f ca="1">_xlfn.XLOOKUP(Tabela_Movimentacao_Geral[[#This Row],[ID Produto]], Tabela_Produtos[ID_Produto],Tabela_Produtos[Descricao_Produto],"Produto não encontrado")</f>
        <v>Protetor Eletronico 8 Tom</v>
      </c>
      <c r="H660" cm="1">
        <f t="array" aca="1" ref="H660" ca="1">IF(
   $O$7="Desbloqueado",
   _xlfn.LET(
     _xlpm.saldo_atual, SUM(($C$2:$C659="Entrada")*($F$2:$F659=Tabela_Movimentacao_Geral[[#This Row],[ID Produto]])*($H$2:$H659) - ($C$2:$C659="Saida")*($F$2:$F659=Tabela_Movimentacao_Geral[[#This Row],[ID Produto]])*($H$2:$H659)),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660" s="5">
        <f ca="1">_xlfn.XLOOKUP(Tabela_Movimentacao_Geral[[#This Row],[ID Produto]], Tabela_Produtos[ID_Produto],Tabela_Produtos[Preco_Unitario_Venda])</f>
        <v>85</v>
      </c>
      <c r="J660" s="6">
        <f ca="1">Tabela_Movimentacao_Geral[[#This Row],[Quantidade]] * Tabela_Movimentacao_Geral[[#This Row],[Valor Unitário]]</f>
        <v>1020</v>
      </c>
      <c r="K660" t="str">
        <f ca="1">IF(
   $O$7="Desbloqueado",
   CHOOSE(RANDBETWEEN(1,3),"Pago","Pendente","Atrasado"),
   Tabela_Movimentacao_Geral[[#This Row],[Status Financeiro]]
)</f>
        <v>Pendente</v>
      </c>
      <c r="L660" t="str">
        <f ca="1">IF(
   $O$7="Desbloqueado",
   CHOOSE(RANDBETWEEN(1,3),"Entregue","Em Rota","Aguardando"),
   Tabela_Movimentacao_Geral[[#This Row],[Status Logistico]]
)</f>
        <v>Entregue</v>
      </c>
      <c r="M66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1" spans="1:13" x14ac:dyDescent="0.3">
      <c r="A661" t="str">
        <f t="shared" si="9"/>
        <v>T0660</v>
      </c>
      <c r="B661" s="1">
        <v>45975</v>
      </c>
      <c r="C661" t="str" cm="1">
        <f t="array" aca="1" ref="C661" ca="1">IF($O$7="Desbloqueado",
  _xlfn.LET(
    _xlpm.saldo_atual, SUM(($C$2:$C660="Entrada")*($F$2:$F660=Tabela_Movimentacao_Geral[[#This Row],[ID Produto]])*($H$2:$H660) - ($C$2:$C660="Saida")*($F$2:$F660=Tabela_Movimentacao_Geral[[#This Row],[ID Produto]])*($H$2:$H660)),
    IF(_xlpm.saldo_atual &gt; 0, IF(RANDBETWEEN(0,10)&gt;3,"Saida","Entrada"), "Entrada")
  ),
  Tabela_Movimentacao_Geral[[#This Row],[Tipo Fluxo]]
)</f>
        <v>Entrada</v>
      </c>
      <c r="D6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6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661" t="str">
        <f ca="1">IF(
  $O$7="Desbloqueado",
  "PROD"&amp;TEXT(RANDBETWEEN(1,200),"000"),
  Tabela_Movimentacao_Geral[[#This Row],[ID Produto]]
)</f>
        <v>PROD010</v>
      </c>
      <c r="G661" t="str">
        <f ca="1">_xlfn.XLOOKUP(Tabela_Movimentacao_Geral[[#This Row],[ID Produto]], Tabela_Produtos[ID_Produto],Tabela_Produtos[Descricao_Produto],"Produto não encontrado")</f>
        <v>SSD 480GB SATA3</v>
      </c>
      <c r="H661" cm="1">
        <f t="array" aca="1" ref="H661" ca="1">IF(
   $O$7="Desbloqueado",
   _xlfn.LET(
     _xlpm.saldo_atual, SUM(($C$2:$C660="Entrada")*($F$2:$F660=Tabela_Movimentacao_Geral[[#This Row],[ID Produto]])*($H$2:$H660) - ($C$2:$C660="Saida")*($F$2:$F660=Tabela_Movimentacao_Geral[[#This Row],[ID Produto]])*($H$2:$H660)),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33</v>
      </c>
      <c r="I661" s="5">
        <f ca="1">_xlfn.XLOOKUP(Tabela_Movimentacao_Geral[[#This Row],[ID Produto]], Tabela_Produtos[ID_Produto],Tabela_Produtos[Preco_Unitario_Venda])</f>
        <v>320</v>
      </c>
      <c r="J661" s="6">
        <f ca="1">Tabela_Movimentacao_Geral[[#This Row],[Quantidade]] * Tabela_Movimentacao_Geral[[#This Row],[Valor Unitário]]</f>
        <v>10560</v>
      </c>
      <c r="K661" t="str">
        <f ca="1">IF(
   $O$7="Desbloqueado",
   CHOOSE(RANDBETWEEN(1,3),"Pago","Pendente","Atrasado"),
   Tabela_Movimentacao_Geral[[#This Row],[Status Financeiro]]
)</f>
        <v>Atrasado</v>
      </c>
      <c r="L661" t="str">
        <f ca="1">IF(
   $O$7="Desbloqueado",
   CHOOSE(RANDBETWEEN(1,3),"Entregue","Em Rota","Aguardando"),
   Tabela_Movimentacao_Geral[[#This Row],[Status Logistico]]
)</f>
        <v>Aguardando</v>
      </c>
      <c r="M66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45978</v>
      </c>
    </row>
    <row r="662" spans="1:13" x14ac:dyDescent="0.3">
      <c r="A662" t="str">
        <f t="shared" si="9"/>
        <v>T0661</v>
      </c>
      <c r="B662" s="1">
        <v>45975</v>
      </c>
      <c r="C662" t="str" cm="1">
        <f t="array" aca="1" ref="C662" ca="1">IF($O$7="Desbloqueado",
  _xlfn.LET(
    _xlpm.saldo_atual, SUM(($C$2:$C661="Entrada")*($F$2:$F661=Tabela_Movimentacao_Geral[[#This Row],[ID Produto]])*($H$2:$H661) - ($C$2:$C661="Saida")*($F$2:$F661=Tabela_Movimentacao_Geral[[#This Row],[ID Produto]])*($H$2:$H661)),
    IF(_xlpm.saldo_atual &gt; 0, IF(RANDBETWEEN(0,10)&gt;3,"Saida","Entrada"), "Entrada")
  ),
  Tabela_Movimentacao_Geral[[#This Row],[Tipo Fluxo]]
)</f>
        <v>Saida</v>
      </c>
      <c r="D6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6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662" t="str">
        <f ca="1">IF(
  $O$7="Desbloqueado",
  "PROD"&amp;TEXT(RANDBETWEEN(1,200),"000"),
  Tabela_Movimentacao_Geral[[#This Row],[ID Produto]]
)</f>
        <v>PROD046</v>
      </c>
      <c r="G662" t="str">
        <f ca="1">_xlfn.XLOOKUP(Tabela_Movimentacao_Geral[[#This Row],[ID Produto]], Tabela_Produtos[ID_Produto],Tabela_Produtos[Descricao_Produto],"Produto não encontrado")</f>
        <v>Organizador de Cabos Spiral</v>
      </c>
      <c r="H662" cm="1">
        <f t="array" aca="1" ref="H662" ca="1">IF(
   $O$7="Desbloqueado",
   _xlfn.LET(
     _xlpm.saldo_atual, SUM(($C$2:$C661="Entrada")*($F$2:$F661=Tabela_Movimentacao_Geral[[#This Row],[ID Produto]])*($H$2:$H661) - ($C$2:$C661="Saida")*($F$2:$F661=Tabela_Movimentacao_Geral[[#This Row],[ID Produto]])*($H$2:$H661)),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662" s="5">
        <f ca="1">_xlfn.XLOOKUP(Tabela_Movimentacao_Geral[[#This Row],[ID Produto]], Tabela_Produtos[ID_Produto],Tabela_Produtos[Preco_Unitario_Venda])</f>
        <v>15</v>
      </c>
      <c r="J662" s="6">
        <f ca="1">Tabela_Movimentacao_Geral[[#This Row],[Quantidade]] * Tabela_Movimentacao_Geral[[#This Row],[Valor Unitário]]</f>
        <v>165</v>
      </c>
      <c r="K662" t="str">
        <f ca="1">IF(
   $O$7="Desbloqueado",
   CHOOSE(RANDBETWEEN(1,3),"Pago","Pendente","Atrasado"),
   Tabela_Movimentacao_Geral[[#This Row],[Status Financeiro]]
)</f>
        <v>Pendente</v>
      </c>
      <c r="L662" t="str">
        <f ca="1">IF(
   $O$7="Desbloqueado",
   CHOOSE(RANDBETWEEN(1,3),"Entregue","Em Rota","Aguardando"),
   Tabela_Movimentacao_Geral[[#This Row],[Status Logistico]]
)</f>
        <v>Em Rota</v>
      </c>
      <c r="M66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3" spans="1:13" x14ac:dyDescent="0.3">
      <c r="A663" t="str">
        <f t="shared" ref="A663:A726" si="10">"T"&amp;TEXT(ROW(A663)-1,"0000")</f>
        <v>T0662</v>
      </c>
      <c r="B663" s="1">
        <v>45976</v>
      </c>
      <c r="C663" t="str" cm="1">
        <f t="array" aca="1" ref="C663" ca="1">IF($O$7="Desbloqueado",
  _xlfn.LET(
    _xlpm.saldo_atual, SUM(($C$2:$C662="Entrada")*($F$2:$F662=Tabela_Movimentacao_Geral[[#This Row],[ID Produto]])*($H$2:$H662) - ($C$2:$C662="Saida")*($F$2:$F662=Tabela_Movimentacao_Geral[[#This Row],[ID Produto]])*($H$2:$H662)),
    IF(_xlpm.saldo_atual &gt; 0, IF(RANDBETWEEN(0,10)&gt;3,"Saida","Entrada"), "Entrada")
  ),
  Tabela_Movimentacao_Geral[[#This Row],[Tipo Fluxo]]
)</f>
        <v>Saida</v>
      </c>
      <c r="D6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6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663" t="str">
        <f ca="1">IF(
  $O$7="Desbloqueado",
  "PROD"&amp;TEXT(RANDBETWEEN(1,200),"000"),
  Tabela_Movimentacao_Geral[[#This Row],[ID Produto]]
)</f>
        <v>PROD165</v>
      </c>
      <c r="G663" t="str">
        <f ca="1">_xlfn.XLOOKUP(Tabela_Movimentacao_Geral[[#This Row],[ID Produto]], Tabela_Produtos[ID_Produto],Tabela_Produtos[Descricao_Produto],"Produto não encontrado")</f>
        <v>Almofada para Carimbo</v>
      </c>
      <c r="H663" cm="1">
        <f t="array" aca="1" ref="H663" ca="1">IF(
   $O$7="Desbloqueado",
   _xlfn.LET(
     _xlpm.saldo_atual, SUM(($C$2:$C662="Entrada")*($F$2:$F662=Tabela_Movimentacao_Geral[[#This Row],[ID Produto]])*($H$2:$H662) - ($C$2:$C662="Saida")*($F$2:$F662=Tabela_Movimentacao_Geral[[#This Row],[ID Produto]])*($H$2:$H662)),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663" s="5">
        <f ca="1">_xlfn.XLOOKUP(Tabela_Movimentacao_Geral[[#This Row],[ID Produto]], Tabela_Produtos[ID_Produto],Tabela_Produtos[Preco_Unitario_Venda])</f>
        <v>18</v>
      </c>
      <c r="J663" s="6">
        <f ca="1">Tabela_Movimentacao_Geral[[#This Row],[Quantidade]] * Tabela_Movimentacao_Geral[[#This Row],[Valor Unitário]]</f>
        <v>1242</v>
      </c>
      <c r="K663" t="str">
        <f ca="1">IF(
   $O$7="Desbloqueado",
   CHOOSE(RANDBETWEEN(1,3),"Pago","Pendente","Atrasado"),
   Tabela_Movimentacao_Geral[[#This Row],[Status Financeiro]]
)</f>
        <v>Atrasado</v>
      </c>
      <c r="L663" t="str">
        <f ca="1">IF(
   $O$7="Desbloqueado",
   CHOOSE(RANDBETWEEN(1,3),"Entregue","Em Rota","Aguardando"),
   Tabela_Movimentacao_Geral[[#This Row],[Status Logistico]]
)</f>
        <v>Aguardando</v>
      </c>
      <c r="M66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4" spans="1:13" x14ac:dyDescent="0.3">
      <c r="A664" t="str">
        <f t="shared" si="10"/>
        <v>T0663</v>
      </c>
      <c r="B664" s="1">
        <v>45976</v>
      </c>
      <c r="C664" t="str" cm="1">
        <f t="array" aca="1" ref="C664" ca="1">IF($O$7="Desbloqueado",
  _xlfn.LET(
    _xlpm.saldo_atual, SUM(($C$2:$C663="Entrada")*($F$2:$F663=Tabela_Movimentacao_Geral[[#This Row],[ID Produto]])*($H$2:$H663) - ($C$2:$C663="Saida")*($F$2:$F663=Tabela_Movimentacao_Geral[[#This Row],[ID Produto]])*($H$2:$H663)),
    IF(_xlpm.saldo_atual &gt; 0, IF(RANDBETWEEN(0,10)&gt;3,"Saida","Entrada"), "Entrada")
  ),
  Tabela_Movimentacao_Geral[[#This Row],[Tipo Fluxo]]
)</f>
        <v>Entrada</v>
      </c>
      <c r="D6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6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664" t="str">
        <f ca="1">IF(
  $O$7="Desbloqueado",
  "PROD"&amp;TEXT(RANDBETWEEN(1,200),"000"),
  Tabela_Movimentacao_Geral[[#This Row],[ID Produto]]
)</f>
        <v>PROD075</v>
      </c>
      <c r="G664" t="str">
        <f ca="1">_xlfn.XLOOKUP(Tabela_Movimentacao_Geral[[#This Row],[ID Produto]], Tabela_Produtos[ID_Produto],Tabela_Produtos[Descricao_Produto],"Produto não encontrado")</f>
        <v>Suporte de Pasta Acrilico</v>
      </c>
      <c r="H664" cm="1">
        <f t="array" aca="1" ref="H664" ca="1">IF(
   $O$7="Desbloqueado",
   _xlfn.LET(
     _xlpm.saldo_atual, SUM(($C$2:$C663="Entrada")*($F$2:$F663=Tabela_Movimentacao_Geral[[#This Row],[ID Produto]])*($H$2:$H663) - ($C$2:$C663="Saida")*($F$2:$F663=Tabela_Movimentacao_Geral[[#This Row],[ID Produto]])*($H$2:$H663)),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48</v>
      </c>
      <c r="I664" s="5">
        <f ca="1">_xlfn.XLOOKUP(Tabela_Movimentacao_Geral[[#This Row],[ID Produto]], Tabela_Produtos[ID_Produto],Tabela_Produtos[Preco_Unitario_Venda])</f>
        <v>38</v>
      </c>
      <c r="J664" s="6">
        <f ca="1">Tabela_Movimentacao_Geral[[#This Row],[Quantidade]] * Tabela_Movimentacao_Geral[[#This Row],[Valor Unitário]]</f>
        <v>1824</v>
      </c>
      <c r="K664" t="str">
        <f ca="1">IF(
   $O$7="Desbloqueado",
   CHOOSE(RANDBETWEEN(1,3),"Pago","Pendente","Atrasado"),
   Tabela_Movimentacao_Geral[[#This Row],[Status Financeiro]]
)</f>
        <v>Atrasado</v>
      </c>
      <c r="L664" t="str">
        <f ca="1">IF(
   $O$7="Desbloqueado",
   CHOOSE(RANDBETWEEN(1,3),"Entregue","Em Rota","Aguardando"),
   Tabela_Movimentacao_Geral[[#This Row],[Status Logistico]]
)</f>
        <v>Entregue</v>
      </c>
      <c r="M66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45988</v>
      </c>
    </row>
    <row r="665" spans="1:13" x14ac:dyDescent="0.3">
      <c r="A665" t="str">
        <f t="shared" si="10"/>
        <v>T0664</v>
      </c>
      <c r="B665" s="1">
        <v>45976</v>
      </c>
      <c r="C665" t="str" cm="1">
        <f t="array" aca="1" ref="C665" ca="1">IF($O$7="Desbloqueado",
  _xlfn.LET(
    _xlpm.saldo_atual, SUM(($C$2:$C664="Entrada")*($F$2:$F664=Tabela_Movimentacao_Geral[[#This Row],[ID Produto]])*($H$2:$H664) - ($C$2:$C664="Saida")*($F$2:$F664=Tabela_Movimentacao_Geral[[#This Row],[ID Produto]])*($H$2:$H664)),
    IF(_xlpm.saldo_atual &gt; 0, IF(RANDBETWEEN(0,10)&gt;3,"Saida","Entrada"), "Entrada")
  ),
  Tabela_Movimentacao_Geral[[#This Row],[Tipo Fluxo]]
)</f>
        <v>Saida</v>
      </c>
      <c r="D6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6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665" t="str">
        <f ca="1">IF(
  $O$7="Desbloqueado",
  "PROD"&amp;TEXT(RANDBETWEEN(1,200),"000"),
  Tabela_Movimentacao_Geral[[#This Row],[ID Produto]]
)</f>
        <v>PROD118</v>
      </c>
      <c r="G665" t="str">
        <f ca="1">_xlfn.XLOOKUP(Tabela_Movimentacao_Geral[[#This Row],[ID Produto]], Tabela_Produtos[ID_Produto],Tabela_Produtos[Descricao_Produto],"Produto não encontrado")</f>
        <v>Case para HD Externo 2.5</v>
      </c>
      <c r="H665" cm="1">
        <f t="array" aca="1" ref="H665" ca="1">IF(
   $O$7="Desbloqueado",
   _xlfn.LET(
     _xlpm.saldo_atual, SUM(($C$2:$C664="Entrada")*($F$2:$F664=Tabela_Movimentacao_Geral[[#This Row],[ID Produto]])*($H$2:$H664) - ($C$2:$C664="Saida")*($F$2:$F664=Tabela_Movimentacao_Geral[[#This Row],[ID Produto]])*($H$2:$H664)),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665" s="5">
        <f ca="1">_xlfn.XLOOKUP(Tabela_Movimentacao_Geral[[#This Row],[ID Produto]], Tabela_Produtos[ID_Produto],Tabela_Produtos[Preco_Unitario_Venda])</f>
        <v>55</v>
      </c>
      <c r="J665" s="6">
        <f ca="1">Tabela_Movimentacao_Geral[[#This Row],[Quantidade]] * Tabela_Movimentacao_Geral[[#This Row],[Valor Unitário]]</f>
        <v>1045</v>
      </c>
      <c r="K665" t="str">
        <f ca="1">IF(
   $O$7="Desbloqueado",
   CHOOSE(RANDBETWEEN(1,3),"Pago","Pendente","Atrasado"),
   Tabela_Movimentacao_Geral[[#This Row],[Status Financeiro]]
)</f>
        <v>Atrasado</v>
      </c>
      <c r="L665" t="str">
        <f ca="1">IF(
   $O$7="Desbloqueado",
   CHOOSE(RANDBETWEEN(1,3),"Entregue","Em Rota","Aguardando"),
   Tabela_Movimentacao_Geral[[#This Row],[Status Logistico]]
)</f>
        <v>Entregue</v>
      </c>
      <c r="M66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6" spans="1:13" x14ac:dyDescent="0.3">
      <c r="A666" t="str">
        <f t="shared" si="10"/>
        <v>T0665</v>
      </c>
      <c r="B666" s="1">
        <v>45977</v>
      </c>
      <c r="C666" t="str" cm="1">
        <f t="array" aca="1" ref="C666" ca="1">IF($O$7="Desbloqueado",
  _xlfn.LET(
    _xlpm.saldo_atual, SUM(($C$2:$C665="Entrada")*($F$2:$F665=Tabela_Movimentacao_Geral[[#This Row],[ID Produto]])*($H$2:$H665) - ($C$2:$C665="Saida")*($F$2:$F665=Tabela_Movimentacao_Geral[[#This Row],[ID Produto]])*($H$2:$H665)),
    IF(_xlpm.saldo_atual &gt; 0, IF(RANDBETWEEN(0,10)&gt;3,"Saida","Entrada"), "Entrada")
  ),
  Tabela_Movimentacao_Geral[[#This Row],[Tipo Fluxo]]
)</f>
        <v>Saida</v>
      </c>
      <c r="D6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6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666" t="str">
        <f ca="1">IF(
  $O$7="Desbloqueado",
  "PROD"&amp;TEXT(RANDBETWEEN(1,200),"000"),
  Tabela_Movimentacao_Geral[[#This Row],[ID Produto]]
)</f>
        <v>PROD166</v>
      </c>
      <c r="G666" t="str">
        <f ca="1">_xlfn.XLOOKUP(Tabela_Movimentacao_Geral[[#This Row],[ID Produto]], Tabela_Produtos[ID_Produto],Tabela_Produtos[Descricao_Produto],"Produto não encontrado")</f>
        <v>Tinta para Carimbo 30ml</v>
      </c>
      <c r="H666" cm="1">
        <f t="array" aca="1" ref="H666" ca="1">IF(
   $O$7="Desbloqueado",
   _xlfn.LET(
     _xlpm.saldo_atual, SUM(($C$2:$C665="Entrada")*($F$2:$F665=Tabela_Movimentacao_Geral[[#This Row],[ID Produto]])*($H$2:$H665) - ($C$2:$C665="Saida")*($F$2:$F665=Tabela_Movimentacao_Geral[[#This Row],[ID Produto]])*($H$2:$H665)),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83</v>
      </c>
      <c r="I666" s="5">
        <f ca="1">_xlfn.XLOOKUP(Tabela_Movimentacao_Geral[[#This Row],[ID Produto]], Tabela_Produtos[ID_Produto],Tabela_Produtos[Preco_Unitario_Venda])</f>
        <v>12</v>
      </c>
      <c r="J666" s="6">
        <f ca="1">Tabela_Movimentacao_Geral[[#This Row],[Quantidade]] * Tabela_Movimentacao_Geral[[#This Row],[Valor Unitário]]</f>
        <v>996</v>
      </c>
      <c r="K666" t="str">
        <f ca="1">IF(
   $O$7="Desbloqueado",
   CHOOSE(RANDBETWEEN(1,3),"Pago","Pendente","Atrasado"),
   Tabela_Movimentacao_Geral[[#This Row],[Status Financeiro]]
)</f>
        <v>Pago</v>
      </c>
      <c r="L666" t="str">
        <f ca="1">IF(
   $O$7="Desbloqueado",
   CHOOSE(RANDBETWEEN(1,3),"Entregue","Em Rota","Aguardando"),
   Tabela_Movimentacao_Geral[[#This Row],[Status Logistico]]
)</f>
        <v>Entregue</v>
      </c>
      <c r="M66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7" spans="1:13" x14ac:dyDescent="0.3">
      <c r="A667" t="str">
        <f t="shared" si="10"/>
        <v>T0666</v>
      </c>
      <c r="B667" s="1">
        <v>45977</v>
      </c>
      <c r="C667" t="str" cm="1">
        <f t="array" aca="1" ref="C667" ca="1">IF($O$7="Desbloqueado",
  _xlfn.LET(
    _xlpm.saldo_atual, SUM(($C$2:$C666="Entrada")*($F$2:$F666=Tabela_Movimentacao_Geral[[#This Row],[ID Produto]])*($H$2:$H666) - ($C$2:$C666="Saida")*($F$2:$F666=Tabela_Movimentacao_Geral[[#This Row],[ID Produto]])*($H$2:$H666)),
    IF(_xlpm.saldo_atual &gt; 0, IF(RANDBETWEEN(0,10)&gt;3,"Saida","Entrada"), "Entrada")
  ),
  Tabela_Movimentacao_Geral[[#This Row],[Tipo Fluxo]]
)</f>
        <v>Saida</v>
      </c>
      <c r="D6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6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667" t="str">
        <f ca="1">IF(
  $O$7="Desbloqueado",
  "PROD"&amp;TEXT(RANDBETWEEN(1,200),"000"),
  Tabela_Movimentacao_Geral[[#This Row],[ID Produto]]
)</f>
        <v>PROD192</v>
      </c>
      <c r="G667" t="str">
        <f ca="1">_xlfn.XLOOKUP(Tabela_Movimentacao_Geral[[#This Row],[ID Produto]], Tabela_Produtos[ID_Produto],Tabela_Produtos[Descricao_Produto],"Produto não encontrado")</f>
        <v>Protetor Surto Coaxial</v>
      </c>
      <c r="H667" cm="1">
        <f t="array" aca="1" ref="H667" ca="1">IF(
   $O$7="Desbloqueado",
   _xlfn.LET(
     _xlpm.saldo_atual, SUM(($C$2:$C666="Entrada")*($F$2:$F666=Tabela_Movimentacao_Geral[[#This Row],[ID Produto]])*($H$2:$H666) - ($C$2:$C666="Saida")*($F$2:$F666=Tabela_Movimentacao_Geral[[#This Row],[ID Produto]])*($H$2:$H666)),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667" s="5">
        <f ca="1">_xlfn.XLOOKUP(Tabela_Movimentacao_Geral[[#This Row],[ID Produto]], Tabela_Produtos[ID_Produto],Tabela_Produtos[Preco_Unitario_Venda])</f>
        <v>85</v>
      </c>
      <c r="J667" s="6">
        <f ca="1">Tabela_Movimentacao_Geral[[#This Row],[Quantidade]] * Tabela_Movimentacao_Geral[[#This Row],[Valor Unitário]]</f>
        <v>170</v>
      </c>
      <c r="K667" t="str">
        <f ca="1">IF(
   $O$7="Desbloqueado",
   CHOOSE(RANDBETWEEN(1,3),"Pago","Pendente","Atrasado"),
   Tabela_Movimentacao_Geral[[#This Row],[Status Financeiro]]
)</f>
        <v>Pago</v>
      </c>
      <c r="L667" t="str">
        <f ca="1">IF(
   $O$7="Desbloqueado",
   CHOOSE(RANDBETWEEN(1,3),"Entregue","Em Rota","Aguardando"),
   Tabela_Movimentacao_Geral[[#This Row],[Status Logistico]]
)</f>
        <v>Em Rota</v>
      </c>
      <c r="M66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8" spans="1:13" x14ac:dyDescent="0.3">
      <c r="A668" t="str">
        <f t="shared" si="10"/>
        <v>T0667</v>
      </c>
      <c r="B668" s="1">
        <v>45977</v>
      </c>
      <c r="C668" t="str" cm="1">
        <f t="array" aca="1" ref="C668" ca="1">IF($O$7="Desbloqueado",
  _xlfn.LET(
    _xlpm.saldo_atual, SUM(($C$2:$C667="Entrada")*($F$2:$F667=Tabela_Movimentacao_Geral[[#This Row],[ID Produto]])*($H$2:$H667) - ($C$2:$C667="Saida")*($F$2:$F667=Tabela_Movimentacao_Geral[[#This Row],[ID Produto]])*($H$2:$H667)),
    IF(_xlpm.saldo_atual &gt; 0, IF(RANDBETWEEN(0,10)&gt;3,"Saida","Entrada"), "Entrada")
  ),
  Tabela_Movimentacao_Geral[[#This Row],[Tipo Fluxo]]
)</f>
        <v>Saida</v>
      </c>
      <c r="D6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6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668" t="str">
        <f ca="1">IF(
  $O$7="Desbloqueado",
  "PROD"&amp;TEXT(RANDBETWEEN(1,200),"000"),
  Tabela_Movimentacao_Geral[[#This Row],[ID Produto]]
)</f>
        <v>PROD034</v>
      </c>
      <c r="G668" t="str">
        <f ca="1">_xlfn.XLOOKUP(Tabela_Movimentacao_Geral[[#This Row],[ID Produto]], Tabela_Produtos[ID_Produto],Tabela_Produtos[Descricao_Produto],"Produto não encontrado")</f>
        <v>Projetor Multimidia 4K</v>
      </c>
      <c r="H668" cm="1">
        <f t="array" aca="1" ref="H668" ca="1">IF(
   $O$7="Desbloqueado",
   _xlfn.LET(
     _xlpm.saldo_atual, SUM(($C$2:$C667="Entrada")*($F$2:$F667=Tabela_Movimentacao_Geral[[#This Row],[ID Produto]])*($H$2:$H667) - ($C$2:$C667="Saida")*($F$2:$F667=Tabela_Movimentacao_Geral[[#This Row],[ID Produto]])*($H$2:$H667)),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668" s="5">
        <f ca="1">_xlfn.XLOOKUP(Tabela_Movimentacao_Geral[[#This Row],[ID Produto]], Tabela_Produtos[ID_Produto],Tabela_Produtos[Preco_Unitario_Venda])</f>
        <v>4200</v>
      </c>
      <c r="J668" s="6">
        <f ca="1">Tabela_Movimentacao_Geral[[#This Row],[Quantidade]] * Tabela_Movimentacao_Geral[[#This Row],[Valor Unitário]]</f>
        <v>109200</v>
      </c>
      <c r="K668" t="str">
        <f ca="1">IF(
   $O$7="Desbloqueado",
   CHOOSE(RANDBETWEEN(1,3),"Pago","Pendente","Atrasado"),
   Tabela_Movimentacao_Geral[[#This Row],[Status Financeiro]]
)</f>
        <v>Atrasado</v>
      </c>
      <c r="L668" t="str">
        <f ca="1">IF(
   $O$7="Desbloqueado",
   CHOOSE(RANDBETWEEN(1,3),"Entregue","Em Rota","Aguardando"),
   Tabela_Movimentacao_Geral[[#This Row],[Status Logistico]]
)</f>
        <v>Entregue</v>
      </c>
      <c r="M66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69" spans="1:13" x14ac:dyDescent="0.3">
      <c r="A669" t="str">
        <f t="shared" si="10"/>
        <v>T0668</v>
      </c>
      <c r="B669" s="1">
        <v>45978</v>
      </c>
      <c r="C669" t="str" cm="1">
        <f t="array" aca="1" ref="C669" ca="1">IF($O$7="Desbloqueado",
  _xlfn.LET(
    _xlpm.saldo_atual, SUM(($C$2:$C668="Entrada")*($F$2:$F668=Tabela_Movimentacao_Geral[[#This Row],[ID Produto]])*($H$2:$H668) - ($C$2:$C668="Saida")*($F$2:$F668=Tabela_Movimentacao_Geral[[#This Row],[ID Produto]])*($H$2:$H668)),
    IF(_xlpm.saldo_atual &gt; 0, IF(RANDBETWEEN(0,10)&gt;3,"Saida","Entrada"), "Entrada")
  ),
  Tabela_Movimentacao_Geral[[#This Row],[Tipo Fluxo]]
)</f>
        <v>Entrada</v>
      </c>
      <c r="D6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6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669" t="str">
        <f ca="1">IF(
  $O$7="Desbloqueado",
  "PROD"&amp;TEXT(RANDBETWEEN(1,200),"000"),
  Tabela_Movimentacao_Geral[[#This Row],[ID Produto]]
)</f>
        <v>PROD166</v>
      </c>
      <c r="G669" t="str">
        <f ca="1">_xlfn.XLOOKUP(Tabela_Movimentacao_Geral[[#This Row],[ID Produto]], Tabela_Produtos[ID_Produto],Tabela_Produtos[Descricao_Produto],"Produto não encontrado")</f>
        <v>Tinta para Carimbo 30ml</v>
      </c>
      <c r="H669" cm="1">
        <f t="array" aca="1" ref="H669" ca="1">IF(
   $O$7="Desbloqueado",
   _xlfn.LET(
     _xlpm.saldo_atual, SUM(($C$2:$C668="Entrada")*($F$2:$F668=Tabela_Movimentacao_Geral[[#This Row],[ID Produto]])*($H$2:$H668) - ($C$2:$C668="Saida")*($F$2:$F668=Tabela_Movimentacao_Geral[[#This Row],[ID Produto]])*($H$2:$H668)),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65</v>
      </c>
      <c r="I669" s="5">
        <f ca="1">_xlfn.XLOOKUP(Tabela_Movimentacao_Geral[[#This Row],[ID Produto]], Tabela_Produtos[ID_Produto],Tabela_Produtos[Preco_Unitario_Venda])</f>
        <v>12</v>
      </c>
      <c r="J669" s="6">
        <f ca="1">Tabela_Movimentacao_Geral[[#This Row],[Quantidade]] * Tabela_Movimentacao_Geral[[#This Row],[Valor Unitário]]</f>
        <v>780</v>
      </c>
      <c r="K669" t="str">
        <f ca="1">IF(
   $O$7="Desbloqueado",
   CHOOSE(RANDBETWEEN(1,3),"Pago","Pendente","Atrasado"),
   Tabela_Movimentacao_Geral[[#This Row],[Status Financeiro]]
)</f>
        <v>Atrasado</v>
      </c>
      <c r="L669" t="str">
        <f ca="1">IF(
   $O$7="Desbloqueado",
   CHOOSE(RANDBETWEEN(1,3),"Entregue","Em Rota","Aguardando"),
   Tabela_Movimentacao_Geral[[#This Row],[Status Logistico]]
)</f>
        <v>Aguardando</v>
      </c>
      <c r="M66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45985</v>
      </c>
    </row>
    <row r="670" spans="1:13" x14ac:dyDescent="0.3">
      <c r="A670" t="str">
        <f t="shared" si="10"/>
        <v>T0669</v>
      </c>
      <c r="B670" s="1">
        <v>45978</v>
      </c>
      <c r="C670" t="str" cm="1">
        <f t="array" aca="1" ref="C670" ca="1">IF($O$7="Desbloqueado",
  _xlfn.LET(
    _xlpm.saldo_atual, SUM(($C$2:$C669="Entrada")*($F$2:$F669=Tabela_Movimentacao_Geral[[#This Row],[ID Produto]])*($H$2:$H669) - ($C$2:$C669="Saida")*($F$2:$F669=Tabela_Movimentacao_Geral[[#This Row],[ID Produto]])*($H$2:$H669)),
    IF(_xlpm.saldo_atual &gt; 0, IF(RANDBETWEEN(0,10)&gt;3,"Saida","Entrada"), "Entrada")
  ),
  Tabela_Movimentacao_Geral[[#This Row],[Tipo Fluxo]]
)</f>
        <v>Entrada</v>
      </c>
      <c r="D6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6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670" t="str">
        <f ca="1">IF(
  $O$7="Desbloqueado",
  "PROD"&amp;TEXT(RANDBETWEEN(1,200),"000"),
  Tabela_Movimentacao_Geral[[#This Row],[ID Produto]]
)</f>
        <v>PROD094</v>
      </c>
      <c r="G670" t="str">
        <f ca="1">_xlfn.XLOOKUP(Tabela_Movimentacao_Geral[[#This Row],[ID Produto]], Tabela_Produtos[ID_Produto],Tabela_Produtos[Descricao_Produto],"Produto não encontrado")</f>
        <v>Exaustor para Rack</v>
      </c>
      <c r="H670" cm="1">
        <f t="array" aca="1" ref="H670" ca="1">IF(
   $O$7="Desbloqueado",
   _xlfn.LET(
     _xlpm.saldo_atual, SUM(($C$2:$C669="Entrada")*($F$2:$F669=Tabela_Movimentacao_Geral[[#This Row],[ID Produto]])*($H$2:$H669) - ($C$2:$C669="Saida")*($F$2:$F669=Tabela_Movimentacao_Geral[[#This Row],[ID Produto]])*($H$2:$H669)),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670" s="5">
        <f ca="1">_xlfn.XLOOKUP(Tabela_Movimentacao_Geral[[#This Row],[ID Produto]], Tabela_Produtos[ID_Produto],Tabela_Produtos[Preco_Unitario_Venda])</f>
        <v>220</v>
      </c>
      <c r="J670" s="6">
        <f ca="1">Tabela_Movimentacao_Geral[[#This Row],[Quantidade]] * Tabela_Movimentacao_Geral[[#This Row],[Valor Unitário]]</f>
        <v>18480</v>
      </c>
      <c r="K670" t="str">
        <f ca="1">IF(
   $O$7="Desbloqueado",
   CHOOSE(RANDBETWEEN(1,3),"Pago","Pendente","Atrasado"),
   Tabela_Movimentacao_Geral[[#This Row],[Status Financeiro]]
)</f>
        <v>Atrasado</v>
      </c>
      <c r="L670" t="str">
        <f ca="1">IF(
   $O$7="Desbloqueado",
   CHOOSE(RANDBETWEEN(1,3),"Entregue","Em Rota","Aguardando"),
   Tabela_Movimentacao_Geral[[#This Row],[Status Logistico]]
)</f>
        <v>Aguardando</v>
      </c>
      <c r="M67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45979</v>
      </c>
    </row>
    <row r="671" spans="1:13" x14ac:dyDescent="0.3">
      <c r="A671" t="str">
        <f t="shared" si="10"/>
        <v>T0670</v>
      </c>
      <c r="B671" s="1">
        <v>45979</v>
      </c>
      <c r="C671" t="str" cm="1">
        <f t="array" aca="1" ref="C671" ca="1">IF($O$7="Desbloqueado",
  _xlfn.LET(
    _xlpm.saldo_atual, SUM(($C$2:$C670="Entrada")*($F$2:$F670=Tabela_Movimentacao_Geral[[#This Row],[ID Produto]])*($H$2:$H670) - ($C$2:$C670="Saida")*($F$2:$F670=Tabela_Movimentacao_Geral[[#This Row],[ID Produto]])*($H$2:$H670)),
    IF(_xlpm.saldo_atual &gt; 0, IF(RANDBETWEEN(0,10)&gt;3,"Saida","Entrada"), "Entrada")
  ),
  Tabela_Movimentacao_Geral[[#This Row],[Tipo Fluxo]]
)</f>
        <v>Entrada</v>
      </c>
      <c r="D6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6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671" t="str">
        <f ca="1">IF(
  $O$7="Desbloqueado",
  "PROD"&amp;TEXT(RANDBETWEEN(1,200),"000"),
  Tabela_Movimentacao_Geral[[#This Row],[ID Produto]]
)</f>
        <v>PROD017</v>
      </c>
      <c r="G671" t="str">
        <f ca="1">_xlfn.XLOOKUP(Tabela_Movimentacao_Geral[[#This Row],[ID Produto]], Tabela_Produtos[ID_Produto],Tabela_Produtos[Descricao_Produto],"Produto não encontrado")</f>
        <v>Adaptador USB-C para HDMI</v>
      </c>
      <c r="H671" cm="1">
        <f t="array" aca="1" ref="H671" ca="1">IF(
   $O$7="Desbloqueado",
   _xlfn.LET(
     _xlpm.saldo_atual, SUM(($C$2:$C670="Entrada")*($F$2:$F670=Tabela_Movimentacao_Geral[[#This Row],[ID Produto]])*($H$2:$H670) - ($C$2:$C670="Saida")*($F$2:$F670=Tabela_Movimentacao_Geral[[#This Row],[ID Produto]])*($H$2:$H670)),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83</v>
      </c>
      <c r="I671" s="5">
        <f ca="1">_xlfn.XLOOKUP(Tabela_Movimentacao_Geral[[#This Row],[ID Produto]], Tabela_Produtos[ID_Produto],Tabela_Produtos[Preco_Unitario_Venda])</f>
        <v>130</v>
      </c>
      <c r="J671" s="6">
        <f ca="1">Tabela_Movimentacao_Geral[[#This Row],[Quantidade]] * Tabela_Movimentacao_Geral[[#This Row],[Valor Unitário]]</f>
        <v>10790</v>
      </c>
      <c r="K671" t="str">
        <f ca="1">IF(
   $O$7="Desbloqueado",
   CHOOSE(RANDBETWEEN(1,3),"Pago","Pendente","Atrasado"),
   Tabela_Movimentacao_Geral[[#This Row],[Status Financeiro]]
)</f>
        <v>Atrasado</v>
      </c>
      <c r="L671" t="str">
        <f ca="1">IF(
   $O$7="Desbloqueado",
   CHOOSE(RANDBETWEEN(1,3),"Entregue","Em Rota","Aguardando"),
   Tabela_Movimentacao_Geral[[#This Row],[Status Logistico]]
)</f>
        <v>Aguardando</v>
      </c>
      <c r="M6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45984</v>
      </c>
    </row>
    <row r="672" spans="1:13" x14ac:dyDescent="0.3">
      <c r="A672" t="str">
        <f t="shared" si="10"/>
        <v>T0671</v>
      </c>
      <c r="B672" s="1">
        <v>45979</v>
      </c>
      <c r="C672" t="str" cm="1">
        <f t="array" aca="1" ref="C672" ca="1">IF($O$7="Desbloqueado",
  _xlfn.LET(
    _xlpm.saldo_atual, SUM(($C$2:$C671="Entrada")*($F$2:$F671=Tabela_Movimentacao_Geral[[#This Row],[ID Produto]])*($H$2:$H671) - ($C$2:$C671="Saida")*($F$2:$F671=Tabela_Movimentacao_Geral[[#This Row],[ID Produto]])*($H$2:$H671)),
    IF(_xlpm.saldo_atual &gt; 0, IF(RANDBETWEEN(0,10)&gt;3,"Saida","Entrada"), "Entrada")
  ),
  Tabela_Movimentacao_Geral[[#This Row],[Tipo Fluxo]]
)</f>
        <v>Saida</v>
      </c>
      <c r="D6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6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672" t="str">
        <f ca="1">IF(
  $O$7="Desbloqueado",
  "PROD"&amp;TEXT(RANDBETWEEN(1,200),"000"),
  Tabela_Movimentacao_Geral[[#This Row],[ID Produto]]
)</f>
        <v>PROD173</v>
      </c>
      <c r="G672" t="str">
        <f ca="1">_xlfn.XLOOKUP(Tabela_Movimentacao_Geral[[#This Row],[ID Produto]], Tabela_Produtos[ID_Produto],Tabela_Produtos[Descricao_Produto],"Produto não encontrado")</f>
        <v>Fita para Empacotamento</v>
      </c>
      <c r="H672" cm="1">
        <f t="array" aca="1" ref="H672" ca="1">IF(
   $O$7="Desbloqueado",
   _xlfn.LET(
     _xlpm.saldo_atual, SUM(($C$2:$C671="Entrada")*($F$2:$F671=Tabela_Movimentacao_Geral[[#This Row],[ID Produto]])*($H$2:$H671) - ($C$2:$C671="Saida")*($F$2:$F671=Tabela_Movimentacao_Geral[[#This Row],[ID Produto]])*($H$2:$H671)),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672" s="5">
        <f ca="1">_xlfn.XLOOKUP(Tabela_Movimentacao_Geral[[#This Row],[ID Produto]], Tabela_Produtos[ID_Produto],Tabela_Produtos[Preco_Unitario_Venda])</f>
        <v>15</v>
      </c>
      <c r="J672" s="6">
        <f ca="1">Tabela_Movimentacao_Geral[[#This Row],[Quantidade]] * Tabela_Movimentacao_Geral[[#This Row],[Valor Unitário]]</f>
        <v>630</v>
      </c>
      <c r="K672" t="str">
        <f ca="1">IF(
   $O$7="Desbloqueado",
   CHOOSE(RANDBETWEEN(1,3),"Pago","Pendente","Atrasado"),
   Tabela_Movimentacao_Geral[[#This Row],[Status Financeiro]]
)</f>
        <v>Pago</v>
      </c>
      <c r="L672" t="str">
        <f ca="1">IF(
   $O$7="Desbloqueado",
   CHOOSE(RANDBETWEEN(1,3),"Entregue","Em Rota","Aguardando"),
   Tabela_Movimentacao_Geral[[#This Row],[Status Logistico]]
)</f>
        <v>Em Rota</v>
      </c>
      <c r="M67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73" spans="1:13" x14ac:dyDescent="0.3">
      <c r="A673" t="str">
        <f t="shared" si="10"/>
        <v>T0672</v>
      </c>
      <c r="B673" s="1">
        <v>45979</v>
      </c>
      <c r="C673" t="str" cm="1">
        <f t="array" aca="1" ref="C673" ca="1">IF($O$7="Desbloqueado",
  _xlfn.LET(
    _xlpm.saldo_atual, SUM(($C$2:$C672="Entrada")*($F$2:$F672=Tabela_Movimentacao_Geral[[#This Row],[ID Produto]])*($H$2:$H672) - ($C$2:$C672="Saida")*($F$2:$F672=Tabela_Movimentacao_Geral[[#This Row],[ID Produto]])*($H$2:$H672)),
    IF(_xlpm.saldo_atual &gt; 0, IF(RANDBETWEEN(0,10)&gt;3,"Saida","Entrada"), "Entrada")
  ),
  Tabela_Movimentacao_Geral[[#This Row],[Tipo Fluxo]]
)</f>
        <v>Saida</v>
      </c>
      <c r="D6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6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673" t="str">
        <f ca="1">IF(
  $O$7="Desbloqueado",
  "PROD"&amp;TEXT(RANDBETWEEN(1,200),"000"),
  Tabela_Movimentacao_Geral[[#This Row],[ID Produto]]
)</f>
        <v>PROD005</v>
      </c>
      <c r="G673" t="str">
        <f ca="1">_xlfn.XLOOKUP(Tabela_Movimentacao_Geral[[#This Row],[ID Produto]], Tabela_Produtos[ID_Produto],Tabela_Produtos[Descricao_Produto],"Produto não encontrado")</f>
        <v>Notebook i5 8GB 256GB SSD</v>
      </c>
      <c r="H673" cm="1">
        <f t="array" aca="1" ref="H673" ca="1">IF(
   $O$7="Desbloqueado",
   _xlfn.LET(
     _xlpm.saldo_atual, SUM(($C$2:$C672="Entrada")*($F$2:$F672=Tabela_Movimentacao_Geral[[#This Row],[ID Produto]])*($H$2:$H672) - ($C$2:$C672="Saida")*($F$2:$F672=Tabela_Movimentacao_Geral[[#This Row],[ID Produto]])*($H$2:$H672)),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673" s="5">
        <f ca="1">_xlfn.XLOOKUP(Tabela_Movimentacao_Geral[[#This Row],[ID Produto]], Tabela_Produtos[ID_Produto],Tabela_Produtos[Preco_Unitario_Venda])</f>
        <v>3500</v>
      </c>
      <c r="J673" s="6">
        <f ca="1">Tabela_Movimentacao_Geral[[#This Row],[Quantidade]] * Tabela_Movimentacao_Geral[[#This Row],[Valor Unitário]]</f>
        <v>35000</v>
      </c>
      <c r="K673" t="str">
        <f ca="1">IF(
   $O$7="Desbloqueado",
   CHOOSE(RANDBETWEEN(1,3),"Pago","Pendente","Atrasado"),
   Tabela_Movimentacao_Geral[[#This Row],[Status Financeiro]]
)</f>
        <v>Pendente</v>
      </c>
      <c r="L673" t="str">
        <f ca="1">IF(
   $O$7="Desbloqueado",
   CHOOSE(RANDBETWEEN(1,3),"Entregue","Em Rota","Aguardando"),
   Tabela_Movimentacao_Geral[[#This Row],[Status Logistico]]
)</f>
        <v>Em Rota</v>
      </c>
      <c r="M67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74" spans="1:13" x14ac:dyDescent="0.3">
      <c r="A674" t="str">
        <f t="shared" si="10"/>
        <v>T0673</v>
      </c>
      <c r="B674" s="1">
        <v>45979</v>
      </c>
      <c r="C674" t="str" cm="1">
        <f t="array" aca="1" ref="C674" ca="1">IF($O$7="Desbloqueado",
  _xlfn.LET(
    _xlpm.saldo_atual, SUM(($C$2:$C673="Entrada")*($F$2:$F673=Tabela_Movimentacao_Geral[[#This Row],[ID Produto]])*($H$2:$H673) - ($C$2:$C673="Saida")*($F$2:$F673=Tabela_Movimentacao_Geral[[#This Row],[ID Produto]])*($H$2:$H673)),
    IF(_xlpm.saldo_atual &gt; 0, IF(RANDBETWEEN(0,10)&gt;3,"Saida","Entrada"), "Entrada")
  ),
  Tabela_Movimentacao_Geral[[#This Row],[Tipo Fluxo]]
)</f>
        <v>Entrada</v>
      </c>
      <c r="D6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6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674" t="str">
        <f ca="1">IF(
  $O$7="Desbloqueado",
  "PROD"&amp;TEXT(RANDBETWEEN(1,200),"000"),
  Tabela_Movimentacao_Geral[[#This Row],[ID Produto]]
)</f>
        <v>PROD179</v>
      </c>
      <c r="G674" t="str">
        <f ca="1">_xlfn.XLOOKUP(Tabela_Movimentacao_Geral[[#This Row],[ID Produto]], Tabela_Produtos[ID_Produto],Tabela_Produtos[Descricao_Produto],"Produto não encontrado")</f>
        <v>Mesa de Reuniao 2.0m</v>
      </c>
      <c r="H674" cm="1">
        <f t="array" aca="1" ref="H674" ca="1">IF(
   $O$7="Desbloqueado",
   _xlfn.LET(
     _xlpm.saldo_atual, SUM(($C$2:$C673="Entrada")*($F$2:$F673=Tabela_Movimentacao_Geral[[#This Row],[ID Produto]])*($H$2:$H673) - ($C$2:$C673="Saida")*($F$2:$F673=Tabela_Movimentacao_Geral[[#This Row],[ID Produto]])*($H$2:$H673)),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49</v>
      </c>
      <c r="I674" s="5">
        <f ca="1">_xlfn.XLOOKUP(Tabela_Movimentacao_Geral[[#This Row],[ID Produto]], Tabela_Produtos[ID_Produto],Tabela_Produtos[Preco_Unitario_Venda])</f>
        <v>1800</v>
      </c>
      <c r="J674" s="6">
        <f ca="1">Tabela_Movimentacao_Geral[[#This Row],[Quantidade]] * Tabela_Movimentacao_Geral[[#This Row],[Valor Unitário]]</f>
        <v>88200</v>
      </c>
      <c r="K674" t="str">
        <f ca="1">IF(
   $O$7="Desbloqueado",
   CHOOSE(RANDBETWEEN(1,3),"Pago","Pendente","Atrasado"),
   Tabela_Movimentacao_Geral[[#This Row],[Status Financeiro]]
)</f>
        <v>Pendente</v>
      </c>
      <c r="L674" t="str">
        <f ca="1">IF(
   $O$7="Desbloqueado",
   CHOOSE(RANDBETWEEN(1,3),"Entregue","Em Rota","Aguardando"),
   Tabela_Movimentacao_Geral[[#This Row],[Status Logistico]]
)</f>
        <v>Aguardando</v>
      </c>
      <c r="M67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45991</v>
      </c>
    </row>
    <row r="675" spans="1:13" x14ac:dyDescent="0.3">
      <c r="A675" t="str">
        <f t="shared" si="10"/>
        <v>T0674</v>
      </c>
      <c r="B675" s="1">
        <v>45980</v>
      </c>
      <c r="C675" t="str" cm="1">
        <f t="array" aca="1" ref="C675" ca="1">IF($O$7="Desbloqueado",
  _xlfn.LET(
    _xlpm.saldo_atual, SUM(($C$2:$C674="Entrada")*($F$2:$F674=Tabela_Movimentacao_Geral[[#This Row],[ID Produto]])*($H$2:$H674) - ($C$2:$C674="Saida")*($F$2:$F674=Tabela_Movimentacao_Geral[[#This Row],[ID Produto]])*($H$2:$H674)),
    IF(_xlpm.saldo_atual &gt; 0, IF(RANDBETWEEN(0,10)&gt;3,"Saida","Entrada"), "Entrada")
  ),
  Tabela_Movimentacao_Geral[[#This Row],[Tipo Fluxo]]
)</f>
        <v>Saida</v>
      </c>
      <c r="D6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6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675" t="str">
        <f ca="1">IF(
  $O$7="Desbloqueado",
  "PROD"&amp;TEXT(RANDBETWEEN(1,200),"000"),
  Tabela_Movimentacao_Geral[[#This Row],[ID Produto]]
)</f>
        <v>PROD029</v>
      </c>
      <c r="G675" t="str">
        <f ca="1">_xlfn.XLOOKUP(Tabela_Movimentacao_Geral[[#This Row],[ID Produto]], Tabela_Produtos[ID_Produto],Tabela_Produtos[Descricao_Produto],"Produto não encontrado")</f>
        <v>Caneta Digital para Tablet</v>
      </c>
      <c r="H675" cm="1">
        <f t="array" aca="1" ref="H675" ca="1">IF(
   $O$7="Desbloqueado",
   _xlfn.LET(
     _xlpm.saldo_atual, SUM(($C$2:$C674="Entrada")*($F$2:$F674=Tabela_Movimentacao_Geral[[#This Row],[ID Produto]])*($H$2:$H674) - ($C$2:$C674="Saida")*($F$2:$F674=Tabela_Movimentacao_Geral[[#This Row],[ID Produto]])*($H$2:$H674)),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109</v>
      </c>
      <c r="I675" s="5">
        <f ca="1">_xlfn.XLOOKUP(Tabela_Movimentacao_Geral[[#This Row],[ID Produto]], Tabela_Produtos[ID_Produto],Tabela_Produtos[Preco_Unitario_Venda])</f>
        <v>320</v>
      </c>
      <c r="J675" s="6">
        <f ca="1">Tabela_Movimentacao_Geral[[#This Row],[Quantidade]] * Tabela_Movimentacao_Geral[[#This Row],[Valor Unitário]]</f>
        <v>34880</v>
      </c>
      <c r="K675" t="str">
        <f ca="1">IF(
   $O$7="Desbloqueado",
   CHOOSE(RANDBETWEEN(1,3),"Pago","Pendente","Atrasado"),
   Tabela_Movimentacao_Geral[[#This Row],[Status Financeiro]]
)</f>
        <v>Pago</v>
      </c>
      <c r="L675" t="str">
        <f ca="1">IF(
   $O$7="Desbloqueado",
   CHOOSE(RANDBETWEEN(1,3),"Entregue","Em Rota","Aguardando"),
   Tabela_Movimentacao_Geral[[#This Row],[Status Logistico]]
)</f>
        <v>Aguardando</v>
      </c>
      <c r="M67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76" spans="1:13" x14ac:dyDescent="0.3">
      <c r="A676" t="str">
        <f t="shared" si="10"/>
        <v>T0675</v>
      </c>
      <c r="B676" s="1">
        <v>45980</v>
      </c>
      <c r="C676" t="str" cm="1">
        <f t="array" aca="1" ref="C676" ca="1">IF($O$7="Desbloqueado",
  _xlfn.LET(
    _xlpm.saldo_atual, SUM(($C$2:$C675="Entrada")*($F$2:$F675=Tabela_Movimentacao_Geral[[#This Row],[ID Produto]])*($H$2:$H675) - ($C$2:$C675="Saida")*($F$2:$F675=Tabela_Movimentacao_Geral[[#This Row],[ID Produto]])*($H$2:$H675)),
    IF(_xlpm.saldo_atual &gt; 0, IF(RANDBETWEEN(0,10)&gt;3,"Saida","Entrada"), "Entrada")
  ),
  Tabela_Movimentacao_Geral[[#This Row],[Tipo Fluxo]]
)</f>
        <v>Saida</v>
      </c>
      <c r="D6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6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676" t="str">
        <f ca="1">IF(
  $O$7="Desbloqueado",
  "PROD"&amp;TEXT(RANDBETWEEN(1,200),"000"),
  Tabela_Movimentacao_Geral[[#This Row],[ID Produto]]
)</f>
        <v>PROD003</v>
      </c>
      <c r="G676" t="str">
        <f ca="1">_xlfn.XLOOKUP(Tabela_Movimentacao_Geral[[#This Row],[ID Produto]], Tabela_Produtos[ID_Produto],Tabela_Produtos[Descricao_Produto],"Produto não encontrado")</f>
        <v>Mouse Sem Fio Optico</v>
      </c>
      <c r="H676" cm="1">
        <f t="array" aca="1" ref="H676" ca="1">IF(
   $O$7="Desbloqueado",
   _xlfn.LET(
     _xlpm.saldo_atual, SUM(($C$2:$C675="Entrada")*($F$2:$F675=Tabela_Movimentacao_Geral[[#This Row],[ID Produto]])*($H$2:$H675) - ($C$2:$C675="Saida")*($F$2:$F675=Tabela_Movimentacao_Geral[[#This Row],[ID Produto]])*($H$2:$H675)),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676" s="5">
        <f ca="1">_xlfn.XLOOKUP(Tabela_Movimentacao_Geral[[#This Row],[ID Produto]], Tabela_Produtos[ID_Produto],Tabela_Produtos[Preco_Unitario_Venda])</f>
        <v>120</v>
      </c>
      <c r="J676" s="6">
        <f ca="1">Tabela_Movimentacao_Geral[[#This Row],[Quantidade]] * Tabela_Movimentacao_Geral[[#This Row],[Valor Unitário]]</f>
        <v>120</v>
      </c>
      <c r="K676" t="str">
        <f ca="1">IF(
   $O$7="Desbloqueado",
   CHOOSE(RANDBETWEEN(1,3),"Pago","Pendente","Atrasado"),
   Tabela_Movimentacao_Geral[[#This Row],[Status Financeiro]]
)</f>
        <v>Atrasado</v>
      </c>
      <c r="L676" t="str">
        <f ca="1">IF(
   $O$7="Desbloqueado",
   CHOOSE(RANDBETWEEN(1,3),"Entregue","Em Rota","Aguardando"),
   Tabela_Movimentacao_Geral[[#This Row],[Status Logistico]]
)</f>
        <v>Aguardando</v>
      </c>
      <c r="M67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77" spans="1:13" x14ac:dyDescent="0.3">
      <c r="A677" t="str">
        <f t="shared" si="10"/>
        <v>T0676</v>
      </c>
      <c r="B677" s="1">
        <v>45980</v>
      </c>
      <c r="C677" t="str" cm="1">
        <f t="array" aca="1" ref="C677" ca="1">IF($O$7="Desbloqueado",
  _xlfn.LET(
    _xlpm.saldo_atual, SUM(($C$2:$C676="Entrada")*($F$2:$F676=Tabela_Movimentacao_Geral[[#This Row],[ID Produto]])*($H$2:$H676) - ($C$2:$C676="Saida")*($F$2:$F676=Tabela_Movimentacao_Geral[[#This Row],[ID Produto]])*($H$2:$H676)),
    IF(_xlpm.saldo_atual &gt; 0, IF(RANDBETWEEN(0,10)&gt;3,"Saida","Entrada"), "Entrada")
  ),
  Tabela_Movimentacao_Geral[[#This Row],[Tipo Fluxo]]
)</f>
        <v>Entrada</v>
      </c>
      <c r="D6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6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677" t="str">
        <f ca="1">IF(
  $O$7="Desbloqueado",
  "PROD"&amp;TEXT(RANDBETWEEN(1,200),"000"),
  Tabela_Movimentacao_Geral[[#This Row],[ID Produto]]
)</f>
        <v>PROD176</v>
      </c>
      <c r="G677" t="str">
        <f ca="1">_xlfn.XLOOKUP(Tabela_Movimentacao_Geral[[#This Row],[ID Produto]], Tabela_Produtos[ID_Produto],Tabela_Produtos[Descricao_Produto],"Produto não encontrado")</f>
        <v>Envelope Bolha A4 10un</v>
      </c>
      <c r="H677" cm="1">
        <f t="array" aca="1" ref="H677" ca="1">IF(
   $O$7="Desbloqueado",
   _xlfn.LET(
     _xlpm.saldo_atual, SUM(($C$2:$C676="Entrada")*($F$2:$F676=Tabela_Movimentacao_Geral[[#This Row],[ID Produto]])*($H$2:$H676) - ($C$2:$C676="Saida")*($F$2:$F676=Tabela_Movimentacao_Geral[[#This Row],[ID Produto]])*($H$2:$H676)),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677" s="5">
        <f ca="1">_xlfn.XLOOKUP(Tabela_Movimentacao_Geral[[#This Row],[ID Produto]], Tabela_Produtos[ID_Produto],Tabela_Produtos[Preco_Unitario_Venda])</f>
        <v>35</v>
      </c>
      <c r="J677" s="6">
        <f ca="1">Tabela_Movimentacao_Geral[[#This Row],[Quantidade]] * Tabela_Movimentacao_Geral[[#This Row],[Valor Unitário]]</f>
        <v>1330</v>
      </c>
      <c r="K677" t="str">
        <f ca="1">IF(
   $O$7="Desbloqueado",
   CHOOSE(RANDBETWEEN(1,3),"Pago","Pendente","Atrasado"),
   Tabela_Movimentacao_Geral[[#This Row],[Status Financeiro]]
)</f>
        <v>Pendente</v>
      </c>
      <c r="L677" t="str">
        <f ca="1">IF(
   $O$7="Desbloqueado",
   CHOOSE(RANDBETWEEN(1,3),"Entregue","Em Rota","Aguardando"),
   Tabela_Movimentacao_Geral[[#This Row],[Status Logistico]]
)</f>
        <v>Em Rota</v>
      </c>
      <c r="M67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45984</v>
      </c>
    </row>
    <row r="678" spans="1:13" x14ac:dyDescent="0.3">
      <c r="A678" t="str">
        <f t="shared" si="10"/>
        <v>T0677</v>
      </c>
      <c r="B678" s="1">
        <v>45980</v>
      </c>
      <c r="C678" t="str" cm="1">
        <f t="array" aca="1" ref="C678" ca="1">IF($O$7="Desbloqueado",
  _xlfn.LET(
    _xlpm.saldo_atual, SUM(($C$2:$C677="Entrada")*($F$2:$F677=Tabela_Movimentacao_Geral[[#This Row],[ID Produto]])*($H$2:$H677) - ($C$2:$C677="Saida")*($F$2:$F677=Tabela_Movimentacao_Geral[[#This Row],[ID Produto]])*($H$2:$H677)),
    IF(_xlpm.saldo_atual &gt; 0, IF(RANDBETWEEN(0,10)&gt;3,"Saida","Entrada"), "Entrada")
  ),
  Tabela_Movimentacao_Geral[[#This Row],[Tipo Fluxo]]
)</f>
        <v>Entrada</v>
      </c>
      <c r="D6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6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678" t="str">
        <f ca="1">IF(
  $O$7="Desbloqueado",
  "PROD"&amp;TEXT(RANDBETWEEN(1,200),"000"),
  Tabela_Movimentacao_Geral[[#This Row],[ID Produto]]
)</f>
        <v>PROD200</v>
      </c>
      <c r="G678" t="str">
        <f ca="1">_xlfn.XLOOKUP(Tabela_Movimentacao_Geral[[#This Row],[ID Produto]], Tabela_Produtos[ID_Produto],Tabela_Produtos[Descricao_Produto],"Produto não encontrado")</f>
        <v>Estacao de Solda Prof</v>
      </c>
      <c r="H678" cm="1">
        <f t="array" aca="1" ref="H678" ca="1">IF(
   $O$7="Desbloqueado",
   _xlfn.LET(
     _xlpm.saldo_atual, SUM(($C$2:$C677="Entrada")*($F$2:$F677=Tabela_Movimentacao_Geral[[#This Row],[ID Produto]])*($H$2:$H677) - ($C$2:$C677="Saida")*($F$2:$F677=Tabela_Movimentacao_Geral[[#This Row],[ID Produto]])*($H$2:$H677)),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52</v>
      </c>
      <c r="I678" s="5">
        <f ca="1">_xlfn.XLOOKUP(Tabela_Movimentacao_Geral[[#This Row],[ID Produto]], Tabela_Produtos[ID_Produto],Tabela_Produtos[Preco_Unitario_Venda])</f>
        <v>1200</v>
      </c>
      <c r="J678" s="6">
        <f ca="1">Tabela_Movimentacao_Geral[[#This Row],[Quantidade]] * Tabela_Movimentacao_Geral[[#This Row],[Valor Unitário]]</f>
        <v>62400</v>
      </c>
      <c r="K678" t="str">
        <f ca="1">IF(
   $O$7="Desbloqueado",
   CHOOSE(RANDBETWEEN(1,3),"Pago","Pendente","Atrasado"),
   Tabela_Movimentacao_Geral[[#This Row],[Status Financeiro]]
)</f>
        <v>Pago</v>
      </c>
      <c r="L678" t="str">
        <f ca="1">IF(
   $O$7="Desbloqueado",
   CHOOSE(RANDBETWEEN(1,3),"Entregue","Em Rota","Aguardando"),
   Tabela_Movimentacao_Geral[[#This Row],[Status Logistico]]
)</f>
        <v>Em Rota</v>
      </c>
      <c r="M67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45982</v>
      </c>
    </row>
    <row r="679" spans="1:13" x14ac:dyDescent="0.3">
      <c r="A679" t="str">
        <f t="shared" si="10"/>
        <v>T0678</v>
      </c>
      <c r="B679" s="1">
        <v>45980</v>
      </c>
      <c r="C679" t="str" cm="1">
        <f t="array" aca="1" ref="C679" ca="1">IF($O$7="Desbloqueado",
  _xlfn.LET(
    _xlpm.saldo_atual, SUM(($C$2:$C678="Entrada")*($F$2:$F678=Tabela_Movimentacao_Geral[[#This Row],[ID Produto]])*($H$2:$H678) - ($C$2:$C678="Saida")*($F$2:$F678=Tabela_Movimentacao_Geral[[#This Row],[ID Produto]])*($H$2:$H678)),
    IF(_xlpm.saldo_atual &gt; 0, IF(RANDBETWEEN(0,10)&gt;3,"Saida","Entrada"), "Entrada")
  ),
  Tabela_Movimentacao_Geral[[#This Row],[Tipo Fluxo]]
)</f>
        <v>Saida</v>
      </c>
      <c r="D6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6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679" t="str">
        <f ca="1">IF(
  $O$7="Desbloqueado",
  "PROD"&amp;TEXT(RANDBETWEEN(1,200),"000"),
  Tabela_Movimentacao_Geral[[#This Row],[ID Produto]]
)</f>
        <v>PROD032</v>
      </c>
      <c r="G679" t="str">
        <f ca="1">_xlfn.XLOOKUP(Tabela_Movimentacao_Geral[[#This Row],[ID Produto]], Tabela_Produtos[ID_Produto],Tabela_Produtos[Descricao_Produto],"Produto não encontrado")</f>
        <v>Base Resfriadora Notebook</v>
      </c>
      <c r="H679" cm="1">
        <f t="array" aca="1" ref="H679" ca="1">IF(
   $O$7="Desbloqueado",
   _xlfn.LET(
     _xlpm.saldo_atual, SUM(($C$2:$C678="Entrada")*($F$2:$F678=Tabela_Movimentacao_Geral[[#This Row],[ID Produto]])*($H$2:$H678) - ($C$2:$C678="Saida")*($F$2:$F678=Tabela_Movimentacao_Geral[[#This Row],[ID Produto]])*($H$2:$H678)),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679" s="5">
        <f ca="1">_xlfn.XLOOKUP(Tabela_Movimentacao_Geral[[#This Row],[ID Produto]], Tabela_Produtos[ID_Produto],Tabela_Produtos[Preco_Unitario_Venda])</f>
        <v>110</v>
      </c>
      <c r="J679" s="6">
        <f ca="1">Tabela_Movimentacao_Geral[[#This Row],[Quantidade]] * Tabela_Movimentacao_Geral[[#This Row],[Valor Unitário]]</f>
        <v>4620</v>
      </c>
      <c r="K679" t="str">
        <f ca="1">IF(
   $O$7="Desbloqueado",
   CHOOSE(RANDBETWEEN(1,3),"Pago","Pendente","Atrasado"),
   Tabela_Movimentacao_Geral[[#This Row],[Status Financeiro]]
)</f>
        <v>Pendente</v>
      </c>
      <c r="L679" t="str">
        <f ca="1">IF(
   $O$7="Desbloqueado",
   CHOOSE(RANDBETWEEN(1,3),"Entregue","Em Rota","Aguardando"),
   Tabela_Movimentacao_Geral[[#This Row],[Status Logistico]]
)</f>
        <v>Entregue</v>
      </c>
      <c r="M67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0" spans="1:13" x14ac:dyDescent="0.3">
      <c r="A680" t="str">
        <f t="shared" si="10"/>
        <v>T0679</v>
      </c>
      <c r="B680" s="1">
        <v>45981</v>
      </c>
      <c r="C680" t="str" cm="1">
        <f t="array" aca="1" ref="C680" ca="1">IF($O$7="Desbloqueado",
  _xlfn.LET(
    _xlpm.saldo_atual, SUM(($C$2:$C679="Entrada")*($F$2:$F679=Tabela_Movimentacao_Geral[[#This Row],[ID Produto]])*($H$2:$H679) - ($C$2:$C679="Saida")*($F$2:$F679=Tabela_Movimentacao_Geral[[#This Row],[ID Produto]])*($H$2:$H679)),
    IF(_xlpm.saldo_atual &gt; 0, IF(RANDBETWEEN(0,10)&gt;3,"Saida","Entrada"), "Entrada")
  ),
  Tabela_Movimentacao_Geral[[#This Row],[Tipo Fluxo]]
)</f>
        <v>Entrada</v>
      </c>
      <c r="D6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6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680" t="str">
        <f ca="1">IF(
  $O$7="Desbloqueado",
  "PROD"&amp;TEXT(RANDBETWEEN(1,200),"000"),
  Tabela_Movimentacao_Geral[[#This Row],[ID Produto]]
)</f>
        <v>PROD083</v>
      </c>
      <c r="G680" t="str">
        <f ca="1">_xlfn.XLOOKUP(Tabela_Movimentacao_Geral[[#This Row],[ID Produto]], Tabela_Produtos[ID_Produto],Tabela_Produtos[Descricao_Produto],"Produto não encontrado")</f>
        <v>Memoria Server 32GB ECC</v>
      </c>
      <c r="H680" cm="1">
        <f t="array" aca="1" ref="H680" ca="1">IF(
   $O$7="Desbloqueado",
   _xlfn.LET(
     _xlpm.saldo_atual, SUM(($C$2:$C679="Entrada")*($F$2:$F679=Tabela_Movimentacao_Geral[[#This Row],[ID Produto]])*($H$2:$H679) - ($C$2:$C679="Saida")*($F$2:$F679=Tabela_Movimentacao_Geral[[#This Row],[ID Produto]])*($H$2:$H679)),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680" s="5">
        <f ca="1">_xlfn.XLOOKUP(Tabela_Movimentacao_Geral[[#This Row],[ID Produto]], Tabela_Produtos[ID_Produto],Tabela_Produtos[Preco_Unitario_Venda])</f>
        <v>1450</v>
      </c>
      <c r="J680" s="6">
        <f ca="1">Tabela_Movimentacao_Geral[[#This Row],[Quantidade]] * Tabela_Movimentacao_Geral[[#This Row],[Valor Unitário]]</f>
        <v>126150</v>
      </c>
      <c r="K680" t="str">
        <f ca="1">IF(
   $O$7="Desbloqueado",
   CHOOSE(RANDBETWEEN(1,3),"Pago","Pendente","Atrasado"),
   Tabela_Movimentacao_Geral[[#This Row],[Status Financeiro]]
)</f>
        <v>Pago</v>
      </c>
      <c r="L680" t="str">
        <f ca="1">IF(
   $O$7="Desbloqueado",
   CHOOSE(RANDBETWEEN(1,3),"Entregue","Em Rota","Aguardando"),
   Tabela_Movimentacao_Geral[[#This Row],[Status Logistico]]
)</f>
        <v>Aguardando</v>
      </c>
      <c r="M6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45982</v>
      </c>
    </row>
    <row r="681" spans="1:13" x14ac:dyDescent="0.3">
      <c r="A681" t="str">
        <f t="shared" si="10"/>
        <v>T0680</v>
      </c>
      <c r="B681" s="1">
        <v>45981</v>
      </c>
      <c r="C681" t="str" cm="1">
        <f t="array" aca="1" ref="C681" ca="1">IF($O$7="Desbloqueado",
  _xlfn.LET(
    _xlpm.saldo_atual, SUM(($C$2:$C680="Entrada")*($F$2:$F680=Tabela_Movimentacao_Geral[[#This Row],[ID Produto]])*($H$2:$H680) - ($C$2:$C680="Saida")*($F$2:$F680=Tabela_Movimentacao_Geral[[#This Row],[ID Produto]])*($H$2:$H680)),
    IF(_xlpm.saldo_atual &gt; 0, IF(RANDBETWEEN(0,10)&gt;3,"Saida","Entrada"), "Entrada")
  ),
  Tabela_Movimentacao_Geral[[#This Row],[Tipo Fluxo]]
)</f>
        <v>Saida</v>
      </c>
      <c r="D6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6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681" t="str">
        <f ca="1">IF(
  $O$7="Desbloqueado",
  "PROD"&amp;TEXT(RANDBETWEEN(1,200),"000"),
  Tabela_Movimentacao_Geral[[#This Row],[ID Produto]]
)</f>
        <v>PROD059</v>
      </c>
      <c r="G681" t="str">
        <f ca="1">_xlfn.XLOOKUP(Tabela_Movimentacao_Geral[[#This Row],[ID Produto]], Tabela_Produtos[ID_Produto],Tabela_Produtos[Descricao_Produto],"Produto não encontrado")</f>
        <v>Lapiseira 0.7mm</v>
      </c>
      <c r="H681" cm="1">
        <f t="array" aca="1" ref="H681" ca="1">IF(
   $O$7="Desbloqueado",
   _xlfn.LET(
     _xlpm.saldo_atual, SUM(($C$2:$C680="Entrada")*($F$2:$F680=Tabela_Movimentacao_Geral[[#This Row],[ID Produto]])*($H$2:$H680) - ($C$2:$C680="Saida")*($F$2:$F680=Tabela_Movimentacao_Geral[[#This Row],[ID Produto]])*($H$2:$H680)),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153</v>
      </c>
      <c r="I681" s="5">
        <f ca="1">_xlfn.XLOOKUP(Tabela_Movimentacao_Geral[[#This Row],[ID Produto]], Tabela_Produtos[ID_Produto],Tabela_Produtos[Preco_Unitario_Venda])</f>
        <v>12</v>
      </c>
      <c r="J681" s="6">
        <f ca="1">Tabela_Movimentacao_Geral[[#This Row],[Quantidade]] * Tabela_Movimentacao_Geral[[#This Row],[Valor Unitário]]</f>
        <v>1836</v>
      </c>
      <c r="K681" t="str">
        <f ca="1">IF(
   $O$7="Desbloqueado",
   CHOOSE(RANDBETWEEN(1,3),"Pago","Pendente","Atrasado"),
   Tabela_Movimentacao_Geral[[#This Row],[Status Financeiro]]
)</f>
        <v>Pago</v>
      </c>
      <c r="L681" t="str">
        <f ca="1">IF(
   $O$7="Desbloqueado",
   CHOOSE(RANDBETWEEN(1,3),"Entregue","Em Rota","Aguardando"),
   Tabela_Movimentacao_Geral[[#This Row],[Status Logistico]]
)</f>
        <v>Aguardando</v>
      </c>
      <c r="M68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2" spans="1:13" x14ac:dyDescent="0.3">
      <c r="A682" t="str">
        <f t="shared" si="10"/>
        <v>T0681</v>
      </c>
      <c r="B682" s="1">
        <v>45982</v>
      </c>
      <c r="C682" t="str" cm="1">
        <f t="array" aca="1" ref="C682" ca="1">IF($O$7="Desbloqueado",
  _xlfn.LET(
    _xlpm.saldo_atual, SUM(($C$2:$C681="Entrada")*($F$2:$F681=Tabela_Movimentacao_Geral[[#This Row],[ID Produto]])*($H$2:$H681) - ($C$2:$C681="Saida")*($F$2:$F681=Tabela_Movimentacao_Geral[[#This Row],[ID Produto]])*($H$2:$H681)),
    IF(_xlpm.saldo_atual &gt; 0, IF(RANDBETWEEN(0,10)&gt;3,"Saida","Entrada"), "Entrada")
  ),
  Tabela_Movimentacao_Geral[[#This Row],[Tipo Fluxo]]
)</f>
        <v>Saida</v>
      </c>
      <c r="D6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6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682" t="str">
        <f ca="1">IF(
  $O$7="Desbloqueado",
  "PROD"&amp;TEXT(RANDBETWEEN(1,200),"000"),
  Tabela_Movimentacao_Geral[[#This Row],[ID Produto]]
)</f>
        <v>PROD139</v>
      </c>
      <c r="G682" t="str">
        <f ca="1">_xlfn.XLOOKUP(Tabela_Movimentacao_Geral[[#This Row],[ID Produto]], Tabela_Produtos[ID_Produto],Tabela_Produtos[Descricao_Produto],"Produto não encontrado")</f>
        <v>SSD Externo Portatil 500GB</v>
      </c>
      <c r="H682" cm="1">
        <f t="array" aca="1" ref="H682" ca="1">IF(
   $O$7="Desbloqueado",
   _xlfn.LET(
     _xlpm.saldo_atual, SUM(($C$2:$C681="Entrada")*($F$2:$F681=Tabela_Movimentacao_Geral[[#This Row],[ID Produto]])*($H$2:$H681) - ($C$2:$C681="Saida")*($F$2:$F681=Tabela_Movimentacao_Geral[[#This Row],[ID Produto]])*($H$2:$H681)),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682" s="5">
        <f ca="1">_xlfn.XLOOKUP(Tabela_Movimentacao_Geral[[#This Row],[ID Produto]], Tabela_Produtos[ID_Produto],Tabela_Produtos[Preco_Unitario_Venda])</f>
        <v>480</v>
      </c>
      <c r="J682" s="6">
        <f ca="1">Tabela_Movimentacao_Geral[[#This Row],[Quantidade]] * Tabela_Movimentacao_Geral[[#This Row],[Valor Unitário]]</f>
        <v>5760</v>
      </c>
      <c r="K682" t="str">
        <f ca="1">IF(
   $O$7="Desbloqueado",
   CHOOSE(RANDBETWEEN(1,3),"Pago","Pendente","Atrasado"),
   Tabela_Movimentacao_Geral[[#This Row],[Status Financeiro]]
)</f>
        <v>Pendente</v>
      </c>
      <c r="L682" t="str">
        <f ca="1">IF(
   $O$7="Desbloqueado",
   CHOOSE(RANDBETWEEN(1,3),"Entregue","Em Rota","Aguardando"),
   Tabela_Movimentacao_Geral[[#This Row],[Status Logistico]]
)</f>
        <v>Entregue</v>
      </c>
      <c r="M68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3" spans="1:13" x14ac:dyDescent="0.3">
      <c r="A683" t="str">
        <f t="shared" si="10"/>
        <v>T0682</v>
      </c>
      <c r="B683" s="1">
        <v>45983</v>
      </c>
      <c r="C683" t="str" cm="1">
        <f t="array" aca="1" ref="C683" ca="1">IF($O$7="Desbloqueado",
  _xlfn.LET(
    _xlpm.saldo_atual, SUM(($C$2:$C682="Entrada")*($F$2:$F682=Tabela_Movimentacao_Geral[[#This Row],[ID Produto]])*($H$2:$H682) - ($C$2:$C682="Saida")*($F$2:$F682=Tabela_Movimentacao_Geral[[#This Row],[ID Produto]])*($H$2:$H682)),
    IF(_xlpm.saldo_atual &gt; 0, IF(RANDBETWEEN(0,10)&gt;3,"Saida","Entrada"), "Entrada")
  ),
  Tabela_Movimentacao_Geral[[#This Row],[Tipo Fluxo]]
)</f>
        <v>Saida</v>
      </c>
      <c r="D6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6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683" t="str">
        <f ca="1">IF(
  $O$7="Desbloqueado",
  "PROD"&amp;TEXT(RANDBETWEEN(1,200),"000"),
  Tabela_Movimentacao_Geral[[#This Row],[ID Produto]]
)</f>
        <v>PROD039</v>
      </c>
      <c r="G683" t="str">
        <f ca="1">_xlfn.XLOOKUP(Tabela_Movimentacao_Geral[[#This Row],[ID Produto]], Tabela_Produtos[ID_Produto],Tabela_Produtos[Descricao_Produto],"Produto não encontrado")</f>
        <v>Pasta Termica High Silver</v>
      </c>
      <c r="H683" cm="1">
        <f t="array" aca="1" ref="H683" ca="1">IF(
   $O$7="Desbloqueado",
   _xlfn.LET(
     _xlpm.saldo_atual, SUM(($C$2:$C682="Entrada")*($F$2:$F682=Tabela_Movimentacao_Geral[[#This Row],[ID Produto]])*($H$2:$H682) - ($C$2:$C682="Saida")*($F$2:$F682=Tabela_Movimentacao_Geral[[#This Row],[ID Produto]])*($H$2:$H682)),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683" s="5">
        <f ca="1">_xlfn.XLOOKUP(Tabela_Movimentacao_Geral[[#This Row],[ID Produto]], Tabela_Produtos[ID_Produto],Tabela_Produtos[Preco_Unitario_Venda])</f>
        <v>40</v>
      </c>
      <c r="J683" s="6">
        <f ca="1">Tabela_Movimentacao_Geral[[#This Row],[Quantidade]] * Tabela_Movimentacao_Geral[[#This Row],[Valor Unitário]]</f>
        <v>440</v>
      </c>
      <c r="K683" t="str">
        <f ca="1">IF(
   $O$7="Desbloqueado",
   CHOOSE(RANDBETWEEN(1,3),"Pago","Pendente","Atrasado"),
   Tabela_Movimentacao_Geral[[#This Row],[Status Financeiro]]
)</f>
        <v>Pago</v>
      </c>
      <c r="L683" t="str">
        <f ca="1">IF(
   $O$7="Desbloqueado",
   CHOOSE(RANDBETWEEN(1,3),"Entregue","Em Rota","Aguardando"),
   Tabela_Movimentacao_Geral[[#This Row],[Status Logistico]]
)</f>
        <v>Aguardando</v>
      </c>
      <c r="M68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4" spans="1:13" x14ac:dyDescent="0.3">
      <c r="A684" t="str">
        <f t="shared" si="10"/>
        <v>T0683</v>
      </c>
      <c r="B684" s="1">
        <v>45983</v>
      </c>
      <c r="C684" t="str" cm="1">
        <f t="array" aca="1" ref="C684" ca="1">IF($O$7="Desbloqueado",
  _xlfn.LET(
    _xlpm.saldo_atual, SUM(($C$2:$C683="Entrada")*($F$2:$F683=Tabela_Movimentacao_Geral[[#This Row],[ID Produto]])*($H$2:$H683) - ($C$2:$C683="Saida")*($F$2:$F683=Tabela_Movimentacao_Geral[[#This Row],[ID Produto]])*($H$2:$H683)),
    IF(_xlpm.saldo_atual &gt; 0, IF(RANDBETWEEN(0,10)&gt;3,"Saida","Entrada"), "Entrada")
  ),
  Tabela_Movimentacao_Geral[[#This Row],[Tipo Fluxo]]
)</f>
        <v>Saida</v>
      </c>
      <c r="D6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6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684" t="str">
        <f ca="1">IF(
  $O$7="Desbloqueado",
  "PROD"&amp;TEXT(RANDBETWEEN(1,200),"000"),
  Tabela_Movimentacao_Geral[[#This Row],[ID Produto]]
)</f>
        <v>PROD163</v>
      </c>
      <c r="G684" t="str">
        <f ca="1">_xlfn.XLOOKUP(Tabela_Movimentacao_Geral[[#This Row],[ID Produto]], Tabela_Produtos[ID_Produto],Tabela_Produtos[Descricao_Produto],"Produto não encontrado")</f>
        <v>Porta Recados Aramado</v>
      </c>
      <c r="H684" cm="1">
        <f t="array" aca="1" ref="H684" ca="1">IF(
   $O$7="Desbloqueado",
   _xlfn.LET(
     _xlpm.saldo_atual, SUM(($C$2:$C683="Entrada")*($F$2:$F683=Tabela_Movimentacao_Geral[[#This Row],[ID Produto]])*($H$2:$H683) - ($C$2:$C683="Saida")*($F$2:$F683=Tabela_Movimentacao_Geral[[#This Row],[ID Produto]])*($H$2:$H683)),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102</v>
      </c>
      <c r="I684" s="5">
        <f ca="1">_xlfn.XLOOKUP(Tabela_Movimentacao_Geral[[#This Row],[ID Produto]], Tabela_Produtos[ID_Produto],Tabela_Produtos[Preco_Unitario_Venda])</f>
        <v>18</v>
      </c>
      <c r="J684" s="6">
        <f ca="1">Tabela_Movimentacao_Geral[[#This Row],[Quantidade]] * Tabela_Movimentacao_Geral[[#This Row],[Valor Unitário]]</f>
        <v>1836</v>
      </c>
      <c r="K684" t="str">
        <f ca="1">IF(
   $O$7="Desbloqueado",
   CHOOSE(RANDBETWEEN(1,3),"Pago","Pendente","Atrasado"),
   Tabela_Movimentacao_Geral[[#This Row],[Status Financeiro]]
)</f>
        <v>Pago</v>
      </c>
      <c r="L684" t="str">
        <f ca="1">IF(
   $O$7="Desbloqueado",
   CHOOSE(RANDBETWEEN(1,3),"Entregue","Em Rota","Aguardando"),
   Tabela_Movimentacao_Geral[[#This Row],[Status Logistico]]
)</f>
        <v>Aguardando</v>
      </c>
      <c r="M68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5" spans="1:13" x14ac:dyDescent="0.3">
      <c r="A685" t="str">
        <f t="shared" si="10"/>
        <v>T0684</v>
      </c>
      <c r="B685" s="1">
        <v>45985</v>
      </c>
      <c r="C685" t="str" cm="1">
        <f t="array" aca="1" ref="C685" ca="1">IF($O$7="Desbloqueado",
  _xlfn.LET(
    _xlpm.saldo_atual, SUM(($C$2:$C684="Entrada")*($F$2:$F684=Tabela_Movimentacao_Geral[[#This Row],[ID Produto]])*($H$2:$H684) - ($C$2:$C684="Saida")*($F$2:$F684=Tabela_Movimentacao_Geral[[#This Row],[ID Produto]])*($H$2:$H684)),
    IF(_xlpm.saldo_atual &gt; 0, IF(RANDBETWEEN(0,10)&gt;3,"Saida","Entrada"), "Entrada")
  ),
  Tabela_Movimentacao_Geral[[#This Row],[Tipo Fluxo]]
)</f>
        <v>Saida</v>
      </c>
      <c r="D6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6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685" t="str">
        <f ca="1">IF(
  $O$7="Desbloqueado",
  "PROD"&amp;TEXT(RANDBETWEEN(1,200),"000"),
  Tabela_Movimentacao_Geral[[#This Row],[ID Produto]]
)</f>
        <v>PROD054</v>
      </c>
      <c r="G685" t="str">
        <f ca="1">_xlfn.XLOOKUP(Tabela_Movimentacao_Geral[[#This Row],[ID Produto]], Tabela_Produtos[ID_Produto],Tabela_Produtos[Descricao_Produto],"Produto não encontrado")</f>
        <v>Caixa de Grampos 26/6</v>
      </c>
      <c r="H685" cm="1">
        <f t="array" aca="1" ref="H685" ca="1">IF(
   $O$7="Desbloqueado",
   _xlfn.LET(
     _xlpm.saldo_atual, SUM(($C$2:$C684="Entrada")*($F$2:$F684=Tabela_Movimentacao_Geral[[#This Row],[ID Produto]])*($H$2:$H684) - ($C$2:$C684="Saida")*($F$2:$F684=Tabela_Movimentacao_Geral[[#This Row],[ID Produto]])*($H$2:$H684)),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49</v>
      </c>
      <c r="I685" s="5">
        <f ca="1">_xlfn.XLOOKUP(Tabela_Movimentacao_Geral[[#This Row],[ID Produto]], Tabela_Produtos[ID_Produto],Tabela_Produtos[Preco_Unitario_Venda])</f>
        <v>8</v>
      </c>
      <c r="J685" s="6">
        <f ca="1">Tabela_Movimentacao_Geral[[#This Row],[Quantidade]] * Tabela_Movimentacao_Geral[[#This Row],[Valor Unitário]]</f>
        <v>392</v>
      </c>
      <c r="K685" t="str">
        <f ca="1">IF(
   $O$7="Desbloqueado",
   CHOOSE(RANDBETWEEN(1,3),"Pago","Pendente","Atrasado"),
   Tabela_Movimentacao_Geral[[#This Row],[Status Financeiro]]
)</f>
        <v>Pendente</v>
      </c>
      <c r="L685" t="str">
        <f ca="1">IF(
   $O$7="Desbloqueado",
   CHOOSE(RANDBETWEEN(1,3),"Entregue","Em Rota","Aguardando"),
   Tabela_Movimentacao_Geral[[#This Row],[Status Logistico]]
)</f>
        <v>Entregue</v>
      </c>
      <c r="M68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6" spans="1:13" x14ac:dyDescent="0.3">
      <c r="A686" t="str">
        <f t="shared" si="10"/>
        <v>T0685</v>
      </c>
      <c r="B686" s="1">
        <v>45985</v>
      </c>
      <c r="C686" t="str" cm="1">
        <f t="array" aca="1" ref="C686" ca="1">IF($O$7="Desbloqueado",
  _xlfn.LET(
    _xlpm.saldo_atual, SUM(($C$2:$C685="Entrada")*($F$2:$F685=Tabela_Movimentacao_Geral[[#This Row],[ID Produto]])*($H$2:$H685) - ($C$2:$C685="Saida")*($F$2:$F685=Tabela_Movimentacao_Geral[[#This Row],[ID Produto]])*($H$2:$H685)),
    IF(_xlpm.saldo_atual &gt; 0, IF(RANDBETWEEN(0,10)&gt;3,"Saida","Entrada"), "Entrada")
  ),
  Tabela_Movimentacao_Geral[[#This Row],[Tipo Fluxo]]
)</f>
        <v>Saida</v>
      </c>
      <c r="D6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6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686" t="str">
        <f ca="1">IF(
  $O$7="Desbloqueado",
  "PROD"&amp;TEXT(RANDBETWEEN(1,200),"000"),
  Tabela_Movimentacao_Geral[[#This Row],[ID Produto]]
)</f>
        <v>PROD199</v>
      </c>
      <c r="G686" t="str">
        <f ca="1">_xlfn.XLOOKUP(Tabela_Movimentacao_Geral[[#This Row],[ID Produto]], Tabela_Produtos[ID_Produto],Tabela_Produtos[Descricao_Produto],"Produto não encontrado")</f>
        <v>Sugador de Solda</v>
      </c>
      <c r="H686" cm="1">
        <f t="array" aca="1" ref="H686" ca="1">IF(
   $O$7="Desbloqueado",
   _xlfn.LET(
     _xlpm.saldo_atual, SUM(($C$2:$C685="Entrada")*($F$2:$F685=Tabela_Movimentacao_Geral[[#This Row],[ID Produto]])*($H$2:$H685) - ($C$2:$C685="Saida")*($F$2:$F685=Tabela_Movimentacao_Geral[[#This Row],[ID Produto]])*($H$2:$H685)),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686" s="5">
        <f ca="1">_xlfn.XLOOKUP(Tabela_Movimentacao_Geral[[#This Row],[ID Produto]], Tabela_Produtos[ID_Produto],Tabela_Produtos[Preco_Unitario_Venda])</f>
        <v>25</v>
      </c>
      <c r="J686" s="6">
        <f ca="1">Tabela_Movimentacao_Geral[[#This Row],[Quantidade]] * Tabela_Movimentacao_Geral[[#This Row],[Valor Unitário]]</f>
        <v>775</v>
      </c>
      <c r="K686" t="str">
        <f ca="1">IF(
   $O$7="Desbloqueado",
   CHOOSE(RANDBETWEEN(1,3),"Pago","Pendente","Atrasado"),
   Tabela_Movimentacao_Geral[[#This Row],[Status Financeiro]]
)</f>
        <v>Pendente</v>
      </c>
      <c r="L686" t="str">
        <f ca="1">IF(
   $O$7="Desbloqueado",
   CHOOSE(RANDBETWEEN(1,3),"Entregue","Em Rota","Aguardando"),
   Tabela_Movimentacao_Geral[[#This Row],[Status Logistico]]
)</f>
        <v>Entregue</v>
      </c>
      <c r="M68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7" spans="1:13" x14ac:dyDescent="0.3">
      <c r="A687" t="str">
        <f t="shared" si="10"/>
        <v>T0686</v>
      </c>
      <c r="B687" s="1">
        <v>45986</v>
      </c>
      <c r="C687" t="str" cm="1">
        <f t="array" aca="1" ref="C687" ca="1">IF($O$7="Desbloqueado",
  _xlfn.LET(
    _xlpm.saldo_atual, SUM(($C$2:$C686="Entrada")*($F$2:$F686=Tabela_Movimentacao_Geral[[#This Row],[ID Produto]])*($H$2:$H686) - ($C$2:$C686="Saida")*($F$2:$F686=Tabela_Movimentacao_Geral[[#This Row],[ID Produto]])*($H$2:$H686)),
    IF(_xlpm.saldo_atual &gt; 0, IF(RANDBETWEEN(0,10)&gt;3,"Saida","Entrada"), "Entrada")
  ),
  Tabela_Movimentacao_Geral[[#This Row],[Tipo Fluxo]]
)</f>
        <v>Saida</v>
      </c>
      <c r="D6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6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687" t="str">
        <f ca="1">IF(
  $O$7="Desbloqueado",
  "PROD"&amp;TEXT(RANDBETWEEN(1,200),"000"),
  Tabela_Movimentacao_Geral[[#This Row],[ID Produto]]
)</f>
        <v>PROD078</v>
      </c>
      <c r="G687" t="str">
        <f ca="1">_xlfn.XLOOKUP(Tabela_Movimentacao_Geral[[#This Row],[ID Produto]], Tabela_Produtos[ID_Produto],Tabela_Produtos[Descricao_Produto],"Produto não encontrado")</f>
        <v>Porta Canetas Telado</v>
      </c>
      <c r="H687" cm="1">
        <f t="array" aca="1" ref="H687" ca="1">IF(
   $O$7="Desbloqueado",
   _xlfn.LET(
     _xlpm.saldo_atual, SUM(($C$2:$C686="Entrada")*($F$2:$F686=Tabela_Movimentacao_Geral[[#This Row],[ID Produto]])*($H$2:$H686) - ($C$2:$C686="Saida")*($F$2:$F686=Tabela_Movimentacao_Geral[[#This Row],[ID Produto]])*($H$2:$H686)),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687" s="5">
        <f ca="1">_xlfn.XLOOKUP(Tabela_Movimentacao_Geral[[#This Row],[ID Produto]], Tabela_Produtos[ID_Produto],Tabela_Produtos[Preco_Unitario_Venda])</f>
        <v>15</v>
      </c>
      <c r="J687" s="6">
        <f ca="1">Tabela_Movimentacao_Geral[[#This Row],[Quantidade]] * Tabela_Movimentacao_Geral[[#This Row],[Valor Unitário]]</f>
        <v>270</v>
      </c>
      <c r="K687" t="str">
        <f ca="1">IF(
   $O$7="Desbloqueado",
   CHOOSE(RANDBETWEEN(1,3),"Pago","Pendente","Atrasado"),
   Tabela_Movimentacao_Geral[[#This Row],[Status Financeiro]]
)</f>
        <v>Atrasado</v>
      </c>
      <c r="L687" t="str">
        <f ca="1">IF(
   $O$7="Desbloqueado",
   CHOOSE(RANDBETWEEN(1,3),"Entregue","Em Rota","Aguardando"),
   Tabela_Movimentacao_Geral[[#This Row],[Status Logistico]]
)</f>
        <v>Aguardando</v>
      </c>
      <c r="M68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88" spans="1:13" x14ac:dyDescent="0.3">
      <c r="A688" t="str">
        <f t="shared" si="10"/>
        <v>T0687</v>
      </c>
      <c r="B688" s="1">
        <v>45987</v>
      </c>
      <c r="C688" t="str" cm="1">
        <f t="array" aca="1" ref="C688" ca="1">IF($O$7="Desbloqueado",
  _xlfn.LET(
    _xlpm.saldo_atual, SUM(($C$2:$C687="Entrada")*($F$2:$F687=Tabela_Movimentacao_Geral[[#This Row],[ID Produto]])*($H$2:$H687) - ($C$2:$C687="Saida")*($F$2:$F687=Tabela_Movimentacao_Geral[[#This Row],[ID Produto]])*($H$2:$H687)),
    IF(_xlpm.saldo_atual &gt; 0, IF(RANDBETWEEN(0,10)&gt;3,"Saida","Entrada"), "Entrada")
  ),
  Tabela_Movimentacao_Geral[[#This Row],[Tipo Fluxo]]
)</f>
        <v>Entrada</v>
      </c>
      <c r="D6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6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688" t="str">
        <f ca="1">IF(
  $O$7="Desbloqueado",
  "PROD"&amp;TEXT(RANDBETWEEN(1,200),"000"),
  Tabela_Movimentacao_Geral[[#This Row],[ID Produto]]
)</f>
        <v>PROD161</v>
      </c>
      <c r="G688" t="str">
        <f ca="1">_xlfn.XLOOKUP(Tabela_Movimentacao_Geral[[#This Row],[ID Produto]], Tabela_Produtos[ID_Produto],Tabela_Produtos[Descricao_Produto],"Produto não encontrado")</f>
        <v>Prancheta Oficio Madeira</v>
      </c>
      <c r="H688" cm="1">
        <f t="array" aca="1" ref="H688" ca="1">IF(
   $O$7="Desbloqueado",
   _xlfn.LET(
     _xlpm.saldo_atual, SUM(($C$2:$C687="Entrada")*($F$2:$F687=Tabela_Movimentacao_Geral[[#This Row],[ID Produto]])*($H$2:$H687) - ($C$2:$C687="Saida")*($F$2:$F687=Tabela_Movimentacao_Geral[[#This Row],[ID Produto]])*($H$2:$H687)),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57</v>
      </c>
      <c r="I688" s="5">
        <f ca="1">_xlfn.XLOOKUP(Tabela_Movimentacao_Geral[[#This Row],[ID Produto]], Tabela_Produtos[ID_Produto],Tabela_Produtos[Preco_Unitario_Venda])</f>
        <v>15</v>
      </c>
      <c r="J688" s="6">
        <f ca="1">Tabela_Movimentacao_Geral[[#This Row],[Quantidade]] * Tabela_Movimentacao_Geral[[#This Row],[Valor Unitário]]</f>
        <v>855</v>
      </c>
      <c r="K688" t="str">
        <f ca="1">IF(
   $O$7="Desbloqueado",
   CHOOSE(RANDBETWEEN(1,3),"Pago","Pendente","Atrasado"),
   Tabela_Movimentacao_Geral[[#This Row],[Status Financeiro]]
)</f>
        <v>Pendente</v>
      </c>
      <c r="L688" t="str">
        <f ca="1">IF(
   $O$7="Desbloqueado",
   CHOOSE(RANDBETWEEN(1,3),"Entregue","Em Rota","Aguardando"),
   Tabela_Movimentacao_Geral[[#This Row],[Status Logistico]]
)</f>
        <v>Entregue</v>
      </c>
      <c r="M68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45988</v>
      </c>
    </row>
    <row r="689" spans="1:13" x14ac:dyDescent="0.3">
      <c r="A689" t="str">
        <f t="shared" si="10"/>
        <v>T0688</v>
      </c>
      <c r="B689" s="1">
        <v>45987</v>
      </c>
      <c r="C689" t="str" cm="1">
        <f t="array" aca="1" ref="C689" ca="1">IF($O$7="Desbloqueado",
  _xlfn.LET(
    _xlpm.saldo_atual, SUM(($C$2:$C688="Entrada")*($F$2:$F688=Tabela_Movimentacao_Geral[[#This Row],[ID Produto]])*($H$2:$H688) - ($C$2:$C688="Saida")*($F$2:$F688=Tabela_Movimentacao_Geral[[#This Row],[ID Produto]])*($H$2:$H688)),
    IF(_xlpm.saldo_atual &gt; 0, IF(RANDBETWEEN(0,10)&gt;3,"Saida","Entrada"), "Entrada")
  ),
  Tabela_Movimentacao_Geral[[#This Row],[Tipo Fluxo]]
)</f>
        <v>Saida</v>
      </c>
      <c r="D6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6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689" t="str">
        <f ca="1">IF(
  $O$7="Desbloqueado",
  "PROD"&amp;TEXT(RANDBETWEEN(1,200),"000"),
  Tabela_Movimentacao_Geral[[#This Row],[ID Produto]]
)</f>
        <v>PROD113</v>
      </c>
      <c r="G689" t="str">
        <f ca="1">_xlfn.XLOOKUP(Tabela_Movimentacao_Geral[[#This Row],[ID Produto]], Tabela_Produtos[ID_Produto],Tabela_Produtos[Descricao_Produto],"Produto não encontrado")</f>
        <v>Headphone Bluetooth NoiseC</v>
      </c>
      <c r="H689" cm="1">
        <f t="array" aca="1" ref="H689" ca="1">IF(
   $O$7="Desbloqueado",
   _xlfn.LET(
     _xlpm.saldo_atual, SUM(($C$2:$C688="Entrada")*($F$2:$F688=Tabela_Movimentacao_Geral[[#This Row],[ID Produto]])*($H$2:$H688) - ($C$2:$C688="Saida")*($F$2:$F688=Tabela_Movimentacao_Geral[[#This Row],[ID Produto]])*($H$2:$H688)),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689" s="5">
        <f ca="1">_xlfn.XLOOKUP(Tabela_Movimentacao_Geral[[#This Row],[ID Produto]], Tabela_Produtos[ID_Produto],Tabela_Produtos[Preco_Unitario_Venda])</f>
        <v>950</v>
      </c>
      <c r="J689" s="6">
        <f ca="1">Tabela_Movimentacao_Geral[[#This Row],[Quantidade]] * Tabela_Movimentacao_Geral[[#This Row],[Valor Unitário]]</f>
        <v>19950</v>
      </c>
      <c r="K689" t="str">
        <f ca="1">IF(
   $O$7="Desbloqueado",
   CHOOSE(RANDBETWEEN(1,3),"Pago","Pendente","Atrasado"),
   Tabela_Movimentacao_Geral[[#This Row],[Status Financeiro]]
)</f>
        <v>Pendente</v>
      </c>
      <c r="L689" t="str">
        <f ca="1">IF(
   $O$7="Desbloqueado",
   CHOOSE(RANDBETWEEN(1,3),"Entregue","Em Rota","Aguardando"),
   Tabela_Movimentacao_Geral[[#This Row],[Status Logistico]]
)</f>
        <v>Em Rota</v>
      </c>
      <c r="M68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90" spans="1:13" x14ac:dyDescent="0.3">
      <c r="A690" t="str">
        <f t="shared" si="10"/>
        <v>T0689</v>
      </c>
      <c r="B690" s="1">
        <v>45988</v>
      </c>
      <c r="C690" t="str" cm="1">
        <f t="array" aca="1" ref="C690" ca="1">IF($O$7="Desbloqueado",
  _xlfn.LET(
    _xlpm.saldo_atual, SUM(($C$2:$C689="Entrada")*($F$2:$F689=Tabela_Movimentacao_Geral[[#This Row],[ID Produto]])*($H$2:$H689) - ($C$2:$C689="Saida")*($F$2:$F689=Tabela_Movimentacao_Geral[[#This Row],[ID Produto]])*($H$2:$H689)),
    IF(_xlpm.saldo_atual &gt; 0, IF(RANDBETWEEN(0,10)&gt;3,"Saida","Entrada"), "Entrada")
  ),
  Tabela_Movimentacao_Geral[[#This Row],[Tipo Fluxo]]
)</f>
        <v>Saida</v>
      </c>
      <c r="D6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6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690" t="str">
        <f ca="1">IF(
  $O$7="Desbloqueado",
  "PROD"&amp;TEXT(RANDBETWEEN(1,200),"000"),
  Tabela_Movimentacao_Geral[[#This Row],[ID Produto]]
)</f>
        <v>PROD147</v>
      </c>
      <c r="G690" t="str">
        <f ca="1">_xlfn.XLOOKUP(Tabela_Movimentacao_Geral[[#This Row],[ID Produto]], Tabela_Produtos[ID_Produto],Tabela_Produtos[Descricao_Produto],"Produto não encontrado")</f>
        <v>Testador de Cabo de Rede</v>
      </c>
      <c r="H690" cm="1">
        <f t="array" aca="1" ref="H690" ca="1">IF(
   $O$7="Desbloqueado",
   _xlfn.LET(
     _xlpm.saldo_atual, SUM(($C$2:$C689="Entrada")*($F$2:$F689=Tabela_Movimentacao_Geral[[#This Row],[ID Produto]])*($H$2:$H689) - ($C$2:$C689="Saida")*($F$2:$F689=Tabela_Movimentacao_Geral[[#This Row],[ID Produto]])*($H$2:$H689)),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690" s="5">
        <f ca="1">_xlfn.XLOOKUP(Tabela_Movimentacao_Geral[[#This Row],[ID Produto]], Tabela_Produtos[ID_Produto],Tabela_Produtos[Preco_Unitario_Venda])</f>
        <v>65</v>
      </c>
      <c r="J690" s="6">
        <f ca="1">Tabela_Movimentacao_Geral[[#This Row],[Quantidade]] * Tabela_Movimentacao_Geral[[#This Row],[Valor Unitário]]</f>
        <v>845</v>
      </c>
      <c r="K690" t="str">
        <f ca="1">IF(
   $O$7="Desbloqueado",
   CHOOSE(RANDBETWEEN(1,3),"Pago","Pendente","Atrasado"),
   Tabela_Movimentacao_Geral[[#This Row],[Status Financeiro]]
)</f>
        <v>Pago</v>
      </c>
      <c r="L690" t="str">
        <f ca="1">IF(
   $O$7="Desbloqueado",
   CHOOSE(RANDBETWEEN(1,3),"Entregue","Em Rota","Aguardando"),
   Tabela_Movimentacao_Geral[[#This Row],[Status Logistico]]
)</f>
        <v>Aguardando</v>
      </c>
      <c r="M69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91" spans="1:13" x14ac:dyDescent="0.3">
      <c r="A691" t="str">
        <f t="shared" si="10"/>
        <v>T0690</v>
      </c>
      <c r="B691" s="1">
        <v>45988</v>
      </c>
      <c r="C691" t="str" cm="1">
        <f t="array" aca="1" ref="C691" ca="1">IF($O$7="Desbloqueado",
  _xlfn.LET(
    _xlpm.saldo_atual, SUM(($C$2:$C690="Entrada")*($F$2:$F690=Tabela_Movimentacao_Geral[[#This Row],[ID Produto]])*($H$2:$H690) - ($C$2:$C690="Saida")*($F$2:$F690=Tabela_Movimentacao_Geral[[#This Row],[ID Produto]])*($H$2:$H690)),
    IF(_xlpm.saldo_atual &gt; 0, IF(RANDBETWEEN(0,10)&gt;3,"Saida","Entrada"), "Entrada")
  ),
  Tabela_Movimentacao_Geral[[#This Row],[Tipo Fluxo]]
)</f>
        <v>Entrada</v>
      </c>
      <c r="D6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6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691" t="str">
        <f ca="1">IF(
  $O$7="Desbloqueado",
  "PROD"&amp;TEXT(RANDBETWEEN(1,200),"000"),
  Tabela_Movimentacao_Geral[[#This Row],[ID Produto]]
)</f>
        <v>PROD185</v>
      </c>
      <c r="G691" t="str">
        <f ca="1">_xlfn.XLOOKUP(Tabela_Movimentacao_Geral[[#This Row],[ID Produto]], Tabela_Produtos[ID_Produto],Tabela_Produtos[Descricao_Produto],"Produto não encontrado")</f>
        <v>PDU Básica 12 Tomadas</v>
      </c>
      <c r="H691" cm="1">
        <f t="array" aca="1" ref="H691" ca="1">IF(
   $O$7="Desbloqueado",
   _xlfn.LET(
     _xlpm.saldo_atual, SUM(($C$2:$C690="Entrada")*($F$2:$F690=Tabela_Movimentacao_Geral[[#This Row],[ID Produto]])*($H$2:$H690) - ($C$2:$C690="Saida")*($F$2:$F690=Tabela_Movimentacao_Geral[[#This Row],[ID Produto]])*($H$2:$H690)),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691" s="5">
        <f ca="1">_xlfn.XLOOKUP(Tabela_Movimentacao_Geral[[#This Row],[ID Produto]], Tabela_Produtos[ID_Produto],Tabela_Produtos[Preco_Unitario_Venda])</f>
        <v>380</v>
      </c>
      <c r="J691" s="6">
        <f ca="1">Tabela_Movimentacao_Geral[[#This Row],[Quantidade]] * Tabela_Movimentacao_Geral[[#This Row],[Valor Unitário]]</f>
        <v>16720</v>
      </c>
      <c r="K691" t="str">
        <f ca="1">IF(
   $O$7="Desbloqueado",
   CHOOSE(RANDBETWEEN(1,3),"Pago","Pendente","Atrasado"),
   Tabela_Movimentacao_Geral[[#This Row],[Status Financeiro]]
)</f>
        <v>Pago</v>
      </c>
      <c r="L691" t="str">
        <f ca="1">IF(
   $O$7="Desbloqueado",
   CHOOSE(RANDBETWEEN(1,3),"Entregue","Em Rota","Aguardando"),
   Tabela_Movimentacao_Geral[[#This Row],[Status Logistico]]
)</f>
        <v>Entregue</v>
      </c>
      <c r="M69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45998</v>
      </c>
    </row>
    <row r="692" spans="1:13" x14ac:dyDescent="0.3">
      <c r="A692" t="str">
        <f t="shared" si="10"/>
        <v>T0691</v>
      </c>
      <c r="B692" s="1">
        <v>45989</v>
      </c>
      <c r="C692" t="str" cm="1">
        <f t="array" aca="1" ref="C692" ca="1">IF($O$7="Desbloqueado",
  _xlfn.LET(
    _xlpm.saldo_atual, SUM(($C$2:$C691="Entrada")*($F$2:$F691=Tabela_Movimentacao_Geral[[#This Row],[ID Produto]])*($H$2:$H691) - ($C$2:$C691="Saida")*($F$2:$F691=Tabela_Movimentacao_Geral[[#This Row],[ID Produto]])*($H$2:$H691)),
    IF(_xlpm.saldo_atual &gt; 0, IF(RANDBETWEEN(0,10)&gt;3,"Saida","Entrada"), "Entrada")
  ),
  Tabela_Movimentacao_Geral[[#This Row],[Tipo Fluxo]]
)</f>
        <v>Saida</v>
      </c>
      <c r="D6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6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692" t="str">
        <f ca="1">IF(
  $O$7="Desbloqueado",
  "PROD"&amp;TEXT(RANDBETWEEN(1,200),"000"),
  Tabela_Movimentacao_Geral[[#This Row],[ID Produto]]
)</f>
        <v>PROD155</v>
      </c>
      <c r="G692" t="str">
        <f ca="1">_xlfn.XLOOKUP(Tabela_Movimentacao_Geral[[#This Row],[ID Produto]], Tabela_Produtos[ID_Produto],Tabela_Produtos[Descricao_Produto],"Produto não encontrado")</f>
        <v>Lâmina Estilete 10un</v>
      </c>
      <c r="H692" cm="1">
        <f t="array" aca="1" ref="H692" ca="1">IF(
   $O$7="Desbloqueado",
   _xlfn.LET(
     _xlpm.saldo_atual, SUM(($C$2:$C691="Entrada")*($F$2:$F691=Tabela_Movimentacao_Geral[[#This Row],[ID Produto]])*($H$2:$H691) - ($C$2:$C691="Saida")*($F$2:$F691=Tabela_Movimentacao_Geral[[#This Row],[ID Produto]])*($H$2:$H691)),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692" s="5">
        <f ca="1">_xlfn.XLOOKUP(Tabela_Movimentacao_Geral[[#This Row],[ID Produto]], Tabela_Produtos[ID_Produto],Tabela_Produtos[Preco_Unitario_Venda])</f>
        <v>12</v>
      </c>
      <c r="J692" s="6">
        <f ca="1">Tabela_Movimentacao_Geral[[#This Row],[Quantidade]] * Tabela_Movimentacao_Geral[[#This Row],[Valor Unitário]]</f>
        <v>120</v>
      </c>
      <c r="K692" t="str">
        <f ca="1">IF(
   $O$7="Desbloqueado",
   CHOOSE(RANDBETWEEN(1,3),"Pago","Pendente","Atrasado"),
   Tabela_Movimentacao_Geral[[#This Row],[Status Financeiro]]
)</f>
        <v>Pago</v>
      </c>
      <c r="L692" t="str">
        <f ca="1">IF(
   $O$7="Desbloqueado",
   CHOOSE(RANDBETWEEN(1,3),"Entregue","Em Rota","Aguardando"),
   Tabela_Movimentacao_Geral[[#This Row],[Status Logistico]]
)</f>
        <v>Em Rota</v>
      </c>
      <c r="M69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93" spans="1:13" x14ac:dyDescent="0.3">
      <c r="A693" t="str">
        <f t="shared" si="10"/>
        <v>T0692</v>
      </c>
      <c r="B693" s="1">
        <v>45989</v>
      </c>
      <c r="C693" t="str" cm="1">
        <f t="array" aca="1" ref="C693" ca="1">IF($O$7="Desbloqueado",
  _xlfn.LET(
    _xlpm.saldo_atual, SUM(($C$2:$C692="Entrada")*($F$2:$F692=Tabela_Movimentacao_Geral[[#This Row],[ID Produto]])*($H$2:$H692) - ($C$2:$C692="Saida")*($F$2:$F692=Tabela_Movimentacao_Geral[[#This Row],[ID Produto]])*($H$2:$H692)),
    IF(_xlpm.saldo_atual &gt; 0, IF(RANDBETWEEN(0,10)&gt;3,"Saida","Entrada"), "Entrada")
  ),
  Tabela_Movimentacao_Geral[[#This Row],[Tipo Fluxo]]
)</f>
        <v>Entrada</v>
      </c>
      <c r="D6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6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693" t="str">
        <f ca="1">IF(
  $O$7="Desbloqueado",
  "PROD"&amp;TEXT(RANDBETWEEN(1,200),"000"),
  Tabela_Movimentacao_Geral[[#This Row],[ID Produto]]
)</f>
        <v>PROD134</v>
      </c>
      <c r="G693" t="str">
        <f ca="1">_xlfn.XLOOKUP(Tabela_Movimentacao_Geral[[#This Row],[ID Produto]], Tabela_Produtos[ID_Produto],Tabela_Produtos[Descricao_Produto],"Produto não encontrado")</f>
        <v>Suporte Projetor Teto</v>
      </c>
      <c r="H693" cm="1">
        <f t="array" aca="1" ref="H693" ca="1">IF(
   $O$7="Desbloqueado",
   _xlfn.LET(
     _xlpm.saldo_atual, SUM(($C$2:$C692="Entrada")*($F$2:$F692=Tabela_Movimentacao_Geral[[#This Row],[ID Produto]])*($H$2:$H692) - ($C$2:$C692="Saida")*($F$2:$F692=Tabela_Movimentacao_Geral[[#This Row],[ID Produto]])*($H$2:$H692)),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693" s="5">
        <f ca="1">_xlfn.XLOOKUP(Tabela_Movimentacao_Geral[[#This Row],[ID Produto]], Tabela_Produtos[ID_Produto],Tabela_Produtos[Preco_Unitario_Venda])</f>
        <v>155</v>
      </c>
      <c r="J693" s="6">
        <f ca="1">Tabela_Movimentacao_Geral[[#This Row],[Quantidade]] * Tabela_Movimentacao_Geral[[#This Row],[Valor Unitário]]</f>
        <v>7285</v>
      </c>
      <c r="K693" t="str">
        <f ca="1">IF(
   $O$7="Desbloqueado",
   CHOOSE(RANDBETWEEN(1,3),"Pago","Pendente","Atrasado"),
   Tabela_Movimentacao_Geral[[#This Row],[Status Financeiro]]
)</f>
        <v>Atrasado</v>
      </c>
      <c r="L693" t="str">
        <f ca="1">IF(
   $O$7="Desbloqueado",
   CHOOSE(RANDBETWEEN(1,3),"Entregue","Em Rota","Aguardando"),
   Tabela_Movimentacao_Geral[[#This Row],[Status Logistico]]
)</f>
        <v>Entregue</v>
      </c>
      <c r="M69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45992</v>
      </c>
    </row>
    <row r="694" spans="1:13" x14ac:dyDescent="0.3">
      <c r="A694" t="str">
        <f t="shared" si="10"/>
        <v>T0693</v>
      </c>
      <c r="B694" s="1">
        <v>45989</v>
      </c>
      <c r="C694" t="str" cm="1">
        <f t="array" aca="1" ref="C694" ca="1">IF($O$7="Desbloqueado",
  _xlfn.LET(
    _xlpm.saldo_atual, SUM(($C$2:$C693="Entrada")*($F$2:$F693=Tabela_Movimentacao_Geral[[#This Row],[ID Produto]])*($H$2:$H693) - ($C$2:$C693="Saida")*($F$2:$F693=Tabela_Movimentacao_Geral[[#This Row],[ID Produto]])*($H$2:$H693)),
    IF(_xlpm.saldo_atual &gt; 0, IF(RANDBETWEEN(0,10)&gt;3,"Saida","Entrada"), "Entrada")
  ),
  Tabela_Movimentacao_Geral[[#This Row],[Tipo Fluxo]]
)</f>
        <v>Entrada</v>
      </c>
      <c r="D6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6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694" t="str">
        <f ca="1">IF(
  $O$7="Desbloqueado",
  "PROD"&amp;TEXT(RANDBETWEEN(1,200),"000"),
  Tabela_Movimentacao_Geral[[#This Row],[ID Produto]]
)</f>
        <v>PROD057</v>
      </c>
      <c r="G694" t="str">
        <f ca="1">_xlfn.XLOOKUP(Tabela_Movimentacao_Geral[[#This Row],[ID Produto]], Tabela_Produtos[ID_Produto],Tabela_Produtos[Descricao_Produto],"Produto não encontrado")</f>
        <v>Caneta Esferografica Azul</v>
      </c>
      <c r="H694" cm="1">
        <f t="array" aca="1" ref="H694" ca="1">IF(
   $O$7="Desbloqueado",
   _xlfn.LET(
     _xlpm.saldo_atual, SUM(($C$2:$C693="Entrada")*($F$2:$F693=Tabela_Movimentacao_Geral[[#This Row],[ID Produto]])*($H$2:$H693) - ($C$2:$C693="Saida")*($F$2:$F693=Tabela_Movimentacao_Geral[[#This Row],[ID Produto]])*($H$2:$H693)),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245</v>
      </c>
      <c r="I694" s="5">
        <f ca="1">_xlfn.XLOOKUP(Tabela_Movimentacao_Geral[[#This Row],[ID Produto]], Tabela_Produtos[ID_Produto],Tabela_Produtos[Preco_Unitario_Venda])</f>
        <v>1.5</v>
      </c>
      <c r="J694" s="6">
        <f ca="1">Tabela_Movimentacao_Geral[[#This Row],[Quantidade]] * Tabela_Movimentacao_Geral[[#This Row],[Valor Unitário]]</f>
        <v>367.5</v>
      </c>
      <c r="K694" t="str">
        <f ca="1">IF(
   $O$7="Desbloqueado",
   CHOOSE(RANDBETWEEN(1,3),"Pago","Pendente","Atrasado"),
   Tabela_Movimentacao_Geral[[#This Row],[Status Financeiro]]
)</f>
        <v>Pago</v>
      </c>
      <c r="L694" t="str">
        <f ca="1">IF(
   $O$7="Desbloqueado",
   CHOOSE(RANDBETWEEN(1,3),"Entregue","Em Rota","Aguardando"),
   Tabela_Movimentacao_Geral[[#This Row],[Status Logistico]]
)</f>
        <v>Em Rota</v>
      </c>
      <c r="M69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45993</v>
      </c>
    </row>
    <row r="695" spans="1:13" x14ac:dyDescent="0.3">
      <c r="A695" t="str">
        <f t="shared" si="10"/>
        <v>T0694</v>
      </c>
      <c r="B695" s="1">
        <v>45990</v>
      </c>
      <c r="C695" t="str" cm="1">
        <f t="array" aca="1" ref="C695" ca="1">IF($O$7="Desbloqueado",
  _xlfn.LET(
    _xlpm.saldo_atual, SUM(($C$2:$C694="Entrada")*($F$2:$F694=Tabela_Movimentacao_Geral[[#This Row],[ID Produto]])*($H$2:$H694) - ($C$2:$C694="Saida")*($F$2:$F694=Tabela_Movimentacao_Geral[[#This Row],[ID Produto]])*($H$2:$H694)),
    IF(_xlpm.saldo_atual &gt; 0, IF(RANDBETWEEN(0,10)&gt;3,"Saida","Entrada"), "Entrada")
  ),
  Tabela_Movimentacao_Geral[[#This Row],[Tipo Fluxo]]
)</f>
        <v>Saida</v>
      </c>
      <c r="D6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6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695" t="str">
        <f ca="1">IF(
  $O$7="Desbloqueado",
  "PROD"&amp;TEXT(RANDBETWEEN(1,200),"000"),
  Tabela_Movimentacao_Geral[[#This Row],[ID Produto]]
)</f>
        <v>PROD050</v>
      </c>
      <c r="G695" t="str">
        <f ca="1">_xlfn.XLOOKUP(Tabela_Movimentacao_Geral[[#This Row],[ID Produto]], Tabela_Produtos[ID_Produto],Tabela_Produtos[Descricao_Produto],"Produto não encontrado")</f>
        <v>Leitor de Codigo de Barras</v>
      </c>
      <c r="H695" cm="1">
        <f t="array" aca="1" ref="H695" ca="1">IF(
   $O$7="Desbloqueado",
   _xlfn.LET(
     _xlpm.saldo_atual, SUM(($C$2:$C694="Entrada")*($F$2:$F694=Tabela_Movimentacao_Geral[[#This Row],[ID Produto]])*($H$2:$H694) - ($C$2:$C694="Saida")*($F$2:$F694=Tabela_Movimentacao_Geral[[#This Row],[ID Produto]])*($H$2:$H694)),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695" s="5">
        <f ca="1">_xlfn.XLOOKUP(Tabela_Movimentacao_Geral[[#This Row],[ID Produto]], Tabela_Produtos[ID_Produto],Tabela_Produtos[Preco_Unitario_Venda])</f>
        <v>230</v>
      </c>
      <c r="J695" s="6">
        <f ca="1">Tabela_Movimentacao_Geral[[#This Row],[Quantidade]] * Tabela_Movimentacao_Geral[[#This Row],[Valor Unitário]]</f>
        <v>2300</v>
      </c>
      <c r="K695" t="str">
        <f ca="1">IF(
   $O$7="Desbloqueado",
   CHOOSE(RANDBETWEEN(1,3),"Pago","Pendente","Atrasado"),
   Tabela_Movimentacao_Geral[[#This Row],[Status Financeiro]]
)</f>
        <v>Pago</v>
      </c>
      <c r="L695" t="str">
        <f ca="1">IF(
   $O$7="Desbloqueado",
   CHOOSE(RANDBETWEEN(1,3),"Entregue","Em Rota","Aguardando"),
   Tabela_Movimentacao_Geral[[#This Row],[Status Logistico]]
)</f>
        <v>Em Rota</v>
      </c>
      <c r="M69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96" spans="1:13" x14ac:dyDescent="0.3">
      <c r="A696" t="str">
        <f t="shared" si="10"/>
        <v>T0695</v>
      </c>
      <c r="B696" s="1">
        <v>45990</v>
      </c>
      <c r="C696" t="str" cm="1">
        <f t="array" aca="1" ref="C696" ca="1">IF($O$7="Desbloqueado",
  _xlfn.LET(
    _xlpm.saldo_atual, SUM(($C$2:$C695="Entrada")*($F$2:$F695=Tabela_Movimentacao_Geral[[#This Row],[ID Produto]])*($H$2:$H695) - ($C$2:$C695="Saida")*($F$2:$F695=Tabela_Movimentacao_Geral[[#This Row],[ID Produto]])*($H$2:$H695)),
    IF(_xlpm.saldo_atual &gt; 0, IF(RANDBETWEEN(0,10)&gt;3,"Saida","Entrada"), "Entrada")
  ),
  Tabela_Movimentacao_Geral[[#This Row],[Tipo Fluxo]]
)</f>
        <v>Entrada</v>
      </c>
      <c r="D6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6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696" t="str">
        <f ca="1">IF(
  $O$7="Desbloqueado",
  "PROD"&amp;TEXT(RANDBETWEEN(1,200),"000"),
  Tabela_Movimentacao_Geral[[#This Row],[ID Produto]]
)</f>
        <v>PROD068</v>
      </c>
      <c r="G696" t="str">
        <f ca="1">_xlfn.XLOOKUP(Tabela_Movimentacao_Geral[[#This Row],[ID Produto]], Tabela_Produtos[ID_Produto],Tabela_Produtos[Descricao_Produto],"Produto não encontrado")</f>
        <v>Quadro Branco 90x60</v>
      </c>
      <c r="H696" cm="1">
        <f t="array" aca="1" ref="H696" ca="1">IF(
   $O$7="Desbloqueado",
   _xlfn.LET(
     _xlpm.saldo_atual, SUM(($C$2:$C695="Entrada")*($F$2:$F695=Tabela_Movimentacao_Geral[[#This Row],[ID Produto]])*($H$2:$H695) - ($C$2:$C695="Saida")*($F$2:$F695=Tabela_Movimentacao_Geral[[#This Row],[ID Produto]])*($H$2:$H695)),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65</v>
      </c>
      <c r="I696" s="5">
        <f ca="1">_xlfn.XLOOKUP(Tabela_Movimentacao_Geral[[#This Row],[ID Produto]], Tabela_Produtos[ID_Produto],Tabela_Produtos[Preco_Unitario_Venda])</f>
        <v>180</v>
      </c>
      <c r="J696" s="6">
        <f ca="1">Tabela_Movimentacao_Geral[[#This Row],[Quantidade]] * Tabela_Movimentacao_Geral[[#This Row],[Valor Unitário]]</f>
        <v>11700</v>
      </c>
      <c r="K696" t="str">
        <f ca="1">IF(
   $O$7="Desbloqueado",
   CHOOSE(RANDBETWEEN(1,3),"Pago","Pendente","Atrasado"),
   Tabela_Movimentacao_Geral[[#This Row],[Status Financeiro]]
)</f>
        <v>Atrasado</v>
      </c>
      <c r="L696" t="str">
        <f ca="1">IF(
   $O$7="Desbloqueado",
   CHOOSE(RANDBETWEEN(1,3),"Entregue","Em Rota","Aguardando"),
   Tabela_Movimentacao_Geral[[#This Row],[Status Logistico]]
)</f>
        <v>Entregue</v>
      </c>
      <c r="M69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45991</v>
      </c>
    </row>
    <row r="697" spans="1:13" x14ac:dyDescent="0.3">
      <c r="A697" t="str">
        <f t="shared" si="10"/>
        <v>T0696</v>
      </c>
      <c r="B697" s="1">
        <v>45992</v>
      </c>
      <c r="C697" t="str" cm="1">
        <f t="array" aca="1" ref="C697" ca="1">IF($O$7="Desbloqueado",
  _xlfn.LET(
    _xlpm.saldo_atual, SUM(($C$2:$C696="Entrada")*($F$2:$F696=Tabela_Movimentacao_Geral[[#This Row],[ID Produto]])*($H$2:$H696) - ($C$2:$C696="Saida")*($F$2:$F696=Tabela_Movimentacao_Geral[[#This Row],[ID Produto]])*($H$2:$H696)),
    IF(_xlpm.saldo_atual &gt; 0, IF(RANDBETWEEN(0,10)&gt;3,"Saida","Entrada"), "Entrada")
  ),
  Tabela_Movimentacao_Geral[[#This Row],[Tipo Fluxo]]
)</f>
        <v>Saida</v>
      </c>
      <c r="D6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6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697" t="str">
        <f ca="1">IF(
  $O$7="Desbloqueado",
  "PROD"&amp;TEXT(RANDBETWEEN(1,200),"000"),
  Tabela_Movimentacao_Geral[[#This Row],[ID Produto]]
)</f>
        <v>PROD063</v>
      </c>
      <c r="G697" t="str">
        <f ca="1">_xlfn.XLOOKUP(Tabela_Movimentacao_Geral[[#This Row],[ID Produto]], Tabela_Produtos[ID_Produto],Tabela_Produtos[Descricao_Produto],"Produto não encontrado")</f>
        <v>Tesoura Multiuso</v>
      </c>
      <c r="H697" cm="1">
        <f t="array" aca="1" ref="H697" ca="1">IF(
   $O$7="Desbloqueado",
   _xlfn.LET(
     _xlpm.saldo_atual, SUM(($C$2:$C696="Entrada")*($F$2:$F696=Tabela_Movimentacao_Geral[[#This Row],[ID Produto]])*($H$2:$H696) - ($C$2:$C696="Saida")*($F$2:$F696=Tabela_Movimentacao_Geral[[#This Row],[ID Produto]])*($H$2:$H696)),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697" s="5">
        <f ca="1">_xlfn.XLOOKUP(Tabela_Movimentacao_Geral[[#This Row],[ID Produto]], Tabela_Produtos[ID_Produto],Tabela_Produtos[Preco_Unitario_Venda])</f>
        <v>18</v>
      </c>
      <c r="J697" s="6">
        <f ca="1">Tabela_Movimentacao_Geral[[#This Row],[Quantidade]] * Tabela_Movimentacao_Geral[[#This Row],[Valor Unitário]]</f>
        <v>270</v>
      </c>
      <c r="K697" t="str">
        <f ca="1">IF(
   $O$7="Desbloqueado",
   CHOOSE(RANDBETWEEN(1,3),"Pago","Pendente","Atrasado"),
   Tabela_Movimentacao_Geral[[#This Row],[Status Financeiro]]
)</f>
        <v>Pago</v>
      </c>
      <c r="L697" t="str">
        <f ca="1">IF(
   $O$7="Desbloqueado",
   CHOOSE(RANDBETWEEN(1,3),"Entregue","Em Rota","Aguardando"),
   Tabela_Movimentacao_Geral[[#This Row],[Status Logistico]]
)</f>
        <v>Entregue</v>
      </c>
      <c r="M69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698" spans="1:13" x14ac:dyDescent="0.3">
      <c r="A698" t="str">
        <f t="shared" si="10"/>
        <v>T0697</v>
      </c>
      <c r="B698" s="1">
        <v>45992</v>
      </c>
      <c r="C698" t="str" cm="1">
        <f t="array" aca="1" ref="C698" ca="1">IF($O$7="Desbloqueado",
  _xlfn.LET(
    _xlpm.saldo_atual, SUM(($C$2:$C697="Entrada")*($F$2:$F697=Tabela_Movimentacao_Geral[[#This Row],[ID Produto]])*($H$2:$H697) - ($C$2:$C697="Saida")*($F$2:$F697=Tabela_Movimentacao_Geral[[#This Row],[ID Produto]])*($H$2:$H697)),
    IF(_xlpm.saldo_atual &gt; 0, IF(RANDBETWEEN(0,10)&gt;3,"Saida","Entrada"), "Entrada")
  ),
  Tabela_Movimentacao_Geral[[#This Row],[Tipo Fluxo]]
)</f>
        <v>Entrada</v>
      </c>
      <c r="D6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6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698" t="str">
        <f ca="1">IF(
  $O$7="Desbloqueado",
  "PROD"&amp;TEXT(RANDBETWEEN(1,200),"000"),
  Tabela_Movimentacao_Geral[[#This Row],[ID Produto]]
)</f>
        <v>PROD133</v>
      </c>
      <c r="G698" t="str">
        <f ca="1">_xlfn.XLOOKUP(Tabela_Movimentacao_Geral[[#This Row],[ID Produto]], Tabela_Produtos[ID_Produto],Tabela_Produtos[Descricao_Produto],"Produto não encontrado")</f>
        <v>Pendrive 128GB Metal</v>
      </c>
      <c r="H698" cm="1">
        <f t="array" aca="1" ref="H698" ca="1">IF(
   $O$7="Desbloqueado",
   _xlfn.LET(
     _xlpm.saldo_atual, SUM(($C$2:$C697="Entrada")*($F$2:$F697=Tabela_Movimentacao_Geral[[#This Row],[ID Produto]])*($H$2:$H697) - ($C$2:$C697="Saida")*($F$2:$F697=Tabela_Movimentacao_Geral[[#This Row],[ID Produto]])*($H$2:$H697)),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698" s="5">
        <f ca="1">_xlfn.XLOOKUP(Tabela_Movimentacao_Geral[[#This Row],[ID Produto]], Tabela_Produtos[ID_Produto],Tabela_Produtos[Preco_Unitario_Venda])</f>
        <v>110</v>
      </c>
      <c r="J698" s="6">
        <f ca="1">Tabela_Movimentacao_Geral[[#This Row],[Quantidade]] * Tabela_Movimentacao_Geral[[#This Row],[Valor Unitário]]</f>
        <v>990</v>
      </c>
      <c r="K698" t="str">
        <f ca="1">IF(
   $O$7="Desbloqueado",
   CHOOSE(RANDBETWEEN(1,3),"Pago","Pendente","Atrasado"),
   Tabela_Movimentacao_Geral[[#This Row],[Status Financeiro]]
)</f>
        <v>Pago</v>
      </c>
      <c r="L698" t="str">
        <f ca="1">IF(
   $O$7="Desbloqueado",
   CHOOSE(RANDBETWEEN(1,3),"Entregue","Em Rota","Aguardando"),
   Tabela_Movimentacao_Geral[[#This Row],[Status Logistico]]
)</f>
        <v>Entregue</v>
      </c>
      <c r="M69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45994</v>
      </c>
    </row>
    <row r="699" spans="1:13" x14ac:dyDescent="0.3">
      <c r="A699" t="str">
        <f t="shared" si="10"/>
        <v>T0698</v>
      </c>
      <c r="B699" s="1">
        <v>45993</v>
      </c>
      <c r="C699" t="str" cm="1">
        <f t="array" aca="1" ref="C699" ca="1">IF($O$7="Desbloqueado",
  _xlfn.LET(
    _xlpm.saldo_atual, SUM(($C$2:$C698="Entrada")*($F$2:$F698=Tabela_Movimentacao_Geral[[#This Row],[ID Produto]])*($H$2:$H698) - ($C$2:$C698="Saida")*($F$2:$F698=Tabela_Movimentacao_Geral[[#This Row],[ID Produto]])*($H$2:$H698)),
    IF(_xlpm.saldo_atual &gt; 0, IF(RANDBETWEEN(0,10)&gt;3,"Saida","Entrada"), "Entrada")
  ),
  Tabela_Movimentacao_Geral[[#This Row],[Tipo Fluxo]]
)</f>
        <v>Entrada</v>
      </c>
      <c r="D6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6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699" t="str">
        <f ca="1">IF(
  $O$7="Desbloqueado",
  "PROD"&amp;TEXT(RANDBETWEEN(1,200),"000"),
  Tabela_Movimentacao_Geral[[#This Row],[ID Produto]]
)</f>
        <v>PROD188</v>
      </c>
      <c r="G699" t="str">
        <f ca="1">_xlfn.XLOOKUP(Tabela_Movimentacao_Geral[[#This Row],[ID Produto]], Tabela_Produtos[ID_Produto],Tabela_Produtos[Descricao_Produto],"Produto não encontrado")</f>
        <v>Chassis para Media Conv</v>
      </c>
      <c r="H699" cm="1">
        <f t="array" aca="1" ref="H699" ca="1">IF(
   $O$7="Desbloqueado",
   _xlfn.LET(
     _xlpm.saldo_atual, SUM(($C$2:$C698="Entrada")*($F$2:$F698=Tabela_Movimentacao_Geral[[#This Row],[ID Produto]])*($H$2:$H698) - ($C$2:$C698="Saida")*($F$2:$F698=Tabela_Movimentacao_Geral[[#This Row],[ID Produto]])*($H$2:$H698)),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69</v>
      </c>
      <c r="I699" s="5">
        <f ca="1">_xlfn.XLOOKUP(Tabela_Movimentacao_Geral[[#This Row],[ID Produto]], Tabela_Produtos[ID_Produto],Tabela_Produtos[Preco_Unitario_Venda])</f>
        <v>1550</v>
      </c>
      <c r="J699" s="6">
        <f ca="1">Tabela_Movimentacao_Geral[[#This Row],[Quantidade]] * Tabela_Movimentacao_Geral[[#This Row],[Valor Unitário]]</f>
        <v>106950</v>
      </c>
      <c r="K699" t="str">
        <f ca="1">IF(
   $O$7="Desbloqueado",
   CHOOSE(RANDBETWEEN(1,3),"Pago","Pendente","Atrasado"),
   Tabela_Movimentacao_Geral[[#This Row],[Status Financeiro]]
)</f>
        <v>Pago</v>
      </c>
      <c r="L699" t="str">
        <f ca="1">IF(
   $O$7="Desbloqueado",
   CHOOSE(RANDBETWEEN(1,3),"Entregue","Em Rota","Aguardando"),
   Tabela_Movimentacao_Geral[[#This Row],[Status Logistico]]
)</f>
        <v>Entregue</v>
      </c>
      <c r="M69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45994</v>
      </c>
    </row>
    <row r="700" spans="1:13" x14ac:dyDescent="0.3">
      <c r="A700" t="str">
        <f t="shared" si="10"/>
        <v>T0699</v>
      </c>
      <c r="B700" s="1">
        <v>45993</v>
      </c>
      <c r="C700" t="str" cm="1">
        <f t="array" aca="1" ref="C700" ca="1">IF($O$7="Desbloqueado",
  _xlfn.LET(
    _xlpm.saldo_atual, SUM(($C$2:$C699="Entrada")*($F$2:$F699=Tabela_Movimentacao_Geral[[#This Row],[ID Produto]])*($H$2:$H699) - ($C$2:$C699="Saida")*($F$2:$F699=Tabela_Movimentacao_Geral[[#This Row],[ID Produto]])*($H$2:$H699)),
    IF(_xlpm.saldo_atual &gt; 0, IF(RANDBETWEEN(0,10)&gt;3,"Saida","Entrada"), "Entrada")
  ),
  Tabela_Movimentacao_Geral[[#This Row],[Tipo Fluxo]]
)</f>
        <v>Saida</v>
      </c>
      <c r="D7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7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700" t="str">
        <f ca="1">IF(
  $O$7="Desbloqueado",
  "PROD"&amp;TEXT(RANDBETWEEN(1,200),"000"),
  Tabela_Movimentacao_Geral[[#This Row],[ID Produto]]
)</f>
        <v>PROD070</v>
      </c>
      <c r="G700" t="str">
        <f ca="1">_xlfn.XLOOKUP(Tabela_Movimentacao_Geral[[#This Row],[ID Produto]], Tabela_Produtos[ID_Produto],Tabela_Produtos[Descricao_Produto],"Produto não encontrado")</f>
        <v>Marcador para Quadro Azul</v>
      </c>
      <c r="H700" cm="1">
        <f t="array" aca="1" ref="H700" ca="1">IF(
   $O$7="Desbloqueado",
   _xlfn.LET(
     _xlpm.saldo_atual, SUM(($C$2:$C699="Entrada")*($F$2:$F699=Tabela_Movimentacao_Geral[[#This Row],[ID Produto]])*($H$2:$H699) - ($C$2:$C699="Saida")*($F$2:$F699=Tabela_Movimentacao_Geral[[#This Row],[ID Produto]])*($H$2:$H699)),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700" s="5">
        <f ca="1">_xlfn.XLOOKUP(Tabela_Movimentacao_Geral[[#This Row],[ID Produto]], Tabela_Produtos[ID_Produto],Tabela_Produtos[Preco_Unitario_Venda])</f>
        <v>7.5</v>
      </c>
      <c r="J700" s="6">
        <f ca="1">Tabela_Movimentacao_Geral[[#This Row],[Quantidade]] * Tabela_Movimentacao_Geral[[#This Row],[Valor Unitário]]</f>
        <v>150</v>
      </c>
      <c r="K700" t="str">
        <f ca="1">IF(
   $O$7="Desbloqueado",
   CHOOSE(RANDBETWEEN(1,3),"Pago","Pendente","Atrasado"),
   Tabela_Movimentacao_Geral[[#This Row],[Status Financeiro]]
)</f>
        <v>Pendente</v>
      </c>
      <c r="L700" t="str">
        <f ca="1">IF(
   $O$7="Desbloqueado",
   CHOOSE(RANDBETWEEN(1,3),"Entregue","Em Rota","Aguardando"),
   Tabela_Movimentacao_Geral[[#This Row],[Status Logistico]]
)</f>
        <v>Entregue</v>
      </c>
      <c r="M70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01" spans="1:13" x14ac:dyDescent="0.3">
      <c r="A701" t="str">
        <f t="shared" si="10"/>
        <v>T0700</v>
      </c>
      <c r="B701" s="1">
        <v>45993</v>
      </c>
      <c r="C701" t="str" cm="1">
        <f t="array" aca="1" ref="C701" ca="1">IF($O$7="Desbloqueado",
  _xlfn.LET(
    _xlpm.saldo_atual, SUM(($C$2:$C700="Entrada")*($F$2:$F700=Tabela_Movimentacao_Geral[[#This Row],[ID Produto]])*($H$2:$H700) - ($C$2:$C700="Saida")*($F$2:$F700=Tabela_Movimentacao_Geral[[#This Row],[ID Produto]])*($H$2:$H700)),
    IF(_xlpm.saldo_atual &gt; 0, IF(RANDBETWEEN(0,10)&gt;3,"Saida","Entrada"), "Entrada")
  ),
  Tabela_Movimentacao_Geral[[#This Row],[Tipo Fluxo]]
)</f>
        <v>Entrada</v>
      </c>
      <c r="D7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7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701" t="str">
        <f ca="1">IF(
  $O$7="Desbloqueado",
  "PROD"&amp;TEXT(RANDBETWEEN(1,200),"000"),
  Tabela_Movimentacao_Geral[[#This Row],[ID Produto]]
)</f>
        <v>PROD091</v>
      </c>
      <c r="G701" t="str">
        <f ca="1">_xlfn.XLOOKUP(Tabela_Movimentacao_Geral[[#This Row],[ID Produto]], Tabela_Produtos[ID_Produto],Tabela_Produtos[Descricao_Produto],"Produto não encontrado")</f>
        <v>Unidade LTO-8 Backup</v>
      </c>
      <c r="H701" cm="1">
        <f t="array" aca="1" ref="H701" ca="1">IF(
   $O$7="Desbloqueado",
   _xlfn.LET(
     _xlpm.saldo_atual, SUM(($C$2:$C700="Entrada")*($F$2:$F700=Tabela_Movimentacao_Geral[[#This Row],[ID Produto]])*($H$2:$H700) - ($C$2:$C700="Saida")*($F$2:$F700=Tabela_Movimentacao_Geral[[#This Row],[ID Produto]])*($H$2:$H700)),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41</v>
      </c>
      <c r="I701" s="5">
        <f ca="1">_xlfn.XLOOKUP(Tabela_Movimentacao_Geral[[#This Row],[ID Produto]], Tabela_Produtos[ID_Produto],Tabela_Produtos[Preco_Unitario_Venda])</f>
        <v>28000</v>
      </c>
      <c r="J701" s="6">
        <f ca="1">Tabela_Movimentacao_Geral[[#This Row],[Quantidade]] * Tabela_Movimentacao_Geral[[#This Row],[Valor Unitário]]</f>
        <v>1148000</v>
      </c>
      <c r="K701" t="str">
        <f ca="1">IF(
   $O$7="Desbloqueado",
   CHOOSE(RANDBETWEEN(1,3),"Pago","Pendente","Atrasado"),
   Tabela_Movimentacao_Geral[[#This Row],[Status Financeiro]]
)</f>
        <v>Atrasado</v>
      </c>
      <c r="L701" t="str">
        <f ca="1">IF(
   $O$7="Desbloqueado",
   CHOOSE(RANDBETWEEN(1,3),"Entregue","Em Rota","Aguardando"),
   Tabela_Movimentacao_Geral[[#This Row],[Status Logistico]]
)</f>
        <v>Entregue</v>
      </c>
      <c r="M7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45995</v>
      </c>
    </row>
    <row r="702" spans="1:13" x14ac:dyDescent="0.3">
      <c r="A702" t="str">
        <f t="shared" si="10"/>
        <v>T0701</v>
      </c>
      <c r="B702" s="1">
        <v>45993</v>
      </c>
      <c r="C702" t="str" cm="1">
        <f t="array" aca="1" ref="C702" ca="1">IF($O$7="Desbloqueado",
  _xlfn.LET(
    _xlpm.saldo_atual, SUM(($C$2:$C701="Entrada")*($F$2:$F701=Tabela_Movimentacao_Geral[[#This Row],[ID Produto]])*($H$2:$H701) - ($C$2:$C701="Saida")*($F$2:$F701=Tabela_Movimentacao_Geral[[#This Row],[ID Produto]])*($H$2:$H701)),
    IF(_xlpm.saldo_atual &gt; 0, IF(RANDBETWEEN(0,10)&gt;3,"Saida","Entrada"), "Entrada")
  ),
  Tabela_Movimentacao_Geral[[#This Row],[Tipo Fluxo]]
)</f>
        <v>Saida</v>
      </c>
      <c r="D7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7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702" t="str">
        <f ca="1">IF(
  $O$7="Desbloqueado",
  "PROD"&amp;TEXT(RANDBETWEEN(1,200),"000"),
  Tabela_Movimentacao_Geral[[#This Row],[ID Produto]]
)</f>
        <v>PROD052</v>
      </c>
      <c r="G702" t="str">
        <f ca="1">_xlfn.XLOOKUP(Tabela_Movimentacao_Geral[[#This Row],[ID Produto]], Tabela_Produtos[ID_Produto],Tabela_Produtos[Descricao_Produto],"Produto não encontrado")</f>
        <v>Clips Metalicos 33mm 100un</v>
      </c>
      <c r="H702" cm="1">
        <f t="array" aca="1" ref="H702" ca="1">IF(
   $O$7="Desbloqueado",
   _xlfn.LET(
     _xlpm.saldo_atual, SUM(($C$2:$C701="Entrada")*($F$2:$F701=Tabela_Movimentacao_Geral[[#This Row],[ID Produto]])*($H$2:$H701) - ($C$2:$C701="Saida")*($F$2:$F701=Tabela_Movimentacao_Geral[[#This Row],[ID Produto]])*($H$2:$H701)),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702" s="5">
        <f ca="1">_xlfn.XLOOKUP(Tabela_Movimentacao_Geral[[#This Row],[ID Produto]], Tabela_Produtos[ID_Produto],Tabela_Produtos[Preco_Unitario_Venda])</f>
        <v>6.5</v>
      </c>
      <c r="J702" s="6">
        <f ca="1">Tabela_Movimentacao_Geral[[#This Row],[Quantidade]] * Tabela_Movimentacao_Geral[[#This Row],[Valor Unitário]]</f>
        <v>104</v>
      </c>
      <c r="K702" t="str">
        <f ca="1">IF(
   $O$7="Desbloqueado",
   CHOOSE(RANDBETWEEN(1,3),"Pago","Pendente","Atrasado"),
   Tabela_Movimentacao_Geral[[#This Row],[Status Financeiro]]
)</f>
        <v>Pago</v>
      </c>
      <c r="L702" t="str">
        <f ca="1">IF(
   $O$7="Desbloqueado",
   CHOOSE(RANDBETWEEN(1,3),"Entregue","Em Rota","Aguardando"),
   Tabela_Movimentacao_Geral[[#This Row],[Status Logistico]]
)</f>
        <v>Aguardando</v>
      </c>
      <c r="M70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03" spans="1:13" x14ac:dyDescent="0.3">
      <c r="A703" t="str">
        <f t="shared" si="10"/>
        <v>T0702</v>
      </c>
      <c r="B703" s="1">
        <v>45993</v>
      </c>
      <c r="C703" t="str" cm="1">
        <f t="array" aca="1" ref="C703" ca="1">IF($O$7="Desbloqueado",
  _xlfn.LET(
    _xlpm.saldo_atual, SUM(($C$2:$C702="Entrada")*($F$2:$F702=Tabela_Movimentacao_Geral[[#This Row],[ID Produto]])*($H$2:$H702) - ($C$2:$C702="Saida")*($F$2:$F702=Tabela_Movimentacao_Geral[[#This Row],[ID Produto]])*($H$2:$H702)),
    IF(_xlpm.saldo_atual &gt; 0, IF(RANDBETWEEN(0,10)&gt;3,"Saida","Entrada"), "Entrada")
  ),
  Tabela_Movimentacao_Geral[[#This Row],[Tipo Fluxo]]
)</f>
        <v>Saida</v>
      </c>
      <c r="D7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7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703" t="str">
        <f ca="1">IF(
  $O$7="Desbloqueado",
  "PROD"&amp;TEXT(RANDBETWEEN(1,200),"000"),
  Tabela_Movimentacao_Geral[[#This Row],[ID Produto]]
)</f>
        <v>PROD020</v>
      </c>
      <c r="G703" t="str">
        <f ca="1">_xlfn.XLOOKUP(Tabela_Movimentacao_Geral[[#This Row],[ID Produto]], Tabela_Produtos[ID_Produto],Tabela_Produtos[Descricao_Produto],"Produto não encontrado")</f>
        <v>Estabilizador 1000VA</v>
      </c>
      <c r="H703" cm="1">
        <f t="array" aca="1" ref="H703" ca="1">IF(
   $O$7="Desbloqueado",
   _xlfn.LET(
     _xlpm.saldo_atual, SUM(($C$2:$C702="Entrada")*($F$2:$F702=Tabela_Movimentacao_Geral[[#This Row],[ID Produto]])*($H$2:$H702) - ($C$2:$C702="Saida")*($F$2:$F702=Tabela_Movimentacao_Geral[[#This Row],[ID Produto]])*($H$2:$H702)),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703" s="5">
        <f ca="1">_xlfn.XLOOKUP(Tabela_Movimentacao_Geral[[#This Row],[ID Produto]], Tabela_Produtos[ID_Produto],Tabela_Produtos[Preco_Unitario_Venda])</f>
        <v>400</v>
      </c>
      <c r="J703" s="6">
        <f ca="1">Tabela_Movimentacao_Geral[[#This Row],[Quantidade]] * Tabela_Movimentacao_Geral[[#This Row],[Valor Unitário]]</f>
        <v>10400</v>
      </c>
      <c r="K703" t="str">
        <f ca="1">IF(
   $O$7="Desbloqueado",
   CHOOSE(RANDBETWEEN(1,3),"Pago","Pendente","Atrasado"),
   Tabela_Movimentacao_Geral[[#This Row],[Status Financeiro]]
)</f>
        <v>Atrasado</v>
      </c>
      <c r="L703" t="str">
        <f ca="1">IF(
   $O$7="Desbloqueado",
   CHOOSE(RANDBETWEEN(1,3),"Entregue","Em Rota","Aguardando"),
   Tabela_Movimentacao_Geral[[#This Row],[Status Logistico]]
)</f>
        <v>Em Rota</v>
      </c>
      <c r="M70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04" spans="1:13" x14ac:dyDescent="0.3">
      <c r="A704" t="str">
        <f t="shared" si="10"/>
        <v>T0703</v>
      </c>
      <c r="B704" s="1">
        <v>45994</v>
      </c>
      <c r="C704" t="str" cm="1">
        <f t="array" aca="1" ref="C704" ca="1">IF($O$7="Desbloqueado",
  _xlfn.LET(
    _xlpm.saldo_atual, SUM(($C$2:$C703="Entrada")*($F$2:$F703=Tabela_Movimentacao_Geral[[#This Row],[ID Produto]])*($H$2:$H703) - ($C$2:$C703="Saida")*($F$2:$F703=Tabela_Movimentacao_Geral[[#This Row],[ID Produto]])*($H$2:$H703)),
    IF(_xlpm.saldo_atual &gt; 0, IF(RANDBETWEEN(0,10)&gt;3,"Saida","Entrada"), "Entrada")
  ),
  Tabela_Movimentacao_Geral[[#This Row],[Tipo Fluxo]]
)</f>
        <v>Saida</v>
      </c>
      <c r="D7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7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704" t="str">
        <f ca="1">IF(
  $O$7="Desbloqueado",
  "PROD"&amp;TEXT(RANDBETWEEN(1,200),"000"),
  Tabela_Movimentacao_Geral[[#This Row],[ID Produto]]
)</f>
        <v>PROD142</v>
      </c>
      <c r="G704" t="str">
        <f ca="1">_xlfn.XLOOKUP(Tabela_Movimentacao_Geral[[#This Row],[ID Produto]], Tabela_Produtos[ID_Produto],Tabela_Produtos[Descricao_Produto],"Produto não encontrado")</f>
        <v>Trava de Seguranca Note</v>
      </c>
      <c r="H704" cm="1">
        <f t="array" aca="1" ref="H704" ca="1">IF(
   $O$7="Desbloqueado",
   _xlfn.LET(
     _xlpm.saldo_atual, SUM(($C$2:$C703="Entrada")*($F$2:$F703=Tabela_Movimentacao_Geral[[#This Row],[ID Produto]])*($H$2:$H703) - ($C$2:$C703="Saida")*($F$2:$F703=Tabela_Movimentacao_Geral[[#This Row],[ID Produto]])*($H$2:$H703)),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86</v>
      </c>
      <c r="I704" s="5">
        <f ca="1">_xlfn.XLOOKUP(Tabela_Movimentacao_Geral[[#This Row],[ID Produto]], Tabela_Produtos[ID_Produto],Tabela_Produtos[Preco_Unitario_Venda])</f>
        <v>85</v>
      </c>
      <c r="J704" s="6">
        <f ca="1">Tabela_Movimentacao_Geral[[#This Row],[Quantidade]] * Tabela_Movimentacao_Geral[[#This Row],[Valor Unitário]]</f>
        <v>7310</v>
      </c>
      <c r="K704" t="str">
        <f ca="1">IF(
   $O$7="Desbloqueado",
   CHOOSE(RANDBETWEEN(1,3),"Pago","Pendente","Atrasado"),
   Tabela_Movimentacao_Geral[[#This Row],[Status Financeiro]]
)</f>
        <v>Pago</v>
      </c>
      <c r="L704" t="str">
        <f ca="1">IF(
   $O$7="Desbloqueado",
   CHOOSE(RANDBETWEEN(1,3),"Entregue","Em Rota","Aguardando"),
   Tabela_Movimentacao_Geral[[#This Row],[Status Logistico]]
)</f>
        <v>Entregue</v>
      </c>
      <c r="M70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05" spans="1:13" x14ac:dyDescent="0.3">
      <c r="A705" t="str">
        <f t="shared" si="10"/>
        <v>T0704</v>
      </c>
      <c r="B705" s="1">
        <v>45994</v>
      </c>
      <c r="C705" t="str" cm="1">
        <f t="array" aca="1" ref="C705" ca="1">IF($O$7="Desbloqueado",
  _xlfn.LET(
    _xlpm.saldo_atual, SUM(($C$2:$C704="Entrada")*($F$2:$F704=Tabela_Movimentacao_Geral[[#This Row],[ID Produto]])*($H$2:$H704) - ($C$2:$C704="Saida")*($F$2:$F704=Tabela_Movimentacao_Geral[[#This Row],[ID Produto]])*($H$2:$H704)),
    IF(_xlpm.saldo_atual &gt; 0, IF(RANDBETWEEN(0,10)&gt;3,"Saida","Entrada"), "Entrada")
  ),
  Tabela_Movimentacao_Geral[[#This Row],[Tipo Fluxo]]
)</f>
        <v>Entrada</v>
      </c>
      <c r="D7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7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705" t="str">
        <f ca="1">IF(
  $O$7="Desbloqueado",
  "PROD"&amp;TEXT(RANDBETWEEN(1,200),"000"),
  Tabela_Movimentacao_Geral[[#This Row],[ID Produto]]
)</f>
        <v>PROD029</v>
      </c>
      <c r="G705" t="str">
        <f ca="1">_xlfn.XLOOKUP(Tabela_Movimentacao_Geral[[#This Row],[ID Produto]], Tabela_Produtos[ID_Produto],Tabela_Produtos[Descricao_Produto],"Produto não encontrado")</f>
        <v>Caneta Digital para Tablet</v>
      </c>
      <c r="H705" cm="1">
        <f t="array" aca="1" ref="H705" ca="1">IF(
   $O$7="Desbloqueado",
   _xlfn.LET(
     _xlpm.saldo_atual, SUM(($C$2:$C704="Entrada")*($F$2:$F704=Tabela_Movimentacao_Geral[[#This Row],[ID Produto]])*($H$2:$H704) - ($C$2:$C704="Saida")*($F$2:$F704=Tabela_Movimentacao_Geral[[#This Row],[ID Produto]])*($H$2:$H704)),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40</v>
      </c>
      <c r="I705" s="5">
        <f ca="1">_xlfn.XLOOKUP(Tabela_Movimentacao_Geral[[#This Row],[ID Produto]], Tabela_Produtos[ID_Produto],Tabela_Produtos[Preco_Unitario_Venda])</f>
        <v>320</v>
      </c>
      <c r="J705" s="6">
        <f ca="1">Tabela_Movimentacao_Geral[[#This Row],[Quantidade]] * Tabela_Movimentacao_Geral[[#This Row],[Valor Unitário]]</f>
        <v>12800</v>
      </c>
      <c r="K705" t="str">
        <f ca="1">IF(
   $O$7="Desbloqueado",
   CHOOSE(RANDBETWEEN(1,3),"Pago","Pendente","Atrasado"),
   Tabela_Movimentacao_Geral[[#This Row],[Status Financeiro]]
)</f>
        <v>Pago</v>
      </c>
      <c r="L705" t="str">
        <f ca="1">IF(
   $O$7="Desbloqueado",
   CHOOSE(RANDBETWEEN(1,3),"Entregue","Em Rota","Aguardando"),
   Tabela_Movimentacao_Geral[[#This Row],[Status Logistico]]
)</f>
        <v>Entregue</v>
      </c>
      <c r="M70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45996</v>
      </c>
    </row>
    <row r="706" spans="1:13" x14ac:dyDescent="0.3">
      <c r="A706" t="str">
        <f t="shared" si="10"/>
        <v>T0705</v>
      </c>
      <c r="B706" s="1">
        <v>45995</v>
      </c>
      <c r="C706" t="str" cm="1">
        <f t="array" aca="1" ref="C706" ca="1">IF($O$7="Desbloqueado",
  _xlfn.LET(
    _xlpm.saldo_atual, SUM(($C$2:$C705="Entrada")*($F$2:$F705=Tabela_Movimentacao_Geral[[#This Row],[ID Produto]])*($H$2:$H705) - ($C$2:$C705="Saida")*($F$2:$F705=Tabela_Movimentacao_Geral[[#This Row],[ID Produto]])*($H$2:$H705)),
    IF(_xlpm.saldo_atual &gt; 0, IF(RANDBETWEEN(0,10)&gt;3,"Saida","Entrada"), "Entrada")
  ),
  Tabela_Movimentacao_Geral[[#This Row],[Tipo Fluxo]]
)</f>
        <v>Saida</v>
      </c>
      <c r="D7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7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706" t="str">
        <f ca="1">IF(
  $O$7="Desbloqueado",
  "PROD"&amp;TEXT(RANDBETWEEN(1,200),"000"),
  Tabela_Movimentacao_Geral[[#This Row],[ID Produto]]
)</f>
        <v>PROD101</v>
      </c>
      <c r="G706" t="str">
        <f ca="1">_xlfn.XLOOKUP(Tabela_Movimentacao_Geral[[#This Row],[ID Produto]], Tabela_Produtos[ID_Produto],Tabela_Produtos[Descricao_Produto],"Produto não encontrado")</f>
        <v>Monitor 27 pol 4K</v>
      </c>
      <c r="H706" cm="1">
        <f t="array" aca="1" ref="H706" ca="1">IF(
   $O$7="Desbloqueado",
   _xlfn.LET(
     _xlpm.saldo_atual, SUM(($C$2:$C705="Entrada")*($F$2:$F705=Tabela_Movimentacao_Geral[[#This Row],[ID Produto]])*($H$2:$H705) - ($C$2:$C705="Saida")*($F$2:$F705=Tabela_Movimentacao_Geral[[#This Row],[ID Produto]])*($H$2:$H705)),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706" s="5">
        <f ca="1">_xlfn.XLOOKUP(Tabela_Movimentacao_Geral[[#This Row],[ID Produto]], Tabela_Produtos[ID_Produto],Tabela_Produtos[Preco_Unitario_Venda])</f>
        <v>2200</v>
      </c>
      <c r="J706" s="6">
        <f ca="1">Tabela_Movimentacao_Geral[[#This Row],[Quantidade]] * Tabela_Movimentacao_Geral[[#This Row],[Valor Unitário]]</f>
        <v>50600</v>
      </c>
      <c r="K706" t="str">
        <f ca="1">IF(
   $O$7="Desbloqueado",
   CHOOSE(RANDBETWEEN(1,3),"Pago","Pendente","Atrasado"),
   Tabela_Movimentacao_Geral[[#This Row],[Status Financeiro]]
)</f>
        <v>Pendente</v>
      </c>
      <c r="L706" t="str">
        <f ca="1">IF(
   $O$7="Desbloqueado",
   CHOOSE(RANDBETWEEN(1,3),"Entregue","Em Rota","Aguardando"),
   Tabela_Movimentacao_Geral[[#This Row],[Status Logistico]]
)</f>
        <v>Entregue</v>
      </c>
      <c r="M70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07" spans="1:13" x14ac:dyDescent="0.3">
      <c r="A707" t="str">
        <f t="shared" si="10"/>
        <v>T0706</v>
      </c>
      <c r="B707" s="1">
        <v>45995</v>
      </c>
      <c r="C707" t="str" cm="1">
        <f t="array" aca="1" ref="C707" ca="1">IF($O$7="Desbloqueado",
  _xlfn.LET(
    _xlpm.saldo_atual, SUM(($C$2:$C706="Entrada")*($F$2:$F706=Tabela_Movimentacao_Geral[[#This Row],[ID Produto]])*($H$2:$H706) - ($C$2:$C706="Saida")*($F$2:$F706=Tabela_Movimentacao_Geral[[#This Row],[ID Produto]])*($H$2:$H706)),
    IF(_xlpm.saldo_atual &gt; 0, IF(RANDBETWEEN(0,10)&gt;3,"Saida","Entrada"), "Entrada")
  ),
  Tabela_Movimentacao_Geral[[#This Row],[Tipo Fluxo]]
)</f>
        <v>Saida</v>
      </c>
      <c r="D7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7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707" t="str">
        <f ca="1">IF(
  $O$7="Desbloqueado",
  "PROD"&amp;TEXT(RANDBETWEEN(1,200),"000"),
  Tabela_Movimentacao_Geral[[#This Row],[ID Produto]]
)</f>
        <v>PROD197</v>
      </c>
      <c r="G707" t="str">
        <f ca="1">_xlfn.XLOOKUP(Tabela_Movimentacao_Geral[[#This Row],[ID Produto]], Tabela_Produtos[ID_Produto],Tabela_Produtos[Descricao_Produto],"Produto não encontrado")</f>
        <v>Soprador Térmico 1800W</v>
      </c>
      <c r="H707" cm="1">
        <f t="array" aca="1" ref="H707" ca="1">IF(
   $O$7="Desbloqueado",
   _xlfn.LET(
     _xlpm.saldo_atual, SUM(($C$2:$C706="Entrada")*($F$2:$F706=Tabela_Movimentacao_Geral[[#This Row],[ID Produto]])*($H$2:$H706) - ($C$2:$C706="Saida")*($F$2:$F706=Tabela_Movimentacao_Geral[[#This Row],[ID Produto]])*($H$2:$H706)),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707" s="5">
        <f ca="1">_xlfn.XLOOKUP(Tabela_Movimentacao_Geral[[#This Row],[ID Produto]], Tabela_Produtos[ID_Produto],Tabela_Produtos[Preco_Unitario_Venda])</f>
        <v>280</v>
      </c>
      <c r="J707" s="6">
        <f ca="1">Tabela_Movimentacao_Geral[[#This Row],[Quantidade]] * Tabela_Movimentacao_Geral[[#This Row],[Valor Unitário]]</f>
        <v>8400</v>
      </c>
      <c r="K707" t="str">
        <f ca="1">IF(
   $O$7="Desbloqueado",
   CHOOSE(RANDBETWEEN(1,3),"Pago","Pendente","Atrasado"),
   Tabela_Movimentacao_Geral[[#This Row],[Status Financeiro]]
)</f>
        <v>Pago</v>
      </c>
      <c r="L707" t="str">
        <f ca="1">IF(
   $O$7="Desbloqueado",
   CHOOSE(RANDBETWEEN(1,3),"Entregue","Em Rota","Aguardando"),
   Tabela_Movimentacao_Geral[[#This Row],[Status Logistico]]
)</f>
        <v>Em Rota</v>
      </c>
      <c r="M70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08" spans="1:13" x14ac:dyDescent="0.3">
      <c r="A708" t="str">
        <f t="shared" si="10"/>
        <v>T0707</v>
      </c>
      <c r="B708" s="1">
        <v>45995</v>
      </c>
      <c r="C708" t="str" cm="1">
        <f t="array" aca="1" ref="C708" ca="1">IF($O$7="Desbloqueado",
  _xlfn.LET(
    _xlpm.saldo_atual, SUM(($C$2:$C707="Entrada")*($F$2:$F707=Tabela_Movimentacao_Geral[[#This Row],[ID Produto]])*($H$2:$H707) - ($C$2:$C707="Saida")*($F$2:$F707=Tabela_Movimentacao_Geral[[#This Row],[ID Produto]])*($H$2:$H707)),
    IF(_xlpm.saldo_atual &gt; 0, IF(RANDBETWEEN(0,10)&gt;3,"Saida","Entrada"), "Entrada")
  ),
  Tabela_Movimentacao_Geral[[#This Row],[Tipo Fluxo]]
)</f>
        <v>Entrada</v>
      </c>
      <c r="D7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7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708" t="str">
        <f ca="1">IF(
  $O$7="Desbloqueado",
  "PROD"&amp;TEXT(RANDBETWEEN(1,200),"000"),
  Tabela_Movimentacao_Geral[[#This Row],[ID Produto]]
)</f>
        <v>PROD022</v>
      </c>
      <c r="G708" t="str">
        <f ca="1">_xlfn.XLOOKUP(Tabela_Movimentacao_Geral[[#This Row],[ID Produto]], Tabela_Produtos[ID_Produto],Tabela_Produtos[Descricao_Produto],"Produto não encontrado")</f>
        <v>Licenca Windows 11 Pro</v>
      </c>
      <c r="H708" cm="1">
        <f t="array" aca="1" ref="H708" ca="1">IF(
   $O$7="Desbloqueado",
   _xlfn.LET(
     _xlpm.saldo_atual, SUM(($C$2:$C707="Entrada")*($F$2:$F707=Tabela_Movimentacao_Geral[[#This Row],[ID Produto]])*($H$2:$H707) - ($C$2:$C707="Saida")*($F$2:$F707=Tabela_Movimentacao_Geral[[#This Row],[ID Produto]])*($H$2:$H707)),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168</v>
      </c>
      <c r="I708" s="5">
        <f ca="1">_xlfn.XLOOKUP(Tabela_Movimentacao_Geral[[#This Row],[ID Produto]], Tabela_Produtos[ID_Produto],Tabela_Produtos[Preco_Unitario_Venda])</f>
        <v>980</v>
      </c>
      <c r="J708" s="6">
        <f ca="1">Tabela_Movimentacao_Geral[[#This Row],[Quantidade]] * Tabela_Movimentacao_Geral[[#This Row],[Valor Unitário]]</f>
        <v>164640</v>
      </c>
      <c r="K708" t="str">
        <f ca="1">IF(
   $O$7="Desbloqueado",
   CHOOSE(RANDBETWEEN(1,3),"Pago","Pendente","Atrasado"),
   Tabela_Movimentacao_Geral[[#This Row],[Status Financeiro]]
)</f>
        <v>Pendente</v>
      </c>
      <c r="L708" t="str">
        <f ca="1">IF(
   $O$7="Desbloqueado",
   CHOOSE(RANDBETWEEN(1,3),"Entregue","Em Rota","Aguardando"),
   Tabela_Movimentacao_Geral[[#This Row],[Status Logistico]]
)</f>
        <v>Em Rota</v>
      </c>
      <c r="M70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45998</v>
      </c>
    </row>
    <row r="709" spans="1:13" x14ac:dyDescent="0.3">
      <c r="A709" t="str">
        <f t="shared" si="10"/>
        <v>T0708</v>
      </c>
      <c r="B709" s="1">
        <v>45996</v>
      </c>
      <c r="C709" t="str" cm="1">
        <f t="array" aca="1" ref="C709" ca="1">IF($O$7="Desbloqueado",
  _xlfn.LET(
    _xlpm.saldo_atual, SUM(($C$2:$C708="Entrada")*($F$2:$F708=Tabela_Movimentacao_Geral[[#This Row],[ID Produto]])*($H$2:$H708) - ($C$2:$C708="Saida")*($F$2:$F708=Tabela_Movimentacao_Geral[[#This Row],[ID Produto]])*($H$2:$H708)),
    IF(_xlpm.saldo_atual &gt; 0, IF(RANDBETWEEN(0,10)&gt;3,"Saida","Entrada"), "Entrada")
  ),
  Tabela_Movimentacao_Geral[[#This Row],[Tipo Fluxo]]
)</f>
        <v>Entrada</v>
      </c>
      <c r="D7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7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709" t="str">
        <f ca="1">IF(
  $O$7="Desbloqueado",
  "PROD"&amp;TEXT(RANDBETWEEN(1,200),"000"),
  Tabela_Movimentacao_Geral[[#This Row],[ID Produto]]
)</f>
        <v>PROD067</v>
      </c>
      <c r="G709" t="str">
        <f ca="1">_xlfn.XLOOKUP(Tabela_Movimentacao_Geral[[#This Row],[ID Produto]], Tabela_Produtos[ID_Produto],Tabela_Produtos[Descricao_Produto],"Produto não encontrado")</f>
        <v>Marcador de Texto Amarelo</v>
      </c>
      <c r="H709" cm="1">
        <f t="array" aca="1" ref="H709" ca="1">IF(
   $O$7="Desbloqueado",
   _xlfn.LET(
     _xlpm.saldo_atual, SUM(($C$2:$C708="Entrada")*($F$2:$F708=Tabela_Movimentacao_Geral[[#This Row],[ID Produto]])*($H$2:$H708) - ($C$2:$C708="Saida")*($F$2:$F708=Tabela_Movimentacao_Geral[[#This Row],[ID Produto]])*($H$2:$H708)),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117</v>
      </c>
      <c r="I709" s="5">
        <f ca="1">_xlfn.XLOOKUP(Tabela_Movimentacao_Geral[[#This Row],[ID Produto]], Tabela_Produtos[ID_Produto],Tabela_Produtos[Preco_Unitario_Venda])</f>
        <v>4.5</v>
      </c>
      <c r="J709" s="6">
        <f ca="1">Tabela_Movimentacao_Geral[[#This Row],[Quantidade]] * Tabela_Movimentacao_Geral[[#This Row],[Valor Unitário]]</f>
        <v>526.5</v>
      </c>
      <c r="K709" t="str">
        <f ca="1">IF(
   $O$7="Desbloqueado",
   CHOOSE(RANDBETWEEN(1,3),"Pago","Pendente","Atrasado"),
   Tabela_Movimentacao_Geral[[#This Row],[Status Financeiro]]
)</f>
        <v>Pendente</v>
      </c>
      <c r="L709" t="str">
        <f ca="1">IF(
   $O$7="Desbloqueado",
   CHOOSE(RANDBETWEEN(1,3),"Entregue","Em Rota","Aguardando"),
   Tabela_Movimentacao_Geral[[#This Row],[Status Logistico]]
)</f>
        <v>Aguardando</v>
      </c>
      <c r="M70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45997</v>
      </c>
    </row>
    <row r="710" spans="1:13" x14ac:dyDescent="0.3">
      <c r="A710" t="str">
        <f t="shared" si="10"/>
        <v>T0709</v>
      </c>
      <c r="B710" s="1">
        <v>45997</v>
      </c>
      <c r="C710" t="str" cm="1">
        <f t="array" aca="1" ref="C710" ca="1">IF($O$7="Desbloqueado",
  _xlfn.LET(
    _xlpm.saldo_atual, SUM(($C$2:$C709="Entrada")*($F$2:$F709=Tabela_Movimentacao_Geral[[#This Row],[ID Produto]])*($H$2:$H709) - ($C$2:$C709="Saida")*($F$2:$F709=Tabela_Movimentacao_Geral[[#This Row],[ID Produto]])*($H$2:$H709)),
    IF(_xlpm.saldo_atual &gt; 0, IF(RANDBETWEEN(0,10)&gt;3,"Saida","Entrada"), "Entrada")
  ),
  Tabela_Movimentacao_Geral[[#This Row],[Tipo Fluxo]]
)</f>
        <v>Saida</v>
      </c>
      <c r="D7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10" t="str">
        <f ca="1">IF(
  $O$7="Desbloqueado",
  "PROD"&amp;TEXT(RANDBETWEEN(1,200),"000"),
  Tabela_Movimentacao_Geral[[#This Row],[ID Produto]]
)</f>
        <v>PROD168</v>
      </c>
      <c r="G710" t="str">
        <f ca="1">_xlfn.XLOOKUP(Tabela_Movimentacao_Geral[[#This Row],[ID Produto]], Tabela_Produtos[ID_Produto],Tabela_Produtos[Descricao_Produto],"Produto não encontrado")</f>
        <v>Pasta Catalogo 50 Envelopes</v>
      </c>
      <c r="H710" cm="1">
        <f t="array" aca="1" ref="H710" ca="1">IF(
   $O$7="Desbloqueado",
   _xlfn.LET(
     _xlpm.saldo_atual, SUM(($C$2:$C709="Entrada")*($F$2:$F709=Tabela_Movimentacao_Geral[[#This Row],[ID Produto]])*($H$2:$H709) - ($C$2:$C709="Saida")*($F$2:$F709=Tabela_Movimentacao_Geral[[#This Row],[ID Produto]])*($H$2:$H709)),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710" s="5">
        <f ca="1">_xlfn.XLOOKUP(Tabela_Movimentacao_Geral[[#This Row],[ID Produto]], Tabela_Produtos[ID_Produto],Tabela_Produtos[Preco_Unitario_Venda])</f>
        <v>45</v>
      </c>
      <c r="J710" s="6">
        <f ca="1">Tabela_Movimentacao_Geral[[#This Row],[Quantidade]] * Tabela_Movimentacao_Geral[[#This Row],[Valor Unitário]]</f>
        <v>90</v>
      </c>
      <c r="K710" t="str">
        <f ca="1">IF(
   $O$7="Desbloqueado",
   CHOOSE(RANDBETWEEN(1,3),"Pago","Pendente","Atrasado"),
   Tabela_Movimentacao_Geral[[#This Row],[Status Financeiro]]
)</f>
        <v>Pago</v>
      </c>
      <c r="L710" t="str">
        <f ca="1">IF(
   $O$7="Desbloqueado",
   CHOOSE(RANDBETWEEN(1,3),"Entregue","Em Rota","Aguardando"),
   Tabela_Movimentacao_Geral[[#This Row],[Status Logistico]]
)</f>
        <v>Em Rota</v>
      </c>
      <c r="M71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11" spans="1:13" x14ac:dyDescent="0.3">
      <c r="A711" t="str">
        <f t="shared" si="10"/>
        <v>T0710</v>
      </c>
      <c r="B711" s="1">
        <v>45997</v>
      </c>
      <c r="C711" t="str" cm="1">
        <f t="array" aca="1" ref="C711" ca="1">IF($O$7="Desbloqueado",
  _xlfn.LET(
    _xlpm.saldo_atual, SUM(($C$2:$C710="Entrada")*($F$2:$F710=Tabela_Movimentacao_Geral[[#This Row],[ID Produto]])*($H$2:$H710) - ($C$2:$C710="Saida")*($F$2:$F710=Tabela_Movimentacao_Geral[[#This Row],[ID Produto]])*($H$2:$H710)),
    IF(_xlpm.saldo_atual &gt; 0, IF(RANDBETWEEN(0,10)&gt;3,"Saida","Entrada"), "Entrada")
  ),
  Tabela_Movimentacao_Geral[[#This Row],[Tipo Fluxo]]
)</f>
        <v>Saida</v>
      </c>
      <c r="D7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7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711" t="str">
        <f ca="1">IF(
  $O$7="Desbloqueado",
  "PROD"&amp;TEXT(RANDBETWEEN(1,200),"000"),
  Tabela_Movimentacao_Geral[[#This Row],[ID Produto]]
)</f>
        <v>PROD099</v>
      </c>
      <c r="G711" t="str">
        <f ca="1">_xlfn.XLOOKUP(Tabela_Movimentacao_Geral[[#This Row],[ID Produto]], Tabela_Produtos[ID_Produto],Tabela_Produtos[Descricao_Produto],"Produto não encontrado")</f>
        <v>HD SkyHawk 4TB (CFTV)</v>
      </c>
      <c r="H711" cm="1">
        <f t="array" aca="1" ref="H711" ca="1">IF(
   $O$7="Desbloqueado",
   _xlfn.LET(
     _xlpm.saldo_atual, SUM(($C$2:$C710="Entrada")*($F$2:$F710=Tabela_Movimentacao_Geral[[#This Row],[ID Produto]])*($H$2:$H710) - ($C$2:$C710="Saida")*($F$2:$F710=Tabela_Movimentacao_Geral[[#This Row],[ID Produto]])*($H$2:$H710)),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711" s="5">
        <f ca="1">_xlfn.XLOOKUP(Tabela_Movimentacao_Geral[[#This Row],[ID Produto]], Tabela_Produtos[ID_Produto],Tabela_Produtos[Preco_Unitario_Venda])</f>
        <v>750</v>
      </c>
      <c r="J711" s="6">
        <f ca="1">Tabela_Movimentacao_Geral[[#This Row],[Quantidade]] * Tabela_Movimentacao_Geral[[#This Row],[Valor Unitário]]</f>
        <v>750</v>
      </c>
      <c r="K711" t="str">
        <f ca="1">IF(
   $O$7="Desbloqueado",
   CHOOSE(RANDBETWEEN(1,3),"Pago","Pendente","Atrasado"),
   Tabela_Movimentacao_Geral[[#This Row],[Status Financeiro]]
)</f>
        <v>Pendente</v>
      </c>
      <c r="L711" t="str">
        <f ca="1">IF(
   $O$7="Desbloqueado",
   CHOOSE(RANDBETWEEN(1,3),"Entregue","Em Rota","Aguardando"),
   Tabela_Movimentacao_Geral[[#This Row],[Status Logistico]]
)</f>
        <v>Aguardando</v>
      </c>
      <c r="M71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12" spans="1:13" x14ac:dyDescent="0.3">
      <c r="A712" t="str">
        <f t="shared" si="10"/>
        <v>T0711</v>
      </c>
      <c r="B712" s="1">
        <v>45998</v>
      </c>
      <c r="C712" t="str" cm="1">
        <f t="array" aca="1" ref="C712" ca="1">IF($O$7="Desbloqueado",
  _xlfn.LET(
    _xlpm.saldo_atual, SUM(($C$2:$C711="Entrada")*($F$2:$F711=Tabela_Movimentacao_Geral[[#This Row],[ID Produto]])*($H$2:$H711) - ($C$2:$C711="Saida")*($F$2:$F711=Tabela_Movimentacao_Geral[[#This Row],[ID Produto]])*($H$2:$H711)),
    IF(_xlpm.saldo_atual &gt; 0, IF(RANDBETWEEN(0,10)&gt;3,"Saida","Entrada"), "Entrada")
  ),
  Tabela_Movimentacao_Geral[[#This Row],[Tipo Fluxo]]
)</f>
        <v>Saida</v>
      </c>
      <c r="D7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7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712" t="str">
        <f ca="1">IF(
  $O$7="Desbloqueado",
  "PROD"&amp;TEXT(RANDBETWEEN(1,200),"000"),
  Tabela_Movimentacao_Geral[[#This Row],[ID Produto]]
)</f>
        <v>PROD116</v>
      </c>
      <c r="G712" t="str">
        <f ca="1">_xlfn.XLOOKUP(Tabela_Movimentacao_Geral[[#This Row],[ID Produto]], Tabela_Produtos[ID_Produto],Tabela_Produtos[Descricao_Produto],"Produto não encontrado")</f>
        <v>Protetor Eletronico 8 Tom</v>
      </c>
      <c r="H712" cm="1">
        <f t="array" aca="1" ref="H712" ca="1">IF(
   $O$7="Desbloqueado",
   _xlfn.LET(
     _xlpm.saldo_atual, SUM(($C$2:$C711="Entrada")*($F$2:$F711=Tabela_Movimentacao_Geral[[#This Row],[ID Produto]])*($H$2:$H711) - ($C$2:$C711="Saida")*($F$2:$F711=Tabela_Movimentacao_Geral[[#This Row],[ID Produto]])*($H$2:$H711)),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712" s="5">
        <f ca="1">_xlfn.XLOOKUP(Tabela_Movimentacao_Geral[[#This Row],[ID Produto]], Tabela_Produtos[ID_Produto],Tabela_Produtos[Preco_Unitario_Venda])</f>
        <v>85</v>
      </c>
      <c r="J712" s="6">
        <f ca="1">Tabela_Movimentacao_Geral[[#This Row],[Quantidade]] * Tabela_Movimentacao_Geral[[#This Row],[Valor Unitário]]</f>
        <v>7140</v>
      </c>
      <c r="K712" t="str">
        <f ca="1">IF(
   $O$7="Desbloqueado",
   CHOOSE(RANDBETWEEN(1,3),"Pago","Pendente","Atrasado"),
   Tabela_Movimentacao_Geral[[#This Row],[Status Financeiro]]
)</f>
        <v>Pago</v>
      </c>
      <c r="L712" t="str">
        <f ca="1">IF(
   $O$7="Desbloqueado",
   CHOOSE(RANDBETWEEN(1,3),"Entregue","Em Rota","Aguardando"),
   Tabela_Movimentacao_Geral[[#This Row],[Status Logistico]]
)</f>
        <v>Aguardando</v>
      </c>
      <c r="M71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13" spans="1:13" x14ac:dyDescent="0.3">
      <c r="A713" t="str">
        <f t="shared" si="10"/>
        <v>T0712</v>
      </c>
      <c r="B713" s="1">
        <v>45999</v>
      </c>
      <c r="C713" t="str" cm="1">
        <f t="array" aca="1" ref="C713" ca="1">IF($O$7="Desbloqueado",
  _xlfn.LET(
    _xlpm.saldo_atual, SUM(($C$2:$C712="Entrada")*($F$2:$F712=Tabela_Movimentacao_Geral[[#This Row],[ID Produto]])*($H$2:$H712) - ($C$2:$C712="Saida")*($F$2:$F712=Tabela_Movimentacao_Geral[[#This Row],[ID Produto]])*($H$2:$H712)),
    IF(_xlpm.saldo_atual &gt; 0, IF(RANDBETWEEN(0,10)&gt;3,"Saida","Entrada"), "Entrada")
  ),
  Tabela_Movimentacao_Geral[[#This Row],[Tipo Fluxo]]
)</f>
        <v>Entrada</v>
      </c>
      <c r="D7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7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713" t="str">
        <f ca="1">IF(
  $O$7="Desbloqueado",
  "PROD"&amp;TEXT(RANDBETWEEN(1,200),"000"),
  Tabela_Movimentacao_Geral[[#This Row],[ID Produto]]
)</f>
        <v>PROD169</v>
      </c>
      <c r="G713" t="str">
        <f ca="1">_xlfn.XLOOKUP(Tabela_Movimentacao_Geral[[#This Row],[ID Produto]], Tabela_Produtos[ID_Produto],Tabela_Produtos[Descricao_Produto],"Produto não encontrado")</f>
        <v>Arquivo Morto Papelao</v>
      </c>
      <c r="H713" cm="1">
        <f t="array" aca="1" ref="H713" ca="1">IF(
   $O$7="Desbloqueado",
   _xlfn.LET(
     _xlpm.saldo_atual, SUM(($C$2:$C712="Entrada")*($F$2:$F712=Tabela_Movimentacao_Geral[[#This Row],[ID Produto]])*($H$2:$H712) - ($C$2:$C712="Saida")*($F$2:$F712=Tabela_Movimentacao_Geral[[#This Row],[ID Produto]])*($H$2:$H712)),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181</v>
      </c>
      <c r="I713" s="5">
        <f ca="1">_xlfn.XLOOKUP(Tabela_Movimentacao_Geral[[#This Row],[ID Produto]], Tabela_Produtos[ID_Produto],Tabela_Produtos[Preco_Unitario_Venda])</f>
        <v>12</v>
      </c>
      <c r="J713" s="6">
        <f ca="1">Tabela_Movimentacao_Geral[[#This Row],[Quantidade]] * Tabela_Movimentacao_Geral[[#This Row],[Valor Unitário]]</f>
        <v>2172</v>
      </c>
      <c r="K713" t="str">
        <f ca="1">IF(
   $O$7="Desbloqueado",
   CHOOSE(RANDBETWEEN(1,3),"Pago","Pendente","Atrasado"),
   Tabela_Movimentacao_Geral[[#This Row],[Status Financeiro]]
)</f>
        <v>Pago</v>
      </c>
      <c r="L713" t="str">
        <f ca="1">IF(
   $O$7="Desbloqueado",
   CHOOSE(RANDBETWEEN(1,3),"Entregue","Em Rota","Aguardando"),
   Tabela_Movimentacao_Geral[[#This Row],[Status Logistico]]
)</f>
        <v>Entregue</v>
      </c>
      <c r="M71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46001</v>
      </c>
    </row>
    <row r="714" spans="1:13" x14ac:dyDescent="0.3">
      <c r="A714" t="str">
        <f t="shared" si="10"/>
        <v>T0713</v>
      </c>
      <c r="B714" s="1">
        <v>46001</v>
      </c>
      <c r="C714" t="str" cm="1">
        <f t="array" aca="1" ref="C714" ca="1">IF($O$7="Desbloqueado",
  _xlfn.LET(
    _xlpm.saldo_atual, SUM(($C$2:$C713="Entrada")*($F$2:$F713=Tabela_Movimentacao_Geral[[#This Row],[ID Produto]])*($H$2:$H713) - ($C$2:$C713="Saida")*($F$2:$F713=Tabela_Movimentacao_Geral[[#This Row],[ID Produto]])*($H$2:$H713)),
    IF(_xlpm.saldo_atual &gt; 0, IF(RANDBETWEEN(0,10)&gt;3,"Saida","Entrada"), "Entrada")
  ),
  Tabela_Movimentacao_Geral[[#This Row],[Tipo Fluxo]]
)</f>
        <v>Entrada</v>
      </c>
      <c r="D7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7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714" t="str">
        <f ca="1">IF(
  $O$7="Desbloqueado",
  "PROD"&amp;TEXT(RANDBETWEEN(1,200),"000"),
  Tabela_Movimentacao_Geral[[#This Row],[ID Produto]]
)</f>
        <v>PROD080</v>
      </c>
      <c r="G714" t="str">
        <f ca="1">_xlfn.XLOOKUP(Tabela_Movimentacao_Geral[[#This Row],[ID Produto]], Tabela_Produtos[ID_Produto],Tabela_Produtos[Descricao_Produto],"Produto não encontrado")</f>
        <v>Quadro de Avisos Cortica</v>
      </c>
      <c r="H714" cm="1">
        <f t="array" aca="1" ref="H714" ca="1">IF(
   $O$7="Desbloqueado",
   _xlfn.LET(
     _xlpm.saldo_atual, SUM(($C$2:$C713="Entrada")*($F$2:$F713=Tabela_Movimentacao_Geral[[#This Row],[ID Produto]])*($H$2:$H713) - ($C$2:$C713="Saida")*($F$2:$F713=Tabela_Movimentacao_Geral[[#This Row],[ID Produto]])*($H$2:$H713)),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80</v>
      </c>
      <c r="I714" s="5">
        <f ca="1">_xlfn.XLOOKUP(Tabela_Movimentacao_Geral[[#This Row],[ID Produto]], Tabela_Produtos[ID_Produto],Tabela_Produtos[Preco_Unitario_Venda])</f>
        <v>110</v>
      </c>
      <c r="J714" s="6">
        <f ca="1">Tabela_Movimentacao_Geral[[#This Row],[Quantidade]] * Tabela_Movimentacao_Geral[[#This Row],[Valor Unitário]]</f>
        <v>8800</v>
      </c>
      <c r="K714" t="str">
        <f ca="1">IF(
   $O$7="Desbloqueado",
   CHOOSE(RANDBETWEEN(1,3),"Pago","Pendente","Atrasado"),
   Tabela_Movimentacao_Geral[[#This Row],[Status Financeiro]]
)</f>
        <v>Atrasado</v>
      </c>
      <c r="L714" t="str">
        <f ca="1">IF(
   $O$7="Desbloqueado",
   CHOOSE(RANDBETWEEN(1,3),"Entregue","Em Rota","Aguardando"),
   Tabela_Movimentacao_Geral[[#This Row],[Status Logistico]]
)</f>
        <v>Entregue</v>
      </c>
      <c r="M71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46004</v>
      </c>
    </row>
    <row r="715" spans="1:13" x14ac:dyDescent="0.3">
      <c r="A715" t="str">
        <f t="shared" si="10"/>
        <v>T0714</v>
      </c>
      <c r="B715" s="1">
        <v>46002</v>
      </c>
      <c r="C715" t="str" cm="1">
        <f t="array" aca="1" ref="C715" ca="1">IF($O$7="Desbloqueado",
  _xlfn.LET(
    _xlpm.saldo_atual, SUM(($C$2:$C714="Entrada")*($F$2:$F714=Tabela_Movimentacao_Geral[[#This Row],[ID Produto]])*($H$2:$H714) - ($C$2:$C714="Saida")*($F$2:$F714=Tabela_Movimentacao_Geral[[#This Row],[ID Produto]])*($H$2:$H714)),
    IF(_xlpm.saldo_atual &gt; 0, IF(RANDBETWEEN(0,10)&gt;3,"Saida","Entrada"), "Entrada")
  ),
  Tabela_Movimentacao_Geral[[#This Row],[Tipo Fluxo]]
)</f>
        <v>Entrada</v>
      </c>
      <c r="D7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7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715" t="str">
        <f ca="1">IF(
  $O$7="Desbloqueado",
  "PROD"&amp;TEXT(RANDBETWEEN(1,200),"000"),
  Tabela_Movimentacao_Geral[[#This Row],[ID Produto]]
)</f>
        <v>PROD139</v>
      </c>
      <c r="G715" t="str">
        <f ca="1">_xlfn.XLOOKUP(Tabela_Movimentacao_Geral[[#This Row],[ID Produto]], Tabela_Produtos[ID_Produto],Tabela_Produtos[Descricao_Produto],"Produto não encontrado")</f>
        <v>SSD Externo Portatil 500GB</v>
      </c>
      <c r="H715" cm="1">
        <f t="array" aca="1" ref="H715" ca="1">IF(
   $O$7="Desbloqueado",
   _xlfn.LET(
     _xlpm.saldo_atual, SUM(($C$2:$C714="Entrada")*($F$2:$F714=Tabela_Movimentacao_Geral[[#This Row],[ID Produto]])*($H$2:$H714) - ($C$2:$C714="Saida")*($F$2:$F714=Tabela_Movimentacao_Geral[[#This Row],[ID Produto]])*($H$2:$H714)),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715" s="5">
        <f ca="1">_xlfn.XLOOKUP(Tabela_Movimentacao_Geral[[#This Row],[ID Produto]], Tabela_Produtos[ID_Produto],Tabela_Produtos[Preco_Unitario_Venda])</f>
        <v>480</v>
      </c>
      <c r="J715" s="6">
        <f ca="1">Tabela_Movimentacao_Geral[[#This Row],[Quantidade]] * Tabela_Movimentacao_Geral[[#This Row],[Valor Unitário]]</f>
        <v>29280</v>
      </c>
      <c r="K715" t="str">
        <f ca="1">IF(
   $O$7="Desbloqueado",
   CHOOSE(RANDBETWEEN(1,3),"Pago","Pendente","Atrasado"),
   Tabela_Movimentacao_Geral[[#This Row],[Status Financeiro]]
)</f>
        <v>Atrasado</v>
      </c>
      <c r="L715" t="str">
        <f ca="1">IF(
   $O$7="Desbloqueado",
   CHOOSE(RANDBETWEEN(1,3),"Entregue","Em Rota","Aguardando"),
   Tabela_Movimentacao_Geral[[#This Row],[Status Logistico]]
)</f>
        <v>Entregue</v>
      </c>
      <c r="M71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46005</v>
      </c>
    </row>
    <row r="716" spans="1:13" x14ac:dyDescent="0.3">
      <c r="A716" t="str">
        <f t="shared" si="10"/>
        <v>T0715</v>
      </c>
      <c r="B716" s="1">
        <v>46002</v>
      </c>
      <c r="C716" t="str" cm="1">
        <f t="array" aca="1" ref="C716" ca="1">IF($O$7="Desbloqueado",
  _xlfn.LET(
    _xlpm.saldo_atual, SUM(($C$2:$C715="Entrada")*($F$2:$F715=Tabela_Movimentacao_Geral[[#This Row],[ID Produto]])*($H$2:$H715) - ($C$2:$C715="Saida")*($F$2:$F715=Tabela_Movimentacao_Geral[[#This Row],[ID Produto]])*($H$2:$H715)),
    IF(_xlpm.saldo_atual &gt; 0, IF(RANDBETWEEN(0,10)&gt;3,"Saida","Entrada"), "Entrada")
  ),
  Tabela_Movimentacao_Geral[[#This Row],[Tipo Fluxo]]
)</f>
        <v>Saida</v>
      </c>
      <c r="D7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7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716" t="str">
        <f ca="1">IF(
  $O$7="Desbloqueado",
  "PROD"&amp;TEXT(RANDBETWEEN(1,200),"000"),
  Tabela_Movimentacao_Geral[[#This Row],[ID Produto]]
)</f>
        <v>PROD147</v>
      </c>
      <c r="G716" t="str">
        <f ca="1">_xlfn.XLOOKUP(Tabela_Movimentacao_Geral[[#This Row],[ID Produto]], Tabela_Produtos[ID_Produto],Tabela_Produtos[Descricao_Produto],"Produto não encontrado")</f>
        <v>Testador de Cabo de Rede</v>
      </c>
      <c r="H716" cm="1">
        <f t="array" aca="1" ref="H716" ca="1">IF(
   $O$7="Desbloqueado",
   _xlfn.LET(
     _xlpm.saldo_atual, SUM(($C$2:$C715="Entrada")*($F$2:$F715=Tabela_Movimentacao_Geral[[#This Row],[ID Produto]])*($H$2:$H715) - ($C$2:$C715="Saida")*($F$2:$F715=Tabela_Movimentacao_Geral[[#This Row],[ID Produto]])*($H$2:$H715)),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716" s="5">
        <f ca="1">_xlfn.XLOOKUP(Tabela_Movimentacao_Geral[[#This Row],[ID Produto]], Tabela_Produtos[ID_Produto],Tabela_Produtos[Preco_Unitario_Venda])</f>
        <v>65</v>
      </c>
      <c r="J716" s="6">
        <f ca="1">Tabela_Movimentacao_Geral[[#This Row],[Quantidade]] * Tabela_Movimentacao_Geral[[#This Row],[Valor Unitário]]</f>
        <v>1365</v>
      </c>
      <c r="K716" t="str">
        <f ca="1">IF(
   $O$7="Desbloqueado",
   CHOOSE(RANDBETWEEN(1,3),"Pago","Pendente","Atrasado"),
   Tabela_Movimentacao_Geral[[#This Row],[Status Financeiro]]
)</f>
        <v>Pago</v>
      </c>
      <c r="L716" t="str">
        <f ca="1">IF(
   $O$7="Desbloqueado",
   CHOOSE(RANDBETWEEN(1,3),"Entregue","Em Rota","Aguardando"),
   Tabela_Movimentacao_Geral[[#This Row],[Status Logistico]]
)</f>
        <v>Aguardando</v>
      </c>
      <c r="M71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17" spans="1:13" x14ac:dyDescent="0.3">
      <c r="A717" t="str">
        <f t="shared" si="10"/>
        <v>T0716</v>
      </c>
      <c r="B717" s="1">
        <v>46002</v>
      </c>
      <c r="C717" t="str" cm="1">
        <f t="array" aca="1" ref="C717" ca="1">IF($O$7="Desbloqueado",
  _xlfn.LET(
    _xlpm.saldo_atual, SUM(($C$2:$C716="Entrada")*($F$2:$F716=Tabela_Movimentacao_Geral[[#This Row],[ID Produto]])*($H$2:$H716) - ($C$2:$C716="Saida")*($F$2:$F716=Tabela_Movimentacao_Geral[[#This Row],[ID Produto]])*($H$2:$H716)),
    IF(_xlpm.saldo_atual &gt; 0, IF(RANDBETWEEN(0,10)&gt;3,"Saida","Entrada"), "Entrada")
  ),
  Tabela_Movimentacao_Geral[[#This Row],[Tipo Fluxo]]
)</f>
        <v>Saida</v>
      </c>
      <c r="D7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7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717" t="str">
        <f ca="1">IF(
  $O$7="Desbloqueado",
  "PROD"&amp;TEXT(RANDBETWEEN(1,200),"000"),
  Tabela_Movimentacao_Geral[[#This Row],[ID Produto]]
)</f>
        <v>PROD043</v>
      </c>
      <c r="G717" t="str">
        <f ca="1">_xlfn.XLOOKUP(Tabela_Movimentacao_Geral[[#This Row],[ID Produto]], Tabela_Produtos[ID_Produto],Tabela_Produtos[Descricao_Produto],"Produto não encontrado")</f>
        <v>Kit Limpeza Telas</v>
      </c>
      <c r="H717" cm="1">
        <f t="array" aca="1" ref="H717" ca="1">IF(
   $O$7="Desbloqueado",
   _xlfn.LET(
     _xlpm.saldo_atual, SUM(($C$2:$C716="Entrada")*($F$2:$F716=Tabela_Movimentacao_Geral[[#This Row],[ID Produto]])*($H$2:$H716) - ($C$2:$C716="Saida")*($F$2:$F716=Tabela_Movimentacao_Geral[[#This Row],[ID Produto]])*($H$2:$H716)),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109</v>
      </c>
      <c r="I717" s="5">
        <f ca="1">_xlfn.XLOOKUP(Tabela_Movimentacao_Geral[[#This Row],[ID Produto]], Tabela_Produtos[ID_Produto],Tabela_Produtos[Preco_Unitario_Venda])</f>
        <v>22</v>
      </c>
      <c r="J717" s="6">
        <f ca="1">Tabela_Movimentacao_Geral[[#This Row],[Quantidade]] * Tabela_Movimentacao_Geral[[#This Row],[Valor Unitário]]</f>
        <v>2398</v>
      </c>
      <c r="K717" t="str">
        <f ca="1">IF(
   $O$7="Desbloqueado",
   CHOOSE(RANDBETWEEN(1,3),"Pago","Pendente","Atrasado"),
   Tabela_Movimentacao_Geral[[#This Row],[Status Financeiro]]
)</f>
        <v>Pago</v>
      </c>
      <c r="L717" t="str">
        <f ca="1">IF(
   $O$7="Desbloqueado",
   CHOOSE(RANDBETWEEN(1,3),"Entregue","Em Rota","Aguardando"),
   Tabela_Movimentacao_Geral[[#This Row],[Status Logistico]]
)</f>
        <v>Aguardando</v>
      </c>
      <c r="M71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18" spans="1:13" x14ac:dyDescent="0.3">
      <c r="A718" t="str">
        <f t="shared" si="10"/>
        <v>T0717</v>
      </c>
      <c r="B718" s="1">
        <v>46002</v>
      </c>
      <c r="C718" t="str" cm="1">
        <f t="array" aca="1" ref="C718" ca="1">IF($O$7="Desbloqueado",
  _xlfn.LET(
    _xlpm.saldo_atual, SUM(($C$2:$C717="Entrada")*($F$2:$F717=Tabela_Movimentacao_Geral[[#This Row],[ID Produto]])*($H$2:$H717) - ($C$2:$C717="Saida")*($F$2:$F717=Tabela_Movimentacao_Geral[[#This Row],[ID Produto]])*($H$2:$H717)),
    IF(_xlpm.saldo_atual &gt; 0, IF(RANDBETWEEN(0,10)&gt;3,"Saida","Entrada"), "Entrada")
  ),
  Tabela_Movimentacao_Geral[[#This Row],[Tipo Fluxo]]
)</f>
        <v>Saida</v>
      </c>
      <c r="D7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18" t="str">
        <f ca="1">IF(
  $O$7="Desbloqueado",
  "PROD"&amp;TEXT(RANDBETWEEN(1,200),"000"),
  Tabela_Movimentacao_Geral[[#This Row],[ID Produto]]
)</f>
        <v>PROD019</v>
      </c>
      <c r="G718" t="str">
        <f ca="1">_xlfn.XLOOKUP(Tabela_Movimentacao_Geral[[#This Row],[ID Produto]], Tabela_Produtos[ID_Produto],Tabela_Produtos[Descricao_Produto],"Produto não encontrado")</f>
        <v>Suporte para Monitor Articulado</v>
      </c>
      <c r="H718" cm="1">
        <f t="array" aca="1" ref="H718" ca="1">IF(
   $O$7="Desbloqueado",
   _xlfn.LET(
     _xlpm.saldo_atual, SUM(($C$2:$C717="Entrada")*($F$2:$F717=Tabela_Movimentacao_Geral[[#This Row],[ID Produto]])*($H$2:$H717) - ($C$2:$C717="Saida")*($F$2:$F717=Tabela_Movimentacao_Geral[[#This Row],[ID Produto]])*($H$2:$H717)),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</v>
      </c>
      <c r="I718" s="5">
        <f ca="1">_xlfn.XLOOKUP(Tabela_Movimentacao_Geral[[#This Row],[ID Produto]], Tabela_Produtos[ID_Produto],Tabela_Produtos[Preco_Unitario_Venda])</f>
        <v>220</v>
      </c>
      <c r="J718" s="6">
        <f ca="1">Tabela_Movimentacao_Geral[[#This Row],[Quantidade]] * Tabela_Movimentacao_Geral[[#This Row],[Valor Unitário]]</f>
        <v>11000</v>
      </c>
      <c r="K718" t="str">
        <f ca="1">IF(
   $O$7="Desbloqueado",
   CHOOSE(RANDBETWEEN(1,3),"Pago","Pendente","Atrasado"),
   Tabela_Movimentacao_Geral[[#This Row],[Status Financeiro]]
)</f>
        <v>Atrasado</v>
      </c>
      <c r="L718" t="str">
        <f ca="1">IF(
   $O$7="Desbloqueado",
   CHOOSE(RANDBETWEEN(1,3),"Entregue","Em Rota","Aguardando"),
   Tabela_Movimentacao_Geral[[#This Row],[Status Logistico]]
)</f>
        <v>Aguardando</v>
      </c>
      <c r="M71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19" spans="1:13" x14ac:dyDescent="0.3">
      <c r="A719" t="str">
        <f t="shared" si="10"/>
        <v>T0718</v>
      </c>
      <c r="B719" s="1">
        <v>46002</v>
      </c>
      <c r="C719" t="str" cm="1">
        <f t="array" aca="1" ref="C719" ca="1">IF($O$7="Desbloqueado",
  _xlfn.LET(
    _xlpm.saldo_atual, SUM(($C$2:$C718="Entrada")*($F$2:$F718=Tabela_Movimentacao_Geral[[#This Row],[ID Produto]])*($H$2:$H718) - ($C$2:$C718="Saida")*($F$2:$F718=Tabela_Movimentacao_Geral[[#This Row],[ID Produto]])*($H$2:$H718)),
    IF(_xlpm.saldo_atual &gt; 0, IF(RANDBETWEEN(0,10)&gt;3,"Saida","Entrada"), "Entrada")
  ),
  Tabela_Movimentacao_Geral[[#This Row],[Tipo Fluxo]]
)</f>
        <v>Entrada</v>
      </c>
      <c r="D7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7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719" t="str">
        <f ca="1">IF(
  $O$7="Desbloqueado",
  "PROD"&amp;TEXT(RANDBETWEEN(1,200),"000"),
  Tabela_Movimentacao_Geral[[#This Row],[ID Produto]]
)</f>
        <v>PROD162</v>
      </c>
      <c r="G719" t="str">
        <f ca="1">_xlfn.XLOOKUP(Tabela_Movimentacao_Geral[[#This Row],[ID Produto]], Tabela_Produtos[ID_Produto],Tabela_Produtos[Descricao_Produto],"Produto não encontrado")</f>
        <v>Organizador de Mesa Acril</v>
      </c>
      <c r="H719" cm="1">
        <f t="array" aca="1" ref="H719" ca="1">IF(
   $O$7="Desbloqueado",
   _xlfn.LET(
     _xlpm.saldo_atual, SUM(($C$2:$C718="Entrada")*($F$2:$F718=Tabela_Movimentacao_Geral[[#This Row],[ID Produto]])*($H$2:$H718) - ($C$2:$C718="Saida")*($F$2:$F718=Tabela_Movimentacao_Geral[[#This Row],[ID Produto]])*($H$2:$H718)),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719" s="5">
        <f ca="1">_xlfn.XLOOKUP(Tabela_Movimentacao_Geral[[#This Row],[ID Produto]], Tabela_Produtos[ID_Produto],Tabela_Produtos[Preco_Unitario_Venda])</f>
        <v>55</v>
      </c>
      <c r="J719" s="6">
        <f ca="1">Tabela_Movimentacao_Geral[[#This Row],[Quantidade]] * Tabela_Movimentacao_Geral[[#This Row],[Valor Unitário]]</f>
        <v>4345</v>
      </c>
      <c r="K719" t="str">
        <f ca="1">IF(
   $O$7="Desbloqueado",
   CHOOSE(RANDBETWEEN(1,3),"Pago","Pendente","Atrasado"),
   Tabela_Movimentacao_Geral[[#This Row],[Status Financeiro]]
)</f>
        <v>Atrasado</v>
      </c>
      <c r="L719" t="str">
        <f ca="1">IF(
   $O$7="Desbloqueado",
   CHOOSE(RANDBETWEEN(1,3),"Entregue","Em Rota","Aguardando"),
   Tabela_Movimentacao_Geral[[#This Row],[Status Logistico]]
)</f>
        <v>Entregue</v>
      </c>
      <c r="M71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46014</v>
      </c>
    </row>
    <row r="720" spans="1:13" x14ac:dyDescent="0.3">
      <c r="A720" t="str">
        <f t="shared" si="10"/>
        <v>T0719</v>
      </c>
      <c r="B720" s="1">
        <v>46003</v>
      </c>
      <c r="C720" t="str" cm="1">
        <f t="array" aca="1" ref="C720" ca="1">IF($O$7="Desbloqueado",
  _xlfn.LET(
    _xlpm.saldo_atual, SUM(($C$2:$C719="Entrada")*($F$2:$F719=Tabela_Movimentacao_Geral[[#This Row],[ID Produto]])*($H$2:$H719) - ($C$2:$C719="Saida")*($F$2:$F719=Tabela_Movimentacao_Geral[[#This Row],[ID Produto]])*($H$2:$H719)),
    IF(_xlpm.saldo_atual &gt; 0, IF(RANDBETWEEN(0,10)&gt;3,"Saida","Entrada"), "Entrada")
  ),
  Tabela_Movimentacao_Geral[[#This Row],[Tipo Fluxo]]
)</f>
        <v>Entrada</v>
      </c>
      <c r="D7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7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720" t="str">
        <f ca="1">IF(
  $O$7="Desbloqueado",
  "PROD"&amp;TEXT(RANDBETWEEN(1,200),"000"),
  Tabela_Movimentacao_Geral[[#This Row],[ID Produto]]
)</f>
        <v>PROD107</v>
      </c>
      <c r="G720" t="str">
        <f ca="1">_xlfn.XLOOKUP(Tabela_Movimentacao_Geral[[#This Row],[ID Produto]], Tabela_Produtos[ID_Produto],Tabela_Produtos[Descricao_Produto],"Produto não encontrado")</f>
        <v>Impressora Termica Cupom</v>
      </c>
      <c r="H720" cm="1">
        <f t="array" aca="1" ref="H720" ca="1">IF(
   $O$7="Desbloqueado",
   _xlfn.LET(
     _xlpm.saldo_atual, SUM(($C$2:$C719="Entrada")*($F$2:$F719=Tabela_Movimentacao_Geral[[#This Row],[ID Produto]])*($H$2:$H719) - ($C$2:$C719="Saida")*($F$2:$F719=Tabela_Movimentacao_Geral[[#This Row],[ID Produto]])*($H$2:$H719)),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39</v>
      </c>
      <c r="I720" s="5">
        <f ca="1">_xlfn.XLOOKUP(Tabela_Movimentacao_Geral[[#This Row],[ID Produto]], Tabela_Produtos[ID_Produto],Tabela_Produtos[Preco_Unitario_Venda])</f>
        <v>680</v>
      </c>
      <c r="J720" s="6">
        <f ca="1">Tabela_Movimentacao_Geral[[#This Row],[Quantidade]] * Tabela_Movimentacao_Geral[[#This Row],[Valor Unitário]]</f>
        <v>26520</v>
      </c>
      <c r="K720" t="str">
        <f ca="1">IF(
   $O$7="Desbloqueado",
   CHOOSE(RANDBETWEEN(1,3),"Pago","Pendente","Atrasado"),
   Tabela_Movimentacao_Geral[[#This Row],[Status Financeiro]]
)</f>
        <v>Pendente</v>
      </c>
      <c r="L720" t="str">
        <f ca="1">IF(
   $O$7="Desbloqueado",
   CHOOSE(RANDBETWEEN(1,3),"Entregue","Em Rota","Aguardando"),
   Tabela_Movimentacao_Geral[[#This Row],[Status Logistico]]
)</f>
        <v>Entregue</v>
      </c>
      <c r="M72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46005</v>
      </c>
    </row>
    <row r="721" spans="1:13" x14ac:dyDescent="0.3">
      <c r="A721" t="str">
        <f t="shared" si="10"/>
        <v>T0720</v>
      </c>
      <c r="B721" s="1">
        <v>46003</v>
      </c>
      <c r="C721" t="str" cm="1">
        <f t="array" aca="1" ref="C721" ca="1">IF($O$7="Desbloqueado",
  _xlfn.LET(
    _xlpm.saldo_atual, SUM(($C$2:$C720="Entrada")*($F$2:$F720=Tabela_Movimentacao_Geral[[#This Row],[ID Produto]])*($H$2:$H720) - ($C$2:$C720="Saida")*($F$2:$F720=Tabela_Movimentacao_Geral[[#This Row],[ID Produto]])*($H$2:$H720)),
    IF(_xlpm.saldo_atual &gt; 0, IF(RANDBETWEEN(0,10)&gt;3,"Saida","Entrada"), "Entrada")
  ),
  Tabela_Movimentacao_Geral[[#This Row],[Tipo Fluxo]]
)</f>
        <v>Saida</v>
      </c>
      <c r="D7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7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721" t="str">
        <f ca="1">IF(
  $O$7="Desbloqueado",
  "PROD"&amp;TEXT(RANDBETWEEN(1,200),"000"),
  Tabela_Movimentacao_Geral[[#This Row],[ID Produto]]
)</f>
        <v>PROD191</v>
      </c>
      <c r="G721" t="str">
        <f ca="1">_xlfn.XLOOKUP(Tabela_Movimentacao_Geral[[#This Row],[ID Produto]], Tabela_Produtos[ID_Produto],Tabela_Produtos[Descricao_Produto],"Produto não encontrado")</f>
        <v>Antena Wi-Fi High Gain</v>
      </c>
      <c r="H721" cm="1">
        <f t="array" aca="1" ref="H721" ca="1">IF(
   $O$7="Desbloqueado",
   _xlfn.LET(
     _xlpm.saldo_atual, SUM(($C$2:$C720="Entrada")*($F$2:$F720=Tabela_Movimentacao_Geral[[#This Row],[ID Produto]])*($H$2:$H720) - ($C$2:$C720="Saida")*($F$2:$F720=Tabela_Movimentacao_Geral[[#This Row],[ID Produto]])*($H$2:$H720)),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721" s="5">
        <f ca="1">_xlfn.XLOOKUP(Tabela_Movimentacao_Geral[[#This Row],[ID Produto]], Tabela_Produtos[ID_Produto],Tabela_Produtos[Preco_Unitario_Venda])</f>
        <v>145</v>
      </c>
      <c r="J721" s="6">
        <f ca="1">Tabela_Movimentacao_Geral[[#This Row],[Quantidade]] * Tabela_Movimentacao_Geral[[#This Row],[Valor Unitário]]</f>
        <v>1015</v>
      </c>
      <c r="K721" t="str">
        <f ca="1">IF(
   $O$7="Desbloqueado",
   CHOOSE(RANDBETWEEN(1,3),"Pago","Pendente","Atrasado"),
   Tabela_Movimentacao_Geral[[#This Row],[Status Financeiro]]
)</f>
        <v>Atrasado</v>
      </c>
      <c r="L721" t="str">
        <f ca="1">IF(
   $O$7="Desbloqueado",
   CHOOSE(RANDBETWEEN(1,3),"Entregue","Em Rota","Aguardando"),
   Tabela_Movimentacao_Geral[[#This Row],[Status Logistico]]
)</f>
        <v>Em Rota</v>
      </c>
      <c r="M72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22" spans="1:13" x14ac:dyDescent="0.3">
      <c r="A722" t="str">
        <f t="shared" si="10"/>
        <v>T0721</v>
      </c>
      <c r="B722" s="1">
        <v>46004</v>
      </c>
      <c r="C722" t="str" cm="1">
        <f t="array" aca="1" ref="C722" ca="1">IF($O$7="Desbloqueado",
  _xlfn.LET(
    _xlpm.saldo_atual, SUM(($C$2:$C721="Entrada")*($F$2:$F721=Tabela_Movimentacao_Geral[[#This Row],[ID Produto]])*($H$2:$H721) - ($C$2:$C721="Saida")*($F$2:$F721=Tabela_Movimentacao_Geral[[#This Row],[ID Produto]])*($H$2:$H721)),
    IF(_xlpm.saldo_atual &gt; 0, IF(RANDBETWEEN(0,10)&gt;3,"Saida","Entrada"), "Entrada")
  ),
  Tabela_Movimentacao_Geral[[#This Row],[Tipo Fluxo]]
)</f>
        <v>Saida</v>
      </c>
      <c r="D7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7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722" t="str">
        <f ca="1">IF(
  $O$7="Desbloqueado",
  "PROD"&amp;TEXT(RANDBETWEEN(1,200),"000"),
  Tabela_Movimentacao_Geral[[#This Row],[ID Produto]]
)</f>
        <v>PROD015</v>
      </c>
      <c r="G722" t="str">
        <f ca="1">_xlfn.XLOOKUP(Tabela_Movimentacao_Geral[[#This Row],[ID Produto]], Tabela_Produtos[ID_Produto],Tabela_Produtos[Descricao_Produto],"Produto não encontrado")</f>
        <v>Switch 24 Portas Giga</v>
      </c>
      <c r="H722" cm="1">
        <f t="array" aca="1" ref="H722" ca="1">IF(
   $O$7="Desbloqueado",
   _xlfn.LET(
     _xlpm.saldo_atual, SUM(($C$2:$C721="Entrada")*($F$2:$F721=Tabela_Movimentacao_Geral[[#This Row],[ID Produto]])*($H$2:$H721) - ($C$2:$C721="Saida")*($F$2:$F721=Tabela_Movimentacao_Geral[[#This Row],[ID Produto]])*($H$2:$H721)),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722" s="5">
        <f ca="1">_xlfn.XLOOKUP(Tabela_Movimentacao_Geral[[#This Row],[ID Produto]], Tabela_Produtos[ID_Produto],Tabela_Produtos[Preco_Unitario_Venda])</f>
        <v>1200</v>
      </c>
      <c r="J722" s="6">
        <f ca="1">Tabela_Movimentacao_Geral[[#This Row],[Quantidade]] * Tabela_Movimentacao_Geral[[#This Row],[Valor Unitário]]</f>
        <v>32400</v>
      </c>
      <c r="K722" t="str">
        <f ca="1">IF(
   $O$7="Desbloqueado",
   CHOOSE(RANDBETWEEN(1,3),"Pago","Pendente","Atrasado"),
   Tabela_Movimentacao_Geral[[#This Row],[Status Financeiro]]
)</f>
        <v>Pendente</v>
      </c>
      <c r="L722" t="str">
        <f ca="1">IF(
   $O$7="Desbloqueado",
   CHOOSE(RANDBETWEEN(1,3),"Entregue","Em Rota","Aguardando"),
   Tabela_Movimentacao_Geral[[#This Row],[Status Logistico]]
)</f>
        <v>Aguardando</v>
      </c>
      <c r="M72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23" spans="1:13" x14ac:dyDescent="0.3">
      <c r="A723" t="str">
        <f t="shared" si="10"/>
        <v>T0722</v>
      </c>
      <c r="B723" s="1">
        <v>46004</v>
      </c>
      <c r="C723" t="str" cm="1">
        <f t="array" aca="1" ref="C723" ca="1">IF($O$7="Desbloqueado",
  _xlfn.LET(
    _xlpm.saldo_atual, SUM(($C$2:$C722="Entrada")*($F$2:$F722=Tabela_Movimentacao_Geral[[#This Row],[ID Produto]])*($H$2:$H722) - ($C$2:$C722="Saida")*($F$2:$F722=Tabela_Movimentacao_Geral[[#This Row],[ID Produto]])*($H$2:$H722)),
    IF(_xlpm.saldo_atual &gt; 0, IF(RANDBETWEEN(0,10)&gt;3,"Saida","Entrada"), "Entrada")
  ),
  Tabela_Movimentacao_Geral[[#This Row],[Tipo Fluxo]]
)</f>
        <v>Entrada</v>
      </c>
      <c r="D7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7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723" t="str">
        <f ca="1">IF(
  $O$7="Desbloqueado",
  "PROD"&amp;TEXT(RANDBETWEEN(1,200),"000"),
  Tabela_Movimentacao_Geral[[#This Row],[ID Produto]]
)</f>
        <v>PROD101</v>
      </c>
      <c r="G723" t="str">
        <f ca="1">_xlfn.XLOOKUP(Tabela_Movimentacao_Geral[[#This Row],[ID Produto]], Tabela_Produtos[ID_Produto],Tabela_Produtos[Descricao_Produto],"Produto não encontrado")</f>
        <v>Monitor 27 pol 4K</v>
      </c>
      <c r="H723" cm="1">
        <f t="array" aca="1" ref="H723" ca="1">IF(
   $O$7="Desbloqueado",
   _xlfn.LET(
     _xlpm.saldo_atual, SUM(($C$2:$C722="Entrada")*($F$2:$F722=Tabela_Movimentacao_Geral[[#This Row],[ID Produto]])*($H$2:$H722) - ($C$2:$C722="Saida")*($F$2:$F722=Tabela_Movimentacao_Geral[[#This Row],[ID Produto]])*($H$2:$H722)),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723" s="5">
        <f ca="1">_xlfn.XLOOKUP(Tabela_Movimentacao_Geral[[#This Row],[ID Produto]], Tabela_Produtos[ID_Produto],Tabela_Produtos[Preco_Unitario_Venda])</f>
        <v>2200</v>
      </c>
      <c r="J723" s="6">
        <f ca="1">Tabela_Movimentacao_Geral[[#This Row],[Quantidade]] * Tabela_Movimentacao_Geral[[#This Row],[Valor Unitário]]</f>
        <v>68200</v>
      </c>
      <c r="K723" t="str">
        <f ca="1">IF(
   $O$7="Desbloqueado",
   CHOOSE(RANDBETWEEN(1,3),"Pago","Pendente","Atrasado"),
   Tabela_Movimentacao_Geral[[#This Row],[Status Financeiro]]
)</f>
        <v>Pago</v>
      </c>
      <c r="L723" t="str">
        <f ca="1">IF(
   $O$7="Desbloqueado",
   CHOOSE(RANDBETWEEN(1,3),"Entregue","Em Rota","Aguardando"),
   Tabela_Movimentacao_Geral[[#This Row],[Status Logistico]]
)</f>
        <v>Entregue</v>
      </c>
      <c r="M72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46010</v>
      </c>
    </row>
    <row r="724" spans="1:13" x14ac:dyDescent="0.3">
      <c r="A724" t="str">
        <f t="shared" si="10"/>
        <v>T0723</v>
      </c>
      <c r="B724" s="1">
        <v>46005</v>
      </c>
      <c r="C724" t="str" cm="1">
        <f t="array" aca="1" ref="C724" ca="1">IF($O$7="Desbloqueado",
  _xlfn.LET(
    _xlpm.saldo_atual, SUM(($C$2:$C723="Entrada")*($F$2:$F723=Tabela_Movimentacao_Geral[[#This Row],[ID Produto]])*($H$2:$H723) - ($C$2:$C723="Saida")*($F$2:$F723=Tabela_Movimentacao_Geral[[#This Row],[ID Produto]])*($H$2:$H723)),
    IF(_xlpm.saldo_atual &gt; 0, IF(RANDBETWEEN(0,10)&gt;3,"Saida","Entrada"), "Entrada")
  ),
  Tabela_Movimentacao_Geral[[#This Row],[Tipo Fluxo]]
)</f>
        <v>Saida</v>
      </c>
      <c r="D7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7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724" t="str">
        <f ca="1">IF(
  $O$7="Desbloqueado",
  "PROD"&amp;TEXT(RANDBETWEEN(1,200),"000"),
  Tabela_Movimentacao_Geral[[#This Row],[ID Produto]]
)</f>
        <v>PROD034</v>
      </c>
      <c r="G724" t="str">
        <f ca="1">_xlfn.XLOOKUP(Tabela_Movimentacao_Geral[[#This Row],[ID Produto]], Tabela_Produtos[ID_Produto],Tabela_Produtos[Descricao_Produto],"Produto não encontrado")</f>
        <v>Projetor Multimidia 4K</v>
      </c>
      <c r="H724" cm="1">
        <f t="array" aca="1" ref="H724" ca="1">IF(
   $O$7="Desbloqueado",
   _xlfn.LET(
     _xlpm.saldo_atual, SUM(($C$2:$C723="Entrada")*($F$2:$F723=Tabela_Movimentacao_Geral[[#This Row],[ID Produto]])*($H$2:$H723) - ($C$2:$C723="Saida")*($F$2:$F723=Tabela_Movimentacao_Geral[[#This Row],[ID Produto]])*($H$2:$H723)),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724" s="5">
        <f ca="1">_xlfn.XLOOKUP(Tabela_Movimentacao_Geral[[#This Row],[ID Produto]], Tabela_Produtos[ID_Produto],Tabela_Produtos[Preco_Unitario_Venda])</f>
        <v>4200</v>
      </c>
      <c r="J724" s="6">
        <f ca="1">Tabela_Movimentacao_Geral[[#This Row],[Quantidade]] * Tabela_Movimentacao_Geral[[#This Row],[Valor Unitário]]</f>
        <v>21000</v>
      </c>
      <c r="K724" t="str">
        <f ca="1">IF(
   $O$7="Desbloqueado",
   CHOOSE(RANDBETWEEN(1,3),"Pago","Pendente","Atrasado"),
   Tabela_Movimentacao_Geral[[#This Row],[Status Financeiro]]
)</f>
        <v>Pendente</v>
      </c>
      <c r="L724" t="str">
        <f ca="1">IF(
   $O$7="Desbloqueado",
   CHOOSE(RANDBETWEEN(1,3),"Entregue","Em Rota","Aguardando"),
   Tabela_Movimentacao_Geral[[#This Row],[Status Logistico]]
)</f>
        <v>Entregue</v>
      </c>
      <c r="M72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25" spans="1:13" x14ac:dyDescent="0.3">
      <c r="A725" t="str">
        <f t="shared" si="10"/>
        <v>T0724</v>
      </c>
      <c r="B725" s="1">
        <v>46005</v>
      </c>
      <c r="C725" t="str" cm="1">
        <f t="array" aca="1" ref="C725" ca="1">IF($O$7="Desbloqueado",
  _xlfn.LET(
    _xlpm.saldo_atual, SUM(($C$2:$C724="Entrada")*($F$2:$F724=Tabela_Movimentacao_Geral[[#This Row],[ID Produto]])*($H$2:$H724) - ($C$2:$C724="Saida")*($F$2:$F724=Tabela_Movimentacao_Geral[[#This Row],[ID Produto]])*($H$2:$H724)),
    IF(_xlpm.saldo_atual &gt; 0, IF(RANDBETWEEN(0,10)&gt;3,"Saida","Entrada"), "Entrada")
  ),
  Tabela_Movimentacao_Geral[[#This Row],[Tipo Fluxo]]
)</f>
        <v>Entrada</v>
      </c>
      <c r="D7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7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725" t="str">
        <f ca="1">IF(
  $O$7="Desbloqueado",
  "PROD"&amp;TEXT(RANDBETWEEN(1,200),"000"),
  Tabela_Movimentacao_Geral[[#This Row],[ID Produto]]
)</f>
        <v>PROD032</v>
      </c>
      <c r="G725" t="str">
        <f ca="1">_xlfn.XLOOKUP(Tabela_Movimentacao_Geral[[#This Row],[ID Produto]], Tabela_Produtos[ID_Produto],Tabela_Produtos[Descricao_Produto],"Produto não encontrado")</f>
        <v>Base Resfriadora Notebook</v>
      </c>
      <c r="H725" cm="1">
        <f t="array" aca="1" ref="H725" ca="1">IF(
   $O$7="Desbloqueado",
   _xlfn.LET(
     _xlpm.saldo_atual, SUM(($C$2:$C724="Entrada")*($F$2:$F724=Tabela_Movimentacao_Geral[[#This Row],[ID Produto]])*($H$2:$H724) - ($C$2:$C724="Saida")*($F$2:$F724=Tabela_Movimentacao_Geral[[#This Row],[ID Produto]])*($H$2:$H724)),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</v>
      </c>
      <c r="I725" s="5">
        <f ca="1">_xlfn.XLOOKUP(Tabela_Movimentacao_Geral[[#This Row],[ID Produto]], Tabela_Produtos[ID_Produto],Tabela_Produtos[Preco_Unitario_Venda])</f>
        <v>110</v>
      </c>
      <c r="J725" s="6">
        <f ca="1">Tabela_Movimentacao_Geral[[#This Row],[Quantidade]] * Tabela_Movimentacao_Geral[[#This Row],[Valor Unitário]]</f>
        <v>5500</v>
      </c>
      <c r="K725" t="str">
        <f ca="1">IF(
   $O$7="Desbloqueado",
   CHOOSE(RANDBETWEEN(1,3),"Pago","Pendente","Atrasado"),
   Tabela_Movimentacao_Geral[[#This Row],[Status Financeiro]]
)</f>
        <v>Pendente</v>
      </c>
      <c r="L725" t="str">
        <f ca="1">IF(
   $O$7="Desbloqueado",
   CHOOSE(RANDBETWEEN(1,3),"Entregue","Em Rota","Aguardando"),
   Tabela_Movimentacao_Geral[[#This Row],[Status Logistico]]
)</f>
        <v>Em Rota</v>
      </c>
      <c r="M72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46006</v>
      </c>
    </row>
    <row r="726" spans="1:13" x14ac:dyDescent="0.3">
      <c r="A726" t="str">
        <f t="shared" si="10"/>
        <v>T0725</v>
      </c>
      <c r="B726" s="1">
        <v>46005</v>
      </c>
      <c r="C726" t="str" cm="1">
        <f t="array" aca="1" ref="C726" ca="1">IF($O$7="Desbloqueado",
  _xlfn.LET(
    _xlpm.saldo_atual, SUM(($C$2:$C725="Entrada")*($F$2:$F725=Tabela_Movimentacao_Geral[[#This Row],[ID Produto]])*($H$2:$H725) - ($C$2:$C725="Saida")*($F$2:$F725=Tabela_Movimentacao_Geral[[#This Row],[ID Produto]])*($H$2:$H725)),
    IF(_xlpm.saldo_atual &gt; 0, IF(RANDBETWEEN(0,10)&gt;3,"Saida","Entrada"), "Entrada")
  ),
  Tabela_Movimentacao_Geral[[#This Row],[Tipo Fluxo]]
)</f>
        <v>Saida</v>
      </c>
      <c r="D7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7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726" t="str">
        <f ca="1">IF(
  $O$7="Desbloqueado",
  "PROD"&amp;TEXT(RANDBETWEEN(1,200),"000"),
  Tabela_Movimentacao_Geral[[#This Row],[ID Produto]]
)</f>
        <v>PROD158</v>
      </c>
      <c r="G726" t="str">
        <f ca="1">_xlfn.XLOOKUP(Tabela_Movimentacao_Geral[[#This Row],[ID Produto]], Tabela_Produtos[ID_Produto],Tabela_Produtos[Descricao_Produto],"Produto não encontrado")</f>
        <v>Extrator de Grampos</v>
      </c>
      <c r="H726" cm="1">
        <f t="array" aca="1" ref="H726" ca="1">IF(
   $O$7="Desbloqueado",
   _xlfn.LET(
     _xlpm.saldo_atual, SUM(($C$2:$C725="Entrada")*($F$2:$F725=Tabela_Movimentacao_Geral[[#This Row],[ID Produto]])*($H$2:$H725) - ($C$2:$C725="Saida")*($F$2:$F725=Tabela_Movimentacao_Geral[[#This Row],[ID Produto]])*($H$2:$H725)),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75</v>
      </c>
      <c r="I726" s="5">
        <f ca="1">_xlfn.XLOOKUP(Tabela_Movimentacao_Geral[[#This Row],[ID Produto]], Tabela_Produtos[ID_Produto],Tabela_Produtos[Preco_Unitario_Venda])</f>
        <v>7</v>
      </c>
      <c r="J726" s="6">
        <f ca="1">Tabela_Movimentacao_Geral[[#This Row],[Quantidade]] * Tabela_Movimentacao_Geral[[#This Row],[Valor Unitário]]</f>
        <v>525</v>
      </c>
      <c r="K726" t="str">
        <f ca="1">IF(
   $O$7="Desbloqueado",
   CHOOSE(RANDBETWEEN(1,3),"Pago","Pendente","Atrasado"),
   Tabela_Movimentacao_Geral[[#This Row],[Status Financeiro]]
)</f>
        <v>Pago</v>
      </c>
      <c r="L726" t="str">
        <f ca="1">IF(
   $O$7="Desbloqueado",
   CHOOSE(RANDBETWEEN(1,3),"Entregue","Em Rota","Aguardando"),
   Tabela_Movimentacao_Geral[[#This Row],[Status Logistico]]
)</f>
        <v>Aguardando</v>
      </c>
      <c r="M72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27" spans="1:13" x14ac:dyDescent="0.3">
      <c r="A727" t="str">
        <f t="shared" ref="A727:A790" si="11">"T"&amp;TEXT(ROW(A727)-1,"0000")</f>
        <v>T0726</v>
      </c>
      <c r="B727" s="1">
        <v>46005</v>
      </c>
      <c r="C727" t="str" cm="1">
        <f t="array" aca="1" ref="C727" ca="1">IF($O$7="Desbloqueado",
  _xlfn.LET(
    _xlpm.saldo_atual, SUM(($C$2:$C726="Entrada")*($F$2:$F726=Tabela_Movimentacao_Geral[[#This Row],[ID Produto]])*($H$2:$H726) - ($C$2:$C726="Saida")*($F$2:$F726=Tabela_Movimentacao_Geral[[#This Row],[ID Produto]])*($H$2:$H726)),
    IF(_xlpm.saldo_atual &gt; 0, IF(RANDBETWEEN(0,10)&gt;3,"Saida","Entrada"), "Entrada")
  ),
  Tabela_Movimentacao_Geral[[#This Row],[Tipo Fluxo]]
)</f>
        <v>Entrada</v>
      </c>
      <c r="D7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7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727" t="str">
        <f ca="1">IF(
  $O$7="Desbloqueado",
  "PROD"&amp;TEXT(RANDBETWEEN(1,200),"000"),
  Tabela_Movimentacao_Geral[[#This Row],[ID Produto]]
)</f>
        <v>PROD068</v>
      </c>
      <c r="G727" t="str">
        <f ca="1">_xlfn.XLOOKUP(Tabela_Movimentacao_Geral[[#This Row],[ID Produto]], Tabela_Produtos[ID_Produto],Tabela_Produtos[Descricao_Produto],"Produto não encontrado")</f>
        <v>Quadro Branco 90x60</v>
      </c>
      <c r="H727" cm="1">
        <f t="array" aca="1" ref="H727" ca="1">IF(
   $O$7="Desbloqueado",
   _xlfn.LET(
     _xlpm.saldo_atual, SUM(($C$2:$C726="Entrada")*($F$2:$F726=Tabela_Movimentacao_Geral[[#This Row],[ID Produto]])*($H$2:$H726) - ($C$2:$C726="Saida")*($F$2:$F726=Tabela_Movimentacao_Geral[[#This Row],[ID Produto]])*($H$2:$H726)),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727" s="5">
        <f ca="1">_xlfn.XLOOKUP(Tabela_Movimentacao_Geral[[#This Row],[ID Produto]], Tabela_Produtos[ID_Produto],Tabela_Produtos[Preco_Unitario_Venda])</f>
        <v>180</v>
      </c>
      <c r="J727" s="6">
        <f ca="1">Tabela_Movimentacao_Geral[[#This Row],[Quantidade]] * Tabela_Movimentacao_Geral[[#This Row],[Valor Unitário]]</f>
        <v>12240</v>
      </c>
      <c r="K727" t="str">
        <f ca="1">IF(
   $O$7="Desbloqueado",
   CHOOSE(RANDBETWEEN(1,3),"Pago","Pendente","Atrasado"),
   Tabela_Movimentacao_Geral[[#This Row],[Status Financeiro]]
)</f>
        <v>Atrasado</v>
      </c>
      <c r="L727" t="str">
        <f ca="1">IF(
   $O$7="Desbloqueado",
   CHOOSE(RANDBETWEEN(1,3),"Entregue","Em Rota","Aguardando"),
   Tabela_Movimentacao_Geral[[#This Row],[Status Logistico]]
)</f>
        <v>Em Rota</v>
      </c>
      <c r="M72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46007</v>
      </c>
    </row>
    <row r="728" spans="1:13" x14ac:dyDescent="0.3">
      <c r="A728" t="str">
        <f t="shared" si="11"/>
        <v>T0727</v>
      </c>
      <c r="B728" s="1">
        <v>46006</v>
      </c>
      <c r="C728" t="str" cm="1">
        <f t="array" aca="1" ref="C728" ca="1">IF($O$7="Desbloqueado",
  _xlfn.LET(
    _xlpm.saldo_atual, SUM(($C$2:$C727="Entrada")*($F$2:$F727=Tabela_Movimentacao_Geral[[#This Row],[ID Produto]])*($H$2:$H727) - ($C$2:$C727="Saida")*($F$2:$F727=Tabela_Movimentacao_Geral[[#This Row],[ID Produto]])*($H$2:$H727)),
    IF(_xlpm.saldo_atual &gt; 0, IF(RANDBETWEEN(0,10)&gt;3,"Saida","Entrada"), "Entrada")
  ),
  Tabela_Movimentacao_Geral[[#This Row],[Tipo Fluxo]]
)</f>
        <v>Saida</v>
      </c>
      <c r="D7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7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728" t="str">
        <f ca="1">IF(
  $O$7="Desbloqueado",
  "PROD"&amp;TEXT(RANDBETWEEN(1,200),"000"),
  Tabela_Movimentacao_Geral[[#This Row],[ID Produto]]
)</f>
        <v>PROD103</v>
      </c>
      <c r="G728" t="str">
        <f ca="1">_xlfn.XLOOKUP(Tabela_Movimentacao_Geral[[#This Row],[ID Produto]], Tabela_Produtos[ID_Produto],Tabela_Produtos[Descricao_Produto],"Produto não encontrado")</f>
        <v>Mouse Gamer 12000 DPI</v>
      </c>
      <c r="H728" cm="1">
        <f t="array" aca="1" ref="H728" ca="1">IF(
   $O$7="Desbloqueado",
   _xlfn.LET(
     _xlpm.saldo_atual, SUM(($C$2:$C727="Entrada")*($F$2:$F727=Tabela_Movimentacao_Geral[[#This Row],[ID Produto]])*($H$2:$H727) - ($C$2:$C727="Saida")*($F$2:$F727=Tabela_Movimentacao_Geral[[#This Row],[ID Produto]])*($H$2:$H727)),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728" s="5">
        <f ca="1">_xlfn.XLOOKUP(Tabela_Movimentacao_Geral[[#This Row],[ID Produto]], Tabela_Produtos[ID_Produto],Tabela_Produtos[Preco_Unitario_Venda])</f>
        <v>240</v>
      </c>
      <c r="J728" s="6">
        <f ca="1">Tabela_Movimentacao_Geral[[#This Row],[Quantidade]] * Tabela_Movimentacao_Geral[[#This Row],[Valor Unitário]]</f>
        <v>960</v>
      </c>
      <c r="K728" t="str">
        <f ca="1">IF(
   $O$7="Desbloqueado",
   CHOOSE(RANDBETWEEN(1,3),"Pago","Pendente","Atrasado"),
   Tabela_Movimentacao_Geral[[#This Row],[Status Financeiro]]
)</f>
        <v>Pago</v>
      </c>
      <c r="L728" t="str">
        <f ca="1">IF(
   $O$7="Desbloqueado",
   CHOOSE(RANDBETWEEN(1,3),"Entregue","Em Rota","Aguardando"),
   Tabela_Movimentacao_Geral[[#This Row],[Status Logistico]]
)</f>
        <v>Em Rota</v>
      </c>
      <c r="M72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29" spans="1:13" x14ac:dyDescent="0.3">
      <c r="A729" t="str">
        <f t="shared" si="11"/>
        <v>T0728</v>
      </c>
      <c r="B729" s="1">
        <v>46007</v>
      </c>
      <c r="C729" t="str" cm="1">
        <f t="array" aca="1" ref="C729" ca="1">IF($O$7="Desbloqueado",
  _xlfn.LET(
    _xlpm.saldo_atual, SUM(($C$2:$C728="Entrada")*($F$2:$F728=Tabela_Movimentacao_Geral[[#This Row],[ID Produto]])*($H$2:$H728) - ($C$2:$C728="Saida")*($F$2:$F728=Tabela_Movimentacao_Geral[[#This Row],[ID Produto]])*($H$2:$H728)),
    IF(_xlpm.saldo_atual &gt; 0, IF(RANDBETWEEN(0,10)&gt;3,"Saida","Entrada"), "Entrada")
  ),
  Tabela_Movimentacao_Geral[[#This Row],[Tipo Fluxo]]
)</f>
        <v>Entrada</v>
      </c>
      <c r="D7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7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729" t="str">
        <f ca="1">IF(
  $O$7="Desbloqueado",
  "PROD"&amp;TEXT(RANDBETWEEN(1,200),"000"),
  Tabela_Movimentacao_Geral[[#This Row],[ID Produto]]
)</f>
        <v>PROD186</v>
      </c>
      <c r="G729" t="str">
        <f ca="1">_xlfn.XLOOKUP(Tabela_Movimentacao_Geral[[#This Row],[ID Produto]], Tabela_Produtos[ID_Produto],Tabela_Produtos[Descricao_Produto],"Produto não encontrado")</f>
        <v>KVM Console Gaveta 17</v>
      </c>
      <c r="H729" cm="1">
        <f t="array" aca="1" ref="H729" ca="1">IF(
   $O$7="Desbloqueado",
   _xlfn.LET(
     _xlpm.saldo_atual, SUM(($C$2:$C728="Entrada")*($F$2:$F728=Tabela_Movimentacao_Geral[[#This Row],[ID Produto]])*($H$2:$H728) - ($C$2:$C728="Saida")*($F$2:$F728=Tabela_Movimentacao_Geral[[#This Row],[ID Produto]])*($H$2:$H728)),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35</v>
      </c>
      <c r="I729" s="5">
        <f ca="1">_xlfn.XLOOKUP(Tabela_Movimentacao_Geral[[#This Row],[ID Produto]], Tabela_Produtos[ID_Produto],Tabela_Produtos[Preco_Unitario_Venda])</f>
        <v>6800</v>
      </c>
      <c r="J729" s="6">
        <f ca="1">Tabela_Movimentacao_Geral[[#This Row],[Quantidade]] * Tabela_Movimentacao_Geral[[#This Row],[Valor Unitário]]</f>
        <v>238000</v>
      </c>
      <c r="K729" t="str">
        <f ca="1">IF(
   $O$7="Desbloqueado",
   CHOOSE(RANDBETWEEN(1,3),"Pago","Pendente","Atrasado"),
   Tabela_Movimentacao_Geral[[#This Row],[Status Financeiro]]
)</f>
        <v>Atrasado</v>
      </c>
      <c r="L729" t="str">
        <f ca="1">IF(
   $O$7="Desbloqueado",
   CHOOSE(RANDBETWEEN(1,3),"Entregue","Em Rota","Aguardando"),
   Tabela_Movimentacao_Geral[[#This Row],[Status Logistico]]
)</f>
        <v>Entregue</v>
      </c>
      <c r="M72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46008</v>
      </c>
    </row>
    <row r="730" spans="1:13" x14ac:dyDescent="0.3">
      <c r="A730" t="str">
        <f t="shared" si="11"/>
        <v>T0729</v>
      </c>
      <c r="B730" s="1">
        <v>46008</v>
      </c>
      <c r="C730" t="str" cm="1">
        <f t="array" aca="1" ref="C730" ca="1">IF($O$7="Desbloqueado",
  _xlfn.LET(
    _xlpm.saldo_atual, SUM(($C$2:$C729="Entrada")*($F$2:$F729=Tabela_Movimentacao_Geral[[#This Row],[ID Produto]])*($H$2:$H729) - ($C$2:$C729="Saida")*($F$2:$F729=Tabela_Movimentacao_Geral[[#This Row],[ID Produto]])*($H$2:$H729)),
    IF(_xlpm.saldo_atual &gt; 0, IF(RANDBETWEEN(0,10)&gt;3,"Saida","Entrada"), "Entrada")
  ),
  Tabela_Movimentacao_Geral[[#This Row],[Tipo Fluxo]]
)</f>
        <v>Saida</v>
      </c>
      <c r="D7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7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730" t="str">
        <f ca="1">IF(
  $O$7="Desbloqueado",
  "PROD"&amp;TEXT(RANDBETWEEN(1,200),"000"),
  Tabela_Movimentacao_Geral[[#This Row],[ID Produto]]
)</f>
        <v>PROD174</v>
      </c>
      <c r="G730" t="str">
        <f ca="1">_xlfn.XLOOKUP(Tabela_Movimentacao_Geral[[#This Row],[ID Produto]], Tabela_Produtos[ID_Produto],Tabela_Produtos[Descricao_Produto],"Produto não encontrado")</f>
        <v>Filme Stretch Manual 50cm</v>
      </c>
      <c r="H730" cm="1">
        <f t="array" aca="1" ref="H730" ca="1">IF(
   $O$7="Desbloqueado",
   _xlfn.LET(
     _xlpm.saldo_atual, SUM(($C$2:$C729="Entrada")*($F$2:$F729=Tabela_Movimentacao_Geral[[#This Row],[ID Produto]])*($H$2:$H729) - ($C$2:$C729="Saida")*($F$2:$F729=Tabela_Movimentacao_Geral[[#This Row],[ID Produto]])*($H$2:$H729)),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730" s="5">
        <f ca="1">_xlfn.XLOOKUP(Tabela_Movimentacao_Geral[[#This Row],[ID Produto]], Tabela_Produtos[ID_Produto],Tabela_Produtos[Preco_Unitario_Venda])</f>
        <v>65</v>
      </c>
      <c r="J730" s="6">
        <f ca="1">Tabela_Movimentacao_Geral[[#This Row],[Quantidade]] * Tabela_Movimentacao_Geral[[#This Row],[Valor Unitário]]</f>
        <v>65</v>
      </c>
      <c r="K730" t="str">
        <f ca="1">IF(
   $O$7="Desbloqueado",
   CHOOSE(RANDBETWEEN(1,3),"Pago","Pendente","Atrasado"),
   Tabela_Movimentacao_Geral[[#This Row],[Status Financeiro]]
)</f>
        <v>Pendente</v>
      </c>
      <c r="L730" t="str">
        <f ca="1">IF(
   $O$7="Desbloqueado",
   CHOOSE(RANDBETWEEN(1,3),"Entregue","Em Rota","Aguardando"),
   Tabela_Movimentacao_Geral[[#This Row],[Status Logistico]]
)</f>
        <v>Em Rota</v>
      </c>
      <c r="M73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31" spans="1:13" x14ac:dyDescent="0.3">
      <c r="A731" t="str">
        <f t="shared" si="11"/>
        <v>T0730</v>
      </c>
      <c r="B731" s="1">
        <v>46008</v>
      </c>
      <c r="C731" t="str" cm="1">
        <f t="array" aca="1" ref="C731" ca="1">IF($O$7="Desbloqueado",
  _xlfn.LET(
    _xlpm.saldo_atual, SUM(($C$2:$C730="Entrada")*($F$2:$F730=Tabela_Movimentacao_Geral[[#This Row],[ID Produto]])*($H$2:$H730) - ($C$2:$C730="Saida")*($F$2:$F730=Tabela_Movimentacao_Geral[[#This Row],[ID Produto]])*($H$2:$H730)),
    IF(_xlpm.saldo_atual &gt; 0, IF(RANDBETWEEN(0,10)&gt;3,"Saida","Entrada"), "Entrada")
  ),
  Tabela_Movimentacao_Geral[[#This Row],[Tipo Fluxo]]
)</f>
        <v>Saida</v>
      </c>
      <c r="D7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7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731" t="str">
        <f ca="1">IF(
  $O$7="Desbloqueado",
  "PROD"&amp;TEXT(RANDBETWEEN(1,200),"000"),
  Tabela_Movimentacao_Geral[[#This Row],[ID Produto]]
)</f>
        <v>PROD015</v>
      </c>
      <c r="G731" t="str">
        <f ca="1">_xlfn.XLOOKUP(Tabela_Movimentacao_Geral[[#This Row],[ID Produto]], Tabela_Produtos[ID_Produto],Tabela_Produtos[Descricao_Produto],"Produto não encontrado")</f>
        <v>Switch 24 Portas Giga</v>
      </c>
      <c r="H731" cm="1">
        <f t="array" aca="1" ref="H731" ca="1">IF(
   $O$7="Desbloqueado",
   _xlfn.LET(
     _xlpm.saldo_atual, SUM(($C$2:$C730="Entrada")*($F$2:$F730=Tabela_Movimentacao_Geral[[#This Row],[ID Produto]])*($H$2:$H730) - ($C$2:$C730="Saida")*($F$2:$F730=Tabela_Movimentacao_Geral[[#This Row],[ID Produto]])*($H$2:$H730)),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731" s="5">
        <f ca="1">_xlfn.XLOOKUP(Tabela_Movimentacao_Geral[[#This Row],[ID Produto]], Tabela_Produtos[ID_Produto],Tabela_Produtos[Preco_Unitario_Venda])</f>
        <v>1200</v>
      </c>
      <c r="J731" s="6">
        <f ca="1">Tabela_Movimentacao_Geral[[#This Row],[Quantidade]] * Tabela_Movimentacao_Geral[[#This Row],[Valor Unitário]]</f>
        <v>6000</v>
      </c>
      <c r="K731" t="str">
        <f ca="1">IF(
   $O$7="Desbloqueado",
   CHOOSE(RANDBETWEEN(1,3),"Pago","Pendente","Atrasado"),
   Tabela_Movimentacao_Geral[[#This Row],[Status Financeiro]]
)</f>
        <v>Pago</v>
      </c>
      <c r="L731" t="str">
        <f ca="1">IF(
   $O$7="Desbloqueado",
   CHOOSE(RANDBETWEEN(1,3),"Entregue","Em Rota","Aguardando"),
   Tabela_Movimentacao_Geral[[#This Row],[Status Logistico]]
)</f>
        <v>Aguardando</v>
      </c>
      <c r="M73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32" spans="1:13" x14ac:dyDescent="0.3">
      <c r="A732" t="str">
        <f t="shared" si="11"/>
        <v>T0731</v>
      </c>
      <c r="B732" s="1">
        <v>46009</v>
      </c>
      <c r="C732" t="str" cm="1">
        <f t="array" aca="1" ref="C732" ca="1">IF($O$7="Desbloqueado",
  _xlfn.LET(
    _xlpm.saldo_atual, SUM(($C$2:$C731="Entrada")*($F$2:$F731=Tabela_Movimentacao_Geral[[#This Row],[ID Produto]])*($H$2:$H731) - ($C$2:$C731="Saida")*($F$2:$F731=Tabela_Movimentacao_Geral[[#This Row],[ID Produto]])*($H$2:$H731)),
    IF(_xlpm.saldo_atual &gt; 0, IF(RANDBETWEEN(0,10)&gt;3,"Saida","Entrada"), "Entrada")
  ),
  Tabela_Movimentacao_Geral[[#This Row],[Tipo Fluxo]]
)</f>
        <v>Entrada</v>
      </c>
      <c r="D7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7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732" t="str">
        <f ca="1">IF(
  $O$7="Desbloqueado",
  "PROD"&amp;TEXT(RANDBETWEEN(1,200),"000"),
  Tabela_Movimentacao_Geral[[#This Row],[ID Produto]]
)</f>
        <v>PROD072</v>
      </c>
      <c r="G732" t="str">
        <f ca="1">_xlfn.XLOOKUP(Tabela_Movimentacao_Geral[[#This Row],[ID Produto]], Tabela_Produtos[ID_Produto],Tabela_Produtos[Descricao_Produto],"Produto não encontrado")</f>
        <v>Agenda Diaria Executiva</v>
      </c>
      <c r="H732" cm="1">
        <f t="array" aca="1" ref="H732" ca="1">IF(
   $O$7="Desbloqueado",
   _xlfn.LET(
     _xlpm.saldo_atual, SUM(($C$2:$C731="Entrada")*($F$2:$F731=Tabela_Movimentacao_Geral[[#This Row],[ID Produto]])*($H$2:$H731) - ($C$2:$C731="Saida")*($F$2:$F731=Tabela_Movimentacao_Geral[[#This Row],[ID Produto]])*($H$2:$H731)),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732" s="5">
        <f ca="1">_xlfn.XLOOKUP(Tabela_Movimentacao_Geral[[#This Row],[ID Produto]], Tabela_Produtos[ID_Produto],Tabela_Produtos[Preco_Unitario_Venda])</f>
        <v>45</v>
      </c>
      <c r="J732" s="6">
        <f ca="1">Tabela_Movimentacao_Geral[[#This Row],[Quantidade]] * Tabela_Movimentacao_Geral[[#This Row],[Valor Unitário]]</f>
        <v>2745</v>
      </c>
      <c r="K732" t="str">
        <f ca="1">IF(
   $O$7="Desbloqueado",
   CHOOSE(RANDBETWEEN(1,3),"Pago","Pendente","Atrasado"),
   Tabela_Movimentacao_Geral[[#This Row],[Status Financeiro]]
)</f>
        <v>Pendente</v>
      </c>
      <c r="L732" t="str">
        <f ca="1">IF(
   $O$7="Desbloqueado",
   CHOOSE(RANDBETWEEN(1,3),"Entregue","Em Rota","Aguardando"),
   Tabela_Movimentacao_Geral[[#This Row],[Status Logistico]]
)</f>
        <v>Entregue</v>
      </c>
      <c r="M73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46014</v>
      </c>
    </row>
    <row r="733" spans="1:13" x14ac:dyDescent="0.3">
      <c r="A733" t="str">
        <f t="shared" si="11"/>
        <v>T0732</v>
      </c>
      <c r="B733" s="1">
        <v>46010</v>
      </c>
      <c r="C733" t="str" cm="1">
        <f t="array" aca="1" ref="C733" ca="1">IF($O$7="Desbloqueado",
  _xlfn.LET(
    _xlpm.saldo_atual, SUM(($C$2:$C732="Entrada")*($F$2:$F732=Tabela_Movimentacao_Geral[[#This Row],[ID Produto]])*($H$2:$H732) - ($C$2:$C732="Saida")*($F$2:$F732=Tabela_Movimentacao_Geral[[#This Row],[ID Produto]])*($H$2:$H732)),
    IF(_xlpm.saldo_atual &gt; 0, IF(RANDBETWEEN(0,10)&gt;3,"Saida","Entrada"), "Entrada")
  ),
  Tabela_Movimentacao_Geral[[#This Row],[Tipo Fluxo]]
)</f>
        <v>Entrada</v>
      </c>
      <c r="D7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7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733" t="str">
        <f ca="1">IF(
  $O$7="Desbloqueado",
  "PROD"&amp;TEXT(RANDBETWEEN(1,200),"000"),
  Tabela_Movimentacao_Geral[[#This Row],[ID Produto]]
)</f>
        <v>PROD180</v>
      </c>
      <c r="G733" t="str">
        <f ca="1">_xlfn.XLOOKUP(Tabela_Movimentacao_Geral[[#This Row],[ID Produto]], Tabela_Produtos[ID_Produto],Tabela_Produtos[Descricao_Produto],"Produto não encontrado")</f>
        <v>Gaveteiro 3 Gavetas</v>
      </c>
      <c r="H733" cm="1">
        <f t="array" aca="1" ref="H733" ca="1">IF(
   $O$7="Desbloqueado",
   _xlfn.LET(
     _xlpm.saldo_atual, SUM(($C$2:$C732="Entrada")*($F$2:$F732=Tabela_Movimentacao_Geral[[#This Row],[ID Produto]])*($H$2:$H732) - ($C$2:$C732="Saida")*($F$2:$F732=Tabela_Movimentacao_Geral[[#This Row],[ID Produto]])*($H$2:$H732)),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733" s="5">
        <f ca="1">_xlfn.XLOOKUP(Tabela_Movimentacao_Geral[[#This Row],[ID Produto]], Tabela_Produtos[ID_Produto],Tabela_Produtos[Preco_Unitario_Venda])</f>
        <v>450</v>
      </c>
      <c r="J733" s="6">
        <f ca="1">Tabela_Movimentacao_Geral[[#This Row],[Quantidade]] * Tabela_Movimentacao_Geral[[#This Row],[Valor Unitário]]</f>
        <v>4500</v>
      </c>
      <c r="K733" t="str">
        <f ca="1">IF(
   $O$7="Desbloqueado",
   CHOOSE(RANDBETWEEN(1,3),"Pago","Pendente","Atrasado"),
   Tabela_Movimentacao_Geral[[#This Row],[Status Financeiro]]
)</f>
        <v>Pago</v>
      </c>
      <c r="L733" t="str">
        <f ca="1">IF(
   $O$7="Desbloqueado",
   CHOOSE(RANDBETWEEN(1,3),"Entregue","Em Rota","Aguardando"),
   Tabela_Movimentacao_Geral[[#This Row],[Status Logistico]]
)</f>
        <v>Em Rota</v>
      </c>
      <c r="M73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46015</v>
      </c>
    </row>
    <row r="734" spans="1:13" x14ac:dyDescent="0.3">
      <c r="A734" t="str">
        <f t="shared" si="11"/>
        <v>T0733</v>
      </c>
      <c r="B734" s="1">
        <v>46010</v>
      </c>
      <c r="C734" t="str" cm="1">
        <f t="array" aca="1" ref="C734" ca="1">IF($O$7="Desbloqueado",
  _xlfn.LET(
    _xlpm.saldo_atual, SUM(($C$2:$C733="Entrada")*($F$2:$F733=Tabela_Movimentacao_Geral[[#This Row],[ID Produto]])*($H$2:$H733) - ($C$2:$C733="Saida")*($F$2:$F733=Tabela_Movimentacao_Geral[[#This Row],[ID Produto]])*($H$2:$H733)),
    IF(_xlpm.saldo_atual &gt; 0, IF(RANDBETWEEN(0,10)&gt;3,"Saida","Entrada"), "Entrada")
  ),
  Tabela_Movimentacao_Geral[[#This Row],[Tipo Fluxo]]
)</f>
        <v>Saida</v>
      </c>
      <c r="D7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34" t="str">
        <f ca="1">IF(
  $O$7="Desbloqueado",
  "PROD"&amp;TEXT(RANDBETWEEN(1,200),"000"),
  Tabela_Movimentacao_Geral[[#This Row],[ID Produto]]
)</f>
        <v>PROD109</v>
      </c>
      <c r="G734" t="str">
        <f ca="1">_xlfn.XLOOKUP(Tabela_Movimentacao_Geral[[#This Row],[ID Produto]], Tabela_Produtos[ID_Produto],Tabela_Produtos[Descricao_Produto],"Produto não encontrado")</f>
        <v>Cabo DisplayPort 1.4</v>
      </c>
      <c r="H734" cm="1">
        <f t="array" aca="1" ref="H734" ca="1">IF(
   $O$7="Desbloqueado",
   _xlfn.LET(
     _xlpm.saldo_atual, SUM(($C$2:$C733="Entrada")*($F$2:$F733=Tabela_Movimentacao_Geral[[#This Row],[ID Produto]])*($H$2:$H733) - ($C$2:$C733="Saida")*($F$2:$F733=Tabela_Movimentacao_Geral[[#This Row],[ID Produto]])*($H$2:$H733)),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734" s="5">
        <f ca="1">_xlfn.XLOOKUP(Tabela_Movimentacao_Geral[[#This Row],[ID Produto]], Tabela_Produtos[ID_Produto],Tabela_Produtos[Preco_Unitario_Venda])</f>
        <v>75</v>
      </c>
      <c r="J734" s="6">
        <f ca="1">Tabela_Movimentacao_Geral[[#This Row],[Quantidade]] * Tabela_Movimentacao_Geral[[#This Row],[Valor Unitário]]</f>
        <v>1950</v>
      </c>
      <c r="K734" t="str">
        <f ca="1">IF(
   $O$7="Desbloqueado",
   CHOOSE(RANDBETWEEN(1,3),"Pago","Pendente","Atrasado"),
   Tabela_Movimentacao_Geral[[#This Row],[Status Financeiro]]
)</f>
        <v>Pago</v>
      </c>
      <c r="L734" t="str">
        <f ca="1">IF(
   $O$7="Desbloqueado",
   CHOOSE(RANDBETWEEN(1,3),"Entregue","Em Rota","Aguardando"),
   Tabela_Movimentacao_Geral[[#This Row],[Status Logistico]]
)</f>
        <v>Entregue</v>
      </c>
      <c r="M7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35" spans="1:13" x14ac:dyDescent="0.3">
      <c r="A735" t="str">
        <f t="shared" si="11"/>
        <v>T0734</v>
      </c>
      <c r="B735" s="1">
        <v>46011</v>
      </c>
      <c r="C735" t="str" cm="1">
        <f t="array" aca="1" ref="C735" ca="1">IF($O$7="Desbloqueado",
  _xlfn.LET(
    _xlpm.saldo_atual, SUM(($C$2:$C734="Entrada")*($F$2:$F734=Tabela_Movimentacao_Geral[[#This Row],[ID Produto]])*($H$2:$H734) - ($C$2:$C734="Saida")*($F$2:$F734=Tabela_Movimentacao_Geral[[#This Row],[ID Produto]])*($H$2:$H734)),
    IF(_xlpm.saldo_atual &gt; 0, IF(RANDBETWEEN(0,10)&gt;3,"Saida","Entrada"), "Entrada")
  ),
  Tabela_Movimentacao_Geral[[#This Row],[Tipo Fluxo]]
)</f>
        <v>Entrada</v>
      </c>
      <c r="D7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7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735" t="str">
        <f ca="1">IF(
  $O$7="Desbloqueado",
  "PROD"&amp;TEXT(RANDBETWEEN(1,200),"000"),
  Tabela_Movimentacao_Geral[[#This Row],[ID Produto]]
)</f>
        <v>PROD154</v>
      </c>
      <c r="G735" t="str">
        <f ca="1">_xlfn.XLOOKUP(Tabela_Movimentacao_Geral[[#This Row],[ID Produto]], Tabela_Produtos[ID_Produto],Tabela_Produtos[Descricao_Produto],"Produto não encontrado")</f>
        <v>Estilete Largo Profissional</v>
      </c>
      <c r="H735" cm="1">
        <f t="array" aca="1" ref="H735" ca="1">IF(
   $O$7="Desbloqueado",
   _xlfn.LET(
     _xlpm.saldo_atual, SUM(($C$2:$C734="Entrada")*($F$2:$F734=Tabela_Movimentacao_Geral[[#This Row],[ID Produto]])*($H$2:$H734) - ($C$2:$C734="Saida")*($F$2:$F734=Tabela_Movimentacao_Geral[[#This Row],[ID Produto]])*($H$2:$H734)),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81</v>
      </c>
      <c r="I735" s="5">
        <f ca="1">_xlfn.XLOOKUP(Tabela_Movimentacao_Geral[[#This Row],[ID Produto]], Tabela_Produtos[ID_Produto],Tabela_Produtos[Preco_Unitario_Venda])</f>
        <v>18</v>
      </c>
      <c r="J735" s="6">
        <f ca="1">Tabela_Movimentacao_Geral[[#This Row],[Quantidade]] * Tabela_Movimentacao_Geral[[#This Row],[Valor Unitário]]</f>
        <v>1458</v>
      </c>
      <c r="K735" t="str">
        <f ca="1">IF(
   $O$7="Desbloqueado",
   CHOOSE(RANDBETWEEN(1,3),"Pago","Pendente","Atrasado"),
   Tabela_Movimentacao_Geral[[#This Row],[Status Financeiro]]
)</f>
        <v>Pendente</v>
      </c>
      <c r="L735" t="str">
        <f ca="1">IF(
   $O$7="Desbloqueado",
   CHOOSE(RANDBETWEEN(1,3),"Entregue","Em Rota","Aguardando"),
   Tabela_Movimentacao_Geral[[#This Row],[Status Logistico]]
)</f>
        <v>Entregue</v>
      </c>
      <c r="M73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46012</v>
      </c>
    </row>
    <row r="736" spans="1:13" x14ac:dyDescent="0.3">
      <c r="A736" t="str">
        <f t="shared" si="11"/>
        <v>T0735</v>
      </c>
      <c r="B736" s="1">
        <v>46011</v>
      </c>
      <c r="C736" t="str" cm="1">
        <f t="array" aca="1" ref="C736" ca="1">IF($O$7="Desbloqueado",
  _xlfn.LET(
    _xlpm.saldo_atual, SUM(($C$2:$C735="Entrada")*($F$2:$F735=Tabela_Movimentacao_Geral[[#This Row],[ID Produto]])*($H$2:$H735) - ($C$2:$C735="Saida")*($F$2:$F735=Tabela_Movimentacao_Geral[[#This Row],[ID Produto]])*($H$2:$H735)),
    IF(_xlpm.saldo_atual &gt; 0, IF(RANDBETWEEN(0,10)&gt;3,"Saida","Entrada"), "Entrada")
  ),
  Tabela_Movimentacao_Geral[[#This Row],[Tipo Fluxo]]
)</f>
        <v>Entrada</v>
      </c>
      <c r="D7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7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736" t="str">
        <f ca="1">IF(
  $O$7="Desbloqueado",
  "PROD"&amp;TEXT(RANDBETWEEN(1,200),"000"),
  Tabela_Movimentacao_Geral[[#This Row],[ID Produto]]
)</f>
        <v>PROD092</v>
      </c>
      <c r="G736" t="str">
        <f ca="1">_xlfn.XLOOKUP(Tabela_Movimentacao_Geral[[#This Row],[ID Produto]], Tabela_Produtos[ID_Produto],Tabela_Produtos[Descricao_Produto],"Produto não encontrado")</f>
        <v>Fita LTO-8 Ultrium</v>
      </c>
      <c r="H736" cm="1">
        <f t="array" aca="1" ref="H736" ca="1">IF(
   $O$7="Desbloqueado",
   _xlfn.LET(
     _xlpm.saldo_atual, SUM(($C$2:$C735="Entrada")*($F$2:$F735=Tabela_Movimentacao_Geral[[#This Row],[ID Produto]])*($H$2:$H735) - ($C$2:$C735="Saida")*($F$2:$F735=Tabela_Movimentacao_Geral[[#This Row],[ID Produto]])*($H$2:$H735)),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96</v>
      </c>
      <c r="I736" s="5">
        <f ca="1">_xlfn.XLOOKUP(Tabela_Movimentacao_Geral[[#This Row],[ID Produto]], Tabela_Produtos[ID_Produto],Tabela_Produtos[Preco_Unitario_Venda])</f>
        <v>950</v>
      </c>
      <c r="J736" s="6">
        <f ca="1">Tabela_Movimentacao_Geral[[#This Row],[Quantidade]] * Tabela_Movimentacao_Geral[[#This Row],[Valor Unitário]]</f>
        <v>91200</v>
      </c>
      <c r="K736" t="str">
        <f ca="1">IF(
   $O$7="Desbloqueado",
   CHOOSE(RANDBETWEEN(1,3),"Pago","Pendente","Atrasado"),
   Tabela_Movimentacao_Geral[[#This Row],[Status Financeiro]]
)</f>
        <v>Pendente</v>
      </c>
      <c r="L736" t="str">
        <f ca="1">IF(
   $O$7="Desbloqueado",
   CHOOSE(RANDBETWEEN(1,3),"Entregue","Em Rota","Aguardando"),
   Tabela_Movimentacao_Geral[[#This Row],[Status Logistico]]
)</f>
        <v>Em Rota</v>
      </c>
      <c r="M73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46013</v>
      </c>
    </row>
    <row r="737" spans="1:13" x14ac:dyDescent="0.3">
      <c r="A737" t="str">
        <f t="shared" si="11"/>
        <v>T0736</v>
      </c>
      <c r="B737" s="1">
        <v>46011</v>
      </c>
      <c r="C737" t="str" cm="1">
        <f t="array" aca="1" ref="C737" ca="1">IF($O$7="Desbloqueado",
  _xlfn.LET(
    _xlpm.saldo_atual, SUM(($C$2:$C736="Entrada")*($F$2:$F736=Tabela_Movimentacao_Geral[[#This Row],[ID Produto]])*($H$2:$H736) - ($C$2:$C736="Saida")*($F$2:$F736=Tabela_Movimentacao_Geral[[#This Row],[ID Produto]])*($H$2:$H736)),
    IF(_xlpm.saldo_atual &gt; 0, IF(RANDBETWEEN(0,10)&gt;3,"Saida","Entrada"), "Entrada")
  ),
  Tabela_Movimentacao_Geral[[#This Row],[Tipo Fluxo]]
)</f>
        <v>Saida</v>
      </c>
      <c r="D7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7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737" t="str">
        <f ca="1">IF(
  $O$7="Desbloqueado",
  "PROD"&amp;TEXT(RANDBETWEEN(1,200),"000"),
  Tabela_Movimentacao_Geral[[#This Row],[ID Produto]]
)</f>
        <v>PROD188</v>
      </c>
      <c r="G737" t="str">
        <f ca="1">_xlfn.XLOOKUP(Tabela_Movimentacao_Geral[[#This Row],[ID Produto]], Tabela_Produtos[ID_Produto],Tabela_Produtos[Descricao_Produto],"Produto não encontrado")</f>
        <v>Chassis para Media Conv</v>
      </c>
      <c r="H737" cm="1">
        <f t="array" aca="1" ref="H737" ca="1">IF(
   $O$7="Desbloqueado",
   _xlfn.LET(
     _xlpm.saldo_atual, SUM(($C$2:$C736="Entrada")*($F$2:$F736=Tabela_Movimentacao_Geral[[#This Row],[ID Produto]])*($H$2:$H736) - ($C$2:$C736="Saida")*($F$2:$F736=Tabela_Movimentacao_Geral[[#This Row],[ID Produto]])*($H$2:$H736)),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99</v>
      </c>
      <c r="I737" s="5">
        <f ca="1">_xlfn.XLOOKUP(Tabela_Movimentacao_Geral[[#This Row],[ID Produto]], Tabela_Produtos[ID_Produto],Tabela_Produtos[Preco_Unitario_Venda])</f>
        <v>1550</v>
      </c>
      <c r="J737" s="6">
        <f ca="1">Tabela_Movimentacao_Geral[[#This Row],[Quantidade]] * Tabela_Movimentacao_Geral[[#This Row],[Valor Unitário]]</f>
        <v>153450</v>
      </c>
      <c r="K737" t="str">
        <f ca="1">IF(
   $O$7="Desbloqueado",
   CHOOSE(RANDBETWEEN(1,3),"Pago","Pendente","Atrasado"),
   Tabela_Movimentacao_Geral[[#This Row],[Status Financeiro]]
)</f>
        <v>Atrasado</v>
      </c>
      <c r="L737" t="str">
        <f ca="1">IF(
   $O$7="Desbloqueado",
   CHOOSE(RANDBETWEEN(1,3),"Entregue","Em Rota","Aguardando"),
   Tabela_Movimentacao_Geral[[#This Row],[Status Logistico]]
)</f>
        <v>Em Rota</v>
      </c>
      <c r="M73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38" spans="1:13" x14ac:dyDescent="0.3">
      <c r="A738" t="str">
        <f t="shared" si="11"/>
        <v>T0737</v>
      </c>
      <c r="B738" s="1">
        <v>46011</v>
      </c>
      <c r="C738" t="str" cm="1">
        <f t="array" aca="1" ref="C738" ca="1">IF($O$7="Desbloqueado",
  _xlfn.LET(
    _xlpm.saldo_atual, SUM(($C$2:$C737="Entrada")*($F$2:$F737=Tabela_Movimentacao_Geral[[#This Row],[ID Produto]])*($H$2:$H737) - ($C$2:$C737="Saida")*($F$2:$F737=Tabela_Movimentacao_Geral[[#This Row],[ID Produto]])*($H$2:$H737)),
    IF(_xlpm.saldo_atual &gt; 0, IF(RANDBETWEEN(0,10)&gt;3,"Saida","Entrada"), "Entrada")
  ),
  Tabela_Movimentacao_Geral[[#This Row],[Tipo Fluxo]]
)</f>
        <v>Saida</v>
      </c>
      <c r="D7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7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738" t="str">
        <f ca="1">IF(
  $O$7="Desbloqueado",
  "PROD"&amp;TEXT(RANDBETWEEN(1,200),"000"),
  Tabela_Movimentacao_Geral[[#This Row],[ID Produto]]
)</f>
        <v>PROD027</v>
      </c>
      <c r="G738" t="str">
        <f ca="1">_xlfn.XLOOKUP(Tabela_Movimentacao_Geral[[#This Row],[ID Produto]], Tabela_Produtos[ID_Produto],Tabela_Produtos[Descricao_Produto],"Produto não encontrado")</f>
        <v>Hub USB 3.0 4 Portas</v>
      </c>
      <c r="H738" cm="1">
        <f t="array" aca="1" ref="H738" ca="1">IF(
   $O$7="Desbloqueado",
   _xlfn.LET(
     _xlpm.saldo_atual, SUM(($C$2:$C737="Entrada")*($F$2:$F737=Tabela_Movimentacao_Geral[[#This Row],[ID Produto]])*($H$2:$H737) - ($C$2:$C737="Saida")*($F$2:$F737=Tabela_Movimentacao_Geral[[#This Row],[ID Produto]])*($H$2:$H737)),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738" s="5">
        <f ca="1">_xlfn.XLOOKUP(Tabela_Movimentacao_Geral[[#This Row],[ID Produto]], Tabela_Produtos[ID_Produto],Tabela_Produtos[Preco_Unitario_Venda])</f>
        <v>75</v>
      </c>
      <c r="J738" s="6">
        <f ca="1">Tabela_Movimentacao_Geral[[#This Row],[Quantidade]] * Tabela_Movimentacao_Geral[[#This Row],[Valor Unitário]]</f>
        <v>375</v>
      </c>
      <c r="K738" t="str">
        <f ca="1">IF(
   $O$7="Desbloqueado",
   CHOOSE(RANDBETWEEN(1,3),"Pago","Pendente","Atrasado"),
   Tabela_Movimentacao_Geral[[#This Row],[Status Financeiro]]
)</f>
        <v>Pendente</v>
      </c>
      <c r="L738" t="str">
        <f ca="1">IF(
   $O$7="Desbloqueado",
   CHOOSE(RANDBETWEEN(1,3),"Entregue","Em Rota","Aguardando"),
   Tabela_Movimentacao_Geral[[#This Row],[Status Logistico]]
)</f>
        <v>Entregue</v>
      </c>
      <c r="M7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39" spans="1:13" x14ac:dyDescent="0.3">
      <c r="A739" t="str">
        <f t="shared" si="11"/>
        <v>T0738</v>
      </c>
      <c r="B739" s="1">
        <v>46012</v>
      </c>
      <c r="C739" t="str" cm="1">
        <f t="array" aca="1" ref="C739" ca="1">IF($O$7="Desbloqueado",
  _xlfn.LET(
    _xlpm.saldo_atual, SUM(($C$2:$C738="Entrada")*($F$2:$F738=Tabela_Movimentacao_Geral[[#This Row],[ID Produto]])*($H$2:$H738) - ($C$2:$C738="Saida")*($F$2:$F738=Tabela_Movimentacao_Geral[[#This Row],[ID Produto]])*($H$2:$H738)),
    IF(_xlpm.saldo_atual &gt; 0, IF(RANDBETWEEN(0,10)&gt;3,"Saida","Entrada"), "Entrada")
  ),
  Tabela_Movimentacao_Geral[[#This Row],[Tipo Fluxo]]
)</f>
        <v>Entrada</v>
      </c>
      <c r="D7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7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739" t="str">
        <f ca="1">IF(
  $O$7="Desbloqueado",
  "PROD"&amp;TEXT(RANDBETWEEN(1,200),"000"),
  Tabela_Movimentacao_Geral[[#This Row],[ID Produto]]
)</f>
        <v>PROD195</v>
      </c>
      <c r="G739" t="str">
        <f ca="1">_xlfn.XLOOKUP(Tabela_Movimentacao_Geral[[#This Row],[ID Produto]], Tabela_Produtos[ID_Produto],Tabela_Produtos[Descricao_Produto],"Produto não encontrado")</f>
        <v>Terminador Optico</v>
      </c>
      <c r="H739" cm="1">
        <f t="array" aca="1" ref="H739" ca="1">IF(
   $O$7="Desbloqueado",
   _xlfn.LET(
     _xlpm.saldo_atual, SUM(($C$2:$C738="Entrada")*($F$2:$F738=Tabela_Movimentacao_Geral[[#This Row],[ID Produto]])*($H$2:$H738) - ($C$2:$C738="Saida")*($F$2:$F738=Tabela_Movimentacao_Geral[[#This Row],[ID Produto]])*($H$2:$H738)),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76</v>
      </c>
      <c r="I739" s="5">
        <f ca="1">_xlfn.XLOOKUP(Tabela_Movimentacao_Geral[[#This Row],[ID Produto]], Tabela_Produtos[ID_Produto],Tabela_Produtos[Preco_Unitario_Venda])</f>
        <v>120</v>
      </c>
      <c r="J739" s="6">
        <f ca="1">Tabela_Movimentacao_Geral[[#This Row],[Quantidade]] * Tabela_Movimentacao_Geral[[#This Row],[Valor Unitário]]</f>
        <v>9120</v>
      </c>
      <c r="K739" t="str">
        <f ca="1">IF(
   $O$7="Desbloqueado",
   CHOOSE(RANDBETWEEN(1,3),"Pago","Pendente","Atrasado"),
   Tabela_Movimentacao_Geral[[#This Row],[Status Financeiro]]
)</f>
        <v>Atrasado</v>
      </c>
      <c r="L739" t="str">
        <f ca="1">IF(
   $O$7="Desbloqueado",
   CHOOSE(RANDBETWEEN(1,3),"Entregue","Em Rota","Aguardando"),
   Tabela_Movimentacao_Geral[[#This Row],[Status Logistico]]
)</f>
        <v>Aguardando</v>
      </c>
      <c r="M73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46014</v>
      </c>
    </row>
    <row r="740" spans="1:13" x14ac:dyDescent="0.3">
      <c r="A740" t="str">
        <f t="shared" si="11"/>
        <v>T0739</v>
      </c>
      <c r="B740" s="1">
        <v>46012</v>
      </c>
      <c r="C740" t="str" cm="1">
        <f t="array" aca="1" ref="C740" ca="1">IF($O$7="Desbloqueado",
  _xlfn.LET(
    _xlpm.saldo_atual, SUM(($C$2:$C739="Entrada")*($F$2:$F739=Tabela_Movimentacao_Geral[[#This Row],[ID Produto]])*($H$2:$H739) - ($C$2:$C739="Saida")*($F$2:$F739=Tabela_Movimentacao_Geral[[#This Row],[ID Produto]])*($H$2:$H739)),
    IF(_xlpm.saldo_atual &gt; 0, IF(RANDBETWEEN(0,10)&gt;3,"Saida","Entrada"), "Entrada")
  ),
  Tabela_Movimentacao_Geral[[#This Row],[Tipo Fluxo]]
)</f>
        <v>Saida</v>
      </c>
      <c r="D7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40" t="str">
        <f ca="1">IF(
  $O$7="Desbloqueado",
  "PROD"&amp;TEXT(RANDBETWEEN(1,200),"000"),
  Tabela_Movimentacao_Geral[[#This Row],[ID Produto]]
)</f>
        <v>PROD099</v>
      </c>
      <c r="G740" t="str">
        <f ca="1">_xlfn.XLOOKUP(Tabela_Movimentacao_Geral[[#This Row],[ID Produto]], Tabela_Produtos[ID_Produto],Tabela_Produtos[Descricao_Produto],"Produto não encontrado")</f>
        <v>HD SkyHawk 4TB (CFTV)</v>
      </c>
      <c r="H740" cm="1">
        <f t="array" aca="1" ref="H740" ca="1">IF(
   $O$7="Desbloqueado",
   _xlfn.LET(
     _xlpm.saldo_atual, SUM(($C$2:$C739="Entrada")*($F$2:$F739=Tabela_Movimentacao_Geral[[#This Row],[ID Produto]])*($H$2:$H739) - ($C$2:$C739="Saida")*($F$2:$F739=Tabela_Movimentacao_Geral[[#This Row],[ID Produto]])*($H$2:$H739)),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81</v>
      </c>
      <c r="I740" s="5">
        <f ca="1">_xlfn.XLOOKUP(Tabela_Movimentacao_Geral[[#This Row],[ID Produto]], Tabela_Produtos[ID_Produto],Tabela_Produtos[Preco_Unitario_Venda])</f>
        <v>750</v>
      </c>
      <c r="J740" s="6">
        <f ca="1">Tabela_Movimentacao_Geral[[#This Row],[Quantidade]] * Tabela_Movimentacao_Geral[[#This Row],[Valor Unitário]]</f>
        <v>60750</v>
      </c>
      <c r="K740" t="str">
        <f ca="1">IF(
   $O$7="Desbloqueado",
   CHOOSE(RANDBETWEEN(1,3),"Pago","Pendente","Atrasado"),
   Tabela_Movimentacao_Geral[[#This Row],[Status Financeiro]]
)</f>
        <v>Atrasado</v>
      </c>
      <c r="L740" t="str">
        <f ca="1">IF(
   $O$7="Desbloqueado",
   CHOOSE(RANDBETWEEN(1,3),"Entregue","Em Rota","Aguardando"),
   Tabela_Movimentacao_Geral[[#This Row],[Status Logistico]]
)</f>
        <v>Aguardando</v>
      </c>
      <c r="M74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41" spans="1:13" x14ac:dyDescent="0.3">
      <c r="A741" t="str">
        <f t="shared" si="11"/>
        <v>T0740</v>
      </c>
      <c r="B741" s="1">
        <v>46013</v>
      </c>
      <c r="C741" t="str" cm="1">
        <f t="array" aca="1" ref="C741" ca="1">IF($O$7="Desbloqueado",
  _xlfn.LET(
    _xlpm.saldo_atual, SUM(($C$2:$C740="Entrada")*($F$2:$F740=Tabela_Movimentacao_Geral[[#This Row],[ID Produto]])*($H$2:$H740) - ($C$2:$C740="Saida")*($F$2:$F740=Tabela_Movimentacao_Geral[[#This Row],[ID Produto]])*($H$2:$H740)),
    IF(_xlpm.saldo_atual &gt; 0, IF(RANDBETWEEN(0,10)&gt;3,"Saida","Entrada"), "Entrada")
  ),
  Tabela_Movimentacao_Geral[[#This Row],[Tipo Fluxo]]
)</f>
        <v>Entrada</v>
      </c>
      <c r="D7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7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741" t="str">
        <f ca="1">IF(
  $O$7="Desbloqueado",
  "PROD"&amp;TEXT(RANDBETWEEN(1,200),"000"),
  Tabela_Movimentacao_Geral[[#This Row],[ID Produto]]
)</f>
        <v>PROD168</v>
      </c>
      <c r="G741" t="str">
        <f ca="1">_xlfn.XLOOKUP(Tabela_Movimentacao_Geral[[#This Row],[ID Produto]], Tabela_Produtos[ID_Produto],Tabela_Produtos[Descricao_Produto],"Produto não encontrado")</f>
        <v>Pasta Catalogo 50 Envelopes</v>
      </c>
      <c r="H741" cm="1">
        <f t="array" aca="1" ref="H741" ca="1">IF(
   $O$7="Desbloqueado",
   _xlfn.LET(
     _xlpm.saldo_atual, SUM(($C$2:$C740="Entrada")*($F$2:$F740=Tabela_Movimentacao_Geral[[#This Row],[ID Produto]])*($H$2:$H740) - ($C$2:$C740="Saida")*($F$2:$F740=Tabela_Movimentacao_Geral[[#This Row],[ID Produto]])*($H$2:$H740)),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120</v>
      </c>
      <c r="I741" s="5">
        <f ca="1">_xlfn.XLOOKUP(Tabela_Movimentacao_Geral[[#This Row],[ID Produto]], Tabela_Produtos[ID_Produto],Tabela_Produtos[Preco_Unitario_Venda])</f>
        <v>45</v>
      </c>
      <c r="J741" s="6">
        <f ca="1">Tabela_Movimentacao_Geral[[#This Row],[Quantidade]] * Tabela_Movimentacao_Geral[[#This Row],[Valor Unitário]]</f>
        <v>5400</v>
      </c>
      <c r="K741" t="str">
        <f ca="1">IF(
   $O$7="Desbloqueado",
   CHOOSE(RANDBETWEEN(1,3),"Pago","Pendente","Atrasado"),
   Tabela_Movimentacao_Geral[[#This Row],[Status Financeiro]]
)</f>
        <v>Pendente</v>
      </c>
      <c r="L741" t="str">
        <f ca="1">IF(
   $O$7="Desbloqueado",
   CHOOSE(RANDBETWEEN(1,3),"Entregue","Em Rota","Aguardando"),
   Tabela_Movimentacao_Geral[[#This Row],[Status Logistico]]
)</f>
        <v>Entregue</v>
      </c>
      <c r="M74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46015</v>
      </c>
    </row>
    <row r="742" spans="1:13" x14ac:dyDescent="0.3">
      <c r="A742" t="str">
        <f t="shared" si="11"/>
        <v>T0741</v>
      </c>
      <c r="B742" s="1">
        <v>46013</v>
      </c>
      <c r="C742" t="str" cm="1">
        <f t="array" aca="1" ref="C742" ca="1">IF($O$7="Desbloqueado",
  _xlfn.LET(
    _xlpm.saldo_atual, SUM(($C$2:$C741="Entrada")*($F$2:$F741=Tabela_Movimentacao_Geral[[#This Row],[ID Produto]])*($H$2:$H741) - ($C$2:$C741="Saida")*($F$2:$F741=Tabela_Movimentacao_Geral[[#This Row],[ID Produto]])*($H$2:$H741)),
    IF(_xlpm.saldo_atual &gt; 0, IF(RANDBETWEEN(0,10)&gt;3,"Saida","Entrada"), "Entrada")
  ),
  Tabela_Movimentacao_Geral[[#This Row],[Tipo Fluxo]]
)</f>
        <v>Entrada</v>
      </c>
      <c r="D7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7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742" t="str">
        <f ca="1">IF(
  $O$7="Desbloqueado",
  "PROD"&amp;TEXT(RANDBETWEEN(1,200),"000"),
  Tabela_Movimentacao_Geral[[#This Row],[ID Produto]]
)</f>
        <v>PROD046</v>
      </c>
      <c r="G742" t="str">
        <f ca="1">_xlfn.XLOOKUP(Tabela_Movimentacao_Geral[[#This Row],[ID Produto]], Tabela_Produtos[ID_Produto],Tabela_Produtos[Descricao_Produto],"Produto não encontrado")</f>
        <v>Organizador de Cabos Spiral</v>
      </c>
      <c r="H742" cm="1">
        <f t="array" aca="1" ref="H742" ca="1">IF(
   $O$7="Desbloqueado",
   _xlfn.LET(
     _xlpm.saldo_atual, SUM(($C$2:$C741="Entrada")*($F$2:$F741=Tabela_Movimentacao_Geral[[#This Row],[ID Produto]])*($H$2:$H741) - ($C$2:$C741="Saida")*($F$2:$F741=Tabela_Movimentacao_Geral[[#This Row],[ID Produto]])*($H$2:$H741)),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123</v>
      </c>
      <c r="I742" s="5">
        <f ca="1">_xlfn.XLOOKUP(Tabela_Movimentacao_Geral[[#This Row],[ID Produto]], Tabela_Produtos[ID_Produto],Tabela_Produtos[Preco_Unitario_Venda])</f>
        <v>15</v>
      </c>
      <c r="J742" s="6">
        <f ca="1">Tabela_Movimentacao_Geral[[#This Row],[Quantidade]] * Tabela_Movimentacao_Geral[[#This Row],[Valor Unitário]]</f>
        <v>1845</v>
      </c>
      <c r="K742" t="str">
        <f ca="1">IF(
   $O$7="Desbloqueado",
   CHOOSE(RANDBETWEEN(1,3),"Pago","Pendente","Atrasado"),
   Tabela_Movimentacao_Geral[[#This Row],[Status Financeiro]]
)</f>
        <v>Pendente</v>
      </c>
      <c r="L742" t="str">
        <f ca="1">IF(
   $O$7="Desbloqueado",
   CHOOSE(RANDBETWEEN(1,3),"Entregue","Em Rota","Aguardando"),
   Tabela_Movimentacao_Geral[[#This Row],[Status Logistico]]
)</f>
        <v>Aguardando</v>
      </c>
      <c r="M74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46015</v>
      </c>
    </row>
    <row r="743" spans="1:13" x14ac:dyDescent="0.3">
      <c r="A743" t="str">
        <f t="shared" si="11"/>
        <v>T0742</v>
      </c>
      <c r="B743" s="1">
        <v>46014</v>
      </c>
      <c r="C743" t="str" cm="1">
        <f t="array" aca="1" ref="C743" ca="1">IF($O$7="Desbloqueado",
  _xlfn.LET(
    _xlpm.saldo_atual, SUM(($C$2:$C742="Entrada")*($F$2:$F742=Tabela_Movimentacao_Geral[[#This Row],[ID Produto]])*($H$2:$H742) - ($C$2:$C742="Saida")*($F$2:$F742=Tabela_Movimentacao_Geral[[#This Row],[ID Produto]])*($H$2:$H742)),
    IF(_xlpm.saldo_atual &gt; 0, IF(RANDBETWEEN(0,10)&gt;3,"Saida","Entrada"), "Entrada")
  ),
  Tabela_Movimentacao_Geral[[#This Row],[Tipo Fluxo]]
)</f>
        <v>Saida</v>
      </c>
      <c r="D7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7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743" t="str">
        <f ca="1">IF(
  $O$7="Desbloqueado",
  "PROD"&amp;TEXT(RANDBETWEEN(1,200),"000"),
  Tabela_Movimentacao_Geral[[#This Row],[ID Produto]]
)</f>
        <v>PROD168</v>
      </c>
      <c r="G743" t="str">
        <f ca="1">_xlfn.XLOOKUP(Tabela_Movimentacao_Geral[[#This Row],[ID Produto]], Tabela_Produtos[ID_Produto],Tabela_Produtos[Descricao_Produto],"Produto não encontrado")</f>
        <v>Pasta Catalogo 50 Envelopes</v>
      </c>
      <c r="H743" cm="1">
        <f t="array" aca="1" ref="H743" ca="1">IF(
   $O$7="Desbloqueado",
   _xlfn.LET(
     _xlpm.saldo_atual, SUM(($C$2:$C742="Entrada")*($F$2:$F742=Tabela_Movimentacao_Geral[[#This Row],[ID Produto]])*($H$2:$H742) - ($C$2:$C742="Saida")*($F$2:$F742=Tabela_Movimentacao_Geral[[#This Row],[ID Produto]])*($H$2:$H742)),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102</v>
      </c>
      <c r="I743" s="5">
        <f ca="1">_xlfn.XLOOKUP(Tabela_Movimentacao_Geral[[#This Row],[ID Produto]], Tabela_Produtos[ID_Produto],Tabela_Produtos[Preco_Unitario_Venda])</f>
        <v>45</v>
      </c>
      <c r="J743" s="6">
        <f ca="1">Tabela_Movimentacao_Geral[[#This Row],[Quantidade]] * Tabela_Movimentacao_Geral[[#This Row],[Valor Unitário]]</f>
        <v>4590</v>
      </c>
      <c r="K743" t="str">
        <f ca="1">IF(
   $O$7="Desbloqueado",
   CHOOSE(RANDBETWEEN(1,3),"Pago","Pendente","Atrasado"),
   Tabela_Movimentacao_Geral[[#This Row],[Status Financeiro]]
)</f>
        <v>Pendente</v>
      </c>
      <c r="L743" t="str">
        <f ca="1">IF(
   $O$7="Desbloqueado",
   CHOOSE(RANDBETWEEN(1,3),"Entregue","Em Rota","Aguardando"),
   Tabela_Movimentacao_Geral[[#This Row],[Status Logistico]]
)</f>
        <v>Aguardando</v>
      </c>
      <c r="M7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44" spans="1:13" x14ac:dyDescent="0.3">
      <c r="A744" t="str">
        <f t="shared" si="11"/>
        <v>T0743</v>
      </c>
      <c r="B744" s="1">
        <v>46015</v>
      </c>
      <c r="C744" t="str" cm="1">
        <f t="array" aca="1" ref="C744" ca="1">IF($O$7="Desbloqueado",
  _xlfn.LET(
    _xlpm.saldo_atual, SUM(($C$2:$C743="Entrada")*($F$2:$F743=Tabela_Movimentacao_Geral[[#This Row],[ID Produto]])*($H$2:$H743) - ($C$2:$C743="Saida")*($F$2:$F743=Tabela_Movimentacao_Geral[[#This Row],[ID Produto]])*($H$2:$H743)),
    IF(_xlpm.saldo_atual &gt; 0, IF(RANDBETWEEN(0,10)&gt;3,"Saida","Entrada"), "Entrada")
  ),
  Tabela_Movimentacao_Geral[[#This Row],[Tipo Fluxo]]
)</f>
        <v>Saida</v>
      </c>
      <c r="D7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7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744" t="str">
        <f ca="1">IF(
  $O$7="Desbloqueado",
  "PROD"&amp;TEXT(RANDBETWEEN(1,200),"000"),
  Tabela_Movimentacao_Geral[[#This Row],[ID Produto]]
)</f>
        <v>PROD176</v>
      </c>
      <c r="G744" t="str">
        <f ca="1">_xlfn.XLOOKUP(Tabela_Movimentacao_Geral[[#This Row],[ID Produto]], Tabela_Produtos[ID_Produto],Tabela_Produtos[Descricao_Produto],"Produto não encontrado")</f>
        <v>Envelope Bolha A4 10un</v>
      </c>
      <c r="H744" cm="1">
        <f t="array" aca="1" ref="H744" ca="1">IF(
   $O$7="Desbloqueado",
   _xlfn.LET(
     _xlpm.saldo_atual, SUM(($C$2:$C743="Entrada")*($F$2:$F743=Tabela_Movimentacao_Geral[[#This Row],[ID Produto]])*($H$2:$H743) - ($C$2:$C743="Saida")*($F$2:$F743=Tabela_Movimentacao_Geral[[#This Row],[ID Produto]])*($H$2:$H743)),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744" s="5">
        <f ca="1">_xlfn.XLOOKUP(Tabela_Movimentacao_Geral[[#This Row],[ID Produto]], Tabela_Produtos[ID_Produto],Tabela_Produtos[Preco_Unitario_Venda])</f>
        <v>35</v>
      </c>
      <c r="J744" s="6">
        <f ca="1">Tabela_Movimentacao_Geral[[#This Row],[Quantidade]] * Tabela_Movimentacao_Geral[[#This Row],[Valor Unitário]]</f>
        <v>420</v>
      </c>
      <c r="K744" t="str">
        <f ca="1">IF(
   $O$7="Desbloqueado",
   CHOOSE(RANDBETWEEN(1,3),"Pago","Pendente","Atrasado"),
   Tabela_Movimentacao_Geral[[#This Row],[Status Financeiro]]
)</f>
        <v>Pago</v>
      </c>
      <c r="L744" t="str">
        <f ca="1">IF(
   $O$7="Desbloqueado",
   CHOOSE(RANDBETWEEN(1,3),"Entregue","Em Rota","Aguardando"),
   Tabela_Movimentacao_Geral[[#This Row],[Status Logistico]]
)</f>
        <v>Em Rota</v>
      </c>
      <c r="M7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45" spans="1:13" x14ac:dyDescent="0.3">
      <c r="A745" t="str">
        <f t="shared" si="11"/>
        <v>T0744</v>
      </c>
      <c r="B745" s="1">
        <v>46015</v>
      </c>
      <c r="C745" t="str" cm="1">
        <f t="array" aca="1" ref="C745" ca="1">IF($O$7="Desbloqueado",
  _xlfn.LET(
    _xlpm.saldo_atual, SUM(($C$2:$C744="Entrada")*($F$2:$F744=Tabela_Movimentacao_Geral[[#This Row],[ID Produto]])*($H$2:$H744) - ($C$2:$C744="Saida")*($F$2:$F744=Tabela_Movimentacao_Geral[[#This Row],[ID Produto]])*($H$2:$H744)),
    IF(_xlpm.saldo_atual &gt; 0, IF(RANDBETWEEN(0,10)&gt;3,"Saida","Entrada"), "Entrada")
  ),
  Tabela_Movimentacao_Geral[[#This Row],[Tipo Fluxo]]
)</f>
        <v>Entrada</v>
      </c>
      <c r="D7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7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745" t="str">
        <f ca="1">IF(
  $O$7="Desbloqueado",
  "PROD"&amp;TEXT(RANDBETWEEN(1,200),"000"),
  Tabela_Movimentacao_Geral[[#This Row],[ID Produto]]
)</f>
        <v>PROD026</v>
      </c>
      <c r="G745" t="str">
        <f ca="1">_xlfn.XLOOKUP(Tabela_Movimentacao_Geral[[#This Row],[ID Produto]], Tabela_Produtos[ID_Produto],Tabela_Produtos[Descricao_Produto],"Produto não encontrado")</f>
        <v>Mousepad Gamer Extra Large</v>
      </c>
      <c r="H745" cm="1">
        <f t="array" aca="1" ref="H745" ca="1">IF(
   $O$7="Desbloqueado",
   _xlfn.LET(
     _xlpm.saldo_atual, SUM(($C$2:$C744="Entrada")*($F$2:$F744=Tabela_Movimentacao_Geral[[#This Row],[ID Produto]])*($H$2:$H744) - ($C$2:$C744="Saida")*($F$2:$F744=Tabela_Movimentacao_Geral[[#This Row],[ID Produto]])*($H$2:$H744)),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122</v>
      </c>
      <c r="I745" s="5">
        <f ca="1">_xlfn.XLOOKUP(Tabela_Movimentacao_Geral[[#This Row],[ID Produto]], Tabela_Produtos[ID_Produto],Tabela_Produtos[Preco_Unitario_Venda])</f>
        <v>85</v>
      </c>
      <c r="J745" s="6">
        <f ca="1">Tabela_Movimentacao_Geral[[#This Row],[Quantidade]] * Tabela_Movimentacao_Geral[[#This Row],[Valor Unitário]]</f>
        <v>10370</v>
      </c>
      <c r="K745" t="str">
        <f ca="1">IF(
   $O$7="Desbloqueado",
   CHOOSE(RANDBETWEEN(1,3),"Pago","Pendente","Atrasado"),
   Tabela_Movimentacao_Geral[[#This Row],[Status Financeiro]]
)</f>
        <v>Atrasado</v>
      </c>
      <c r="L745" t="str">
        <f ca="1">IF(
   $O$7="Desbloqueado",
   CHOOSE(RANDBETWEEN(1,3),"Entregue","Em Rota","Aguardando"),
   Tabela_Movimentacao_Geral[[#This Row],[Status Logistico]]
)</f>
        <v>Entregue</v>
      </c>
      <c r="M74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46019</v>
      </c>
    </row>
    <row r="746" spans="1:13" x14ac:dyDescent="0.3">
      <c r="A746" t="str">
        <f t="shared" si="11"/>
        <v>T0745</v>
      </c>
      <c r="B746" s="1">
        <v>46016</v>
      </c>
      <c r="C746" t="str" cm="1">
        <f t="array" aca="1" ref="C746" ca="1">IF($O$7="Desbloqueado",
  _xlfn.LET(
    _xlpm.saldo_atual, SUM(($C$2:$C745="Entrada")*($F$2:$F745=Tabela_Movimentacao_Geral[[#This Row],[ID Produto]])*($H$2:$H745) - ($C$2:$C745="Saida")*($F$2:$F745=Tabela_Movimentacao_Geral[[#This Row],[ID Produto]])*($H$2:$H745)),
    IF(_xlpm.saldo_atual &gt; 0, IF(RANDBETWEEN(0,10)&gt;3,"Saida","Entrada"), "Entrada")
  ),
  Tabela_Movimentacao_Geral[[#This Row],[Tipo Fluxo]]
)</f>
        <v>Saida</v>
      </c>
      <c r="D7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7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746" t="str">
        <f ca="1">IF(
  $O$7="Desbloqueado",
  "PROD"&amp;TEXT(RANDBETWEEN(1,200),"000"),
  Tabela_Movimentacao_Geral[[#This Row],[ID Produto]]
)</f>
        <v>PROD048</v>
      </c>
      <c r="G746" t="str">
        <f ca="1">_xlfn.XLOOKUP(Tabela_Movimentacao_Geral[[#This Row],[ID Produto]], Tabela_Produtos[ID_Produto],Tabela_Produtos[Descricao_Produto],"Produto não encontrado")</f>
        <v>Fita para Etiquetadora</v>
      </c>
      <c r="H746" cm="1">
        <f t="array" aca="1" ref="H746" ca="1">IF(
   $O$7="Desbloqueado",
   _xlfn.LET(
     _xlpm.saldo_atual, SUM(($C$2:$C745="Entrada")*($F$2:$F745=Tabela_Movimentacao_Geral[[#This Row],[ID Produto]])*($H$2:$H745) - ($C$2:$C745="Saida")*($F$2:$F745=Tabela_Movimentacao_Geral[[#This Row],[ID Produto]])*($H$2:$H745)),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746" s="5">
        <f ca="1">_xlfn.XLOOKUP(Tabela_Movimentacao_Geral[[#This Row],[ID Produto]], Tabela_Produtos[ID_Produto],Tabela_Produtos[Preco_Unitario_Venda])</f>
        <v>55</v>
      </c>
      <c r="J746" s="6">
        <f ca="1">Tabela_Movimentacao_Geral[[#This Row],[Quantidade]] * Tabela_Movimentacao_Geral[[#This Row],[Valor Unitário]]</f>
        <v>4345</v>
      </c>
      <c r="K746" t="str">
        <f ca="1">IF(
   $O$7="Desbloqueado",
   CHOOSE(RANDBETWEEN(1,3),"Pago","Pendente","Atrasado"),
   Tabela_Movimentacao_Geral[[#This Row],[Status Financeiro]]
)</f>
        <v>Pago</v>
      </c>
      <c r="L746" t="str">
        <f ca="1">IF(
   $O$7="Desbloqueado",
   CHOOSE(RANDBETWEEN(1,3),"Entregue","Em Rota","Aguardando"),
   Tabela_Movimentacao_Geral[[#This Row],[Status Logistico]]
)</f>
        <v>Aguardando</v>
      </c>
      <c r="M74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47" spans="1:13" x14ac:dyDescent="0.3">
      <c r="A747" t="str">
        <f t="shared" si="11"/>
        <v>T0746</v>
      </c>
      <c r="B747" s="1">
        <v>46016</v>
      </c>
      <c r="C747" t="str" cm="1">
        <f t="array" aca="1" ref="C747" ca="1">IF($O$7="Desbloqueado",
  _xlfn.LET(
    _xlpm.saldo_atual, SUM(($C$2:$C746="Entrada")*($F$2:$F746=Tabela_Movimentacao_Geral[[#This Row],[ID Produto]])*($H$2:$H746) - ($C$2:$C746="Saida")*($F$2:$F746=Tabela_Movimentacao_Geral[[#This Row],[ID Produto]])*($H$2:$H746)),
    IF(_xlpm.saldo_atual &gt; 0, IF(RANDBETWEEN(0,10)&gt;3,"Saida","Entrada"), "Entrada")
  ),
  Tabela_Movimentacao_Geral[[#This Row],[Tipo Fluxo]]
)</f>
        <v>Saida</v>
      </c>
      <c r="D7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47" t="str">
        <f ca="1">IF(
  $O$7="Desbloqueado",
  "PROD"&amp;TEXT(RANDBETWEEN(1,200),"000"),
  Tabela_Movimentacao_Geral[[#This Row],[ID Produto]]
)</f>
        <v>PROD071</v>
      </c>
      <c r="G747" t="str">
        <f ca="1">_xlfn.XLOOKUP(Tabela_Movimentacao_Geral[[#This Row],[ID Produto]], Tabela_Produtos[ID_Produto],Tabela_Produtos[Descricao_Produto],"Produto não encontrado")</f>
        <v>Bloco Auto-Adesivo 76x76</v>
      </c>
      <c r="H747" cm="1">
        <f t="array" aca="1" ref="H747" ca="1">IF(
   $O$7="Desbloqueado",
   _xlfn.LET(
     _xlpm.saldo_atual, SUM(($C$2:$C746="Entrada")*($F$2:$F746=Tabela_Movimentacao_Geral[[#This Row],[ID Produto]])*($H$2:$H746) - ($C$2:$C746="Saida")*($F$2:$F746=Tabela_Movimentacao_Geral[[#This Row],[ID Produto]])*($H$2:$H746)),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164</v>
      </c>
      <c r="I747" s="5">
        <f ca="1">_xlfn.XLOOKUP(Tabela_Movimentacao_Geral[[#This Row],[ID Produto]], Tabela_Produtos[ID_Produto],Tabela_Produtos[Preco_Unitario_Venda])</f>
        <v>8.5</v>
      </c>
      <c r="J747" s="6">
        <f ca="1">Tabela_Movimentacao_Geral[[#This Row],[Quantidade]] * Tabela_Movimentacao_Geral[[#This Row],[Valor Unitário]]</f>
        <v>1394</v>
      </c>
      <c r="K747" t="str">
        <f ca="1">IF(
   $O$7="Desbloqueado",
   CHOOSE(RANDBETWEEN(1,3),"Pago","Pendente","Atrasado"),
   Tabela_Movimentacao_Geral[[#This Row],[Status Financeiro]]
)</f>
        <v>Pendente</v>
      </c>
      <c r="L747" t="str">
        <f ca="1">IF(
   $O$7="Desbloqueado",
   CHOOSE(RANDBETWEEN(1,3),"Entregue","Em Rota","Aguardando"),
   Tabela_Movimentacao_Geral[[#This Row],[Status Logistico]]
)</f>
        <v>Entregue</v>
      </c>
      <c r="M74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48" spans="1:13" x14ac:dyDescent="0.3">
      <c r="A748" t="str">
        <f t="shared" si="11"/>
        <v>T0747</v>
      </c>
      <c r="B748" s="1">
        <v>46016</v>
      </c>
      <c r="C748" t="str" cm="1">
        <f t="array" aca="1" ref="C748" ca="1">IF($O$7="Desbloqueado",
  _xlfn.LET(
    _xlpm.saldo_atual, SUM(($C$2:$C747="Entrada")*($F$2:$F747=Tabela_Movimentacao_Geral[[#This Row],[ID Produto]])*($H$2:$H747) - ($C$2:$C747="Saida")*($F$2:$F747=Tabela_Movimentacao_Geral[[#This Row],[ID Produto]])*($H$2:$H747)),
    IF(_xlpm.saldo_atual &gt; 0, IF(RANDBETWEEN(0,10)&gt;3,"Saida","Entrada"), "Entrada")
  ),
  Tabela_Movimentacao_Geral[[#This Row],[Tipo Fluxo]]
)</f>
        <v>Saida</v>
      </c>
      <c r="D7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48" t="str">
        <f ca="1">IF(
  $O$7="Desbloqueado",
  "PROD"&amp;TEXT(RANDBETWEEN(1,200),"000"),
  Tabela_Movimentacao_Geral[[#This Row],[ID Produto]]
)</f>
        <v>PROD194</v>
      </c>
      <c r="G748" t="str">
        <f ca="1">_xlfn.XLOOKUP(Tabela_Movimentacao_Geral[[#This Row],[ID Produto]], Tabela_Produtos[ID_Produto],Tabela_Produtos[Descricao_Produto],"Produto não encontrado")</f>
        <v>Patch Cord Cat6a 2m</v>
      </c>
      <c r="H748" cm="1">
        <f t="array" aca="1" ref="H748" ca="1">IF(
   $O$7="Desbloqueado",
   _xlfn.LET(
     _xlpm.saldo_atual, SUM(($C$2:$C747="Entrada")*($F$2:$F747=Tabela_Movimentacao_Geral[[#This Row],[ID Produto]])*($H$2:$H747) - ($C$2:$C747="Saida")*($F$2:$F747=Tabela_Movimentacao_Geral[[#This Row],[ID Produto]])*($H$2:$H747)),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82</v>
      </c>
      <c r="I748" s="5">
        <f ca="1">_xlfn.XLOOKUP(Tabela_Movimentacao_Geral[[#This Row],[ID Produto]], Tabela_Produtos[ID_Produto],Tabela_Produtos[Preco_Unitario_Venda])</f>
        <v>35</v>
      </c>
      <c r="J748" s="6">
        <f ca="1">Tabela_Movimentacao_Geral[[#This Row],[Quantidade]] * Tabela_Movimentacao_Geral[[#This Row],[Valor Unitário]]</f>
        <v>2870</v>
      </c>
      <c r="K748" t="str">
        <f ca="1">IF(
   $O$7="Desbloqueado",
   CHOOSE(RANDBETWEEN(1,3),"Pago","Pendente","Atrasado"),
   Tabela_Movimentacao_Geral[[#This Row],[Status Financeiro]]
)</f>
        <v>Pendente</v>
      </c>
      <c r="L748" t="str">
        <f ca="1">IF(
   $O$7="Desbloqueado",
   CHOOSE(RANDBETWEEN(1,3),"Entregue","Em Rota","Aguardando"),
   Tabela_Movimentacao_Geral[[#This Row],[Status Logistico]]
)</f>
        <v>Aguardando</v>
      </c>
      <c r="M74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49" spans="1:13" x14ac:dyDescent="0.3">
      <c r="A749" t="str">
        <f t="shared" si="11"/>
        <v>T0748</v>
      </c>
      <c r="B749" s="1">
        <v>46016</v>
      </c>
      <c r="C749" t="str" cm="1">
        <f t="array" aca="1" ref="C749" ca="1">IF($O$7="Desbloqueado",
  _xlfn.LET(
    _xlpm.saldo_atual, SUM(($C$2:$C748="Entrada")*($F$2:$F748=Tabela_Movimentacao_Geral[[#This Row],[ID Produto]])*($H$2:$H748) - ($C$2:$C748="Saida")*($F$2:$F748=Tabela_Movimentacao_Geral[[#This Row],[ID Produto]])*($H$2:$H748)),
    IF(_xlpm.saldo_atual &gt; 0, IF(RANDBETWEEN(0,10)&gt;3,"Saida","Entrada"), "Entrada")
  ),
  Tabela_Movimentacao_Geral[[#This Row],[Tipo Fluxo]]
)</f>
        <v>Entrada</v>
      </c>
      <c r="D7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7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749" t="str">
        <f ca="1">IF(
  $O$7="Desbloqueado",
  "PROD"&amp;TEXT(RANDBETWEEN(1,200),"000"),
  Tabela_Movimentacao_Geral[[#This Row],[ID Produto]]
)</f>
        <v>PROD014</v>
      </c>
      <c r="G749" t="str">
        <f ca="1">_xlfn.XLOOKUP(Tabela_Movimentacao_Geral[[#This Row],[ID Produto]], Tabela_Produtos[ID_Produto],Tabela_Produtos[Descricao_Produto],"Produto não encontrado")</f>
        <v>Roteador Wi-Fi 6</v>
      </c>
      <c r="H749" cm="1">
        <f t="array" aca="1" ref="H749" ca="1">IF(
   $O$7="Desbloqueado",
   _xlfn.LET(
     _xlpm.saldo_atual, SUM(($C$2:$C748="Entrada")*($F$2:$F748=Tabela_Movimentacao_Geral[[#This Row],[ID Produto]])*($H$2:$H748) - ($C$2:$C748="Saida")*($F$2:$F748=Tabela_Movimentacao_Geral[[#This Row],[ID Produto]])*($H$2:$H748)),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749" s="5">
        <f ca="1">_xlfn.XLOOKUP(Tabela_Movimentacao_Geral[[#This Row],[ID Produto]], Tabela_Produtos[ID_Produto],Tabela_Produtos[Preco_Unitario_Venda])</f>
        <v>650</v>
      </c>
      <c r="J749" s="6">
        <f ca="1">Tabela_Movimentacao_Geral[[#This Row],[Quantidade]] * Tabela_Movimentacao_Geral[[#This Row],[Valor Unitário]]</f>
        <v>3900</v>
      </c>
      <c r="K749" t="str">
        <f ca="1">IF(
   $O$7="Desbloqueado",
   CHOOSE(RANDBETWEEN(1,3),"Pago","Pendente","Atrasado"),
   Tabela_Movimentacao_Geral[[#This Row],[Status Financeiro]]
)</f>
        <v>Atrasado</v>
      </c>
      <c r="L749" t="str">
        <f ca="1">IF(
   $O$7="Desbloqueado",
   CHOOSE(RANDBETWEEN(1,3),"Entregue","Em Rota","Aguardando"),
   Tabela_Movimentacao_Geral[[#This Row],[Status Logistico]]
)</f>
        <v>Entregue</v>
      </c>
      <c r="M74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46023</v>
      </c>
    </row>
    <row r="750" spans="1:13" x14ac:dyDescent="0.3">
      <c r="A750" t="str">
        <f t="shared" si="11"/>
        <v>T0749</v>
      </c>
      <c r="B750" s="1">
        <v>46017</v>
      </c>
      <c r="C750" t="str" cm="1">
        <f t="array" aca="1" ref="C750" ca="1">IF($O$7="Desbloqueado",
  _xlfn.LET(
    _xlpm.saldo_atual, SUM(($C$2:$C749="Entrada")*($F$2:$F749=Tabela_Movimentacao_Geral[[#This Row],[ID Produto]])*($H$2:$H749) - ($C$2:$C749="Saida")*($F$2:$F749=Tabela_Movimentacao_Geral[[#This Row],[ID Produto]])*($H$2:$H749)),
    IF(_xlpm.saldo_atual &gt; 0, IF(RANDBETWEEN(0,10)&gt;3,"Saida","Entrada"), "Entrada")
  ),
  Tabela_Movimentacao_Geral[[#This Row],[Tipo Fluxo]]
)</f>
        <v>Saida</v>
      </c>
      <c r="D7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7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750" t="str">
        <f ca="1">IF(
  $O$7="Desbloqueado",
  "PROD"&amp;TEXT(RANDBETWEEN(1,200),"000"),
  Tabela_Movimentacao_Geral[[#This Row],[ID Produto]]
)</f>
        <v>PROD152</v>
      </c>
      <c r="G750" t="str">
        <f ca="1">_xlfn.XLOOKUP(Tabela_Movimentacao_Geral[[#This Row],[ID Produto]], Tabela_Produtos[ID_Produto],Tabela_Produtos[Descricao_Produto],"Produto não encontrado")</f>
        <v>Bloco de Notas Espiral</v>
      </c>
      <c r="H750" cm="1">
        <f t="array" aca="1" ref="H750" ca="1">IF(
   $O$7="Desbloqueado",
   _xlfn.LET(
     _xlpm.saldo_atual, SUM(($C$2:$C749="Entrada")*($F$2:$F749=Tabela_Movimentacao_Geral[[#This Row],[ID Produto]])*($H$2:$H749) - ($C$2:$C749="Saida")*($F$2:$F749=Tabela_Movimentacao_Geral[[#This Row],[ID Produto]])*($H$2:$H749)),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750" s="5">
        <f ca="1">_xlfn.XLOOKUP(Tabela_Movimentacao_Geral[[#This Row],[ID Produto]], Tabela_Produtos[ID_Produto],Tabela_Produtos[Preco_Unitario_Venda])</f>
        <v>12</v>
      </c>
      <c r="J750" s="6">
        <f ca="1">Tabela_Movimentacao_Geral[[#This Row],[Quantidade]] * Tabela_Movimentacao_Geral[[#This Row],[Valor Unitário]]</f>
        <v>24</v>
      </c>
      <c r="K750" t="str">
        <f ca="1">IF(
   $O$7="Desbloqueado",
   CHOOSE(RANDBETWEEN(1,3),"Pago","Pendente","Atrasado"),
   Tabela_Movimentacao_Geral[[#This Row],[Status Financeiro]]
)</f>
        <v>Atrasado</v>
      </c>
      <c r="L750" t="str">
        <f ca="1">IF(
   $O$7="Desbloqueado",
   CHOOSE(RANDBETWEEN(1,3),"Entregue","Em Rota","Aguardando"),
   Tabela_Movimentacao_Geral[[#This Row],[Status Logistico]]
)</f>
        <v>Aguardando</v>
      </c>
      <c r="M75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51" spans="1:13" x14ac:dyDescent="0.3">
      <c r="A751" t="str">
        <f t="shared" si="11"/>
        <v>T0750</v>
      </c>
      <c r="B751" s="1">
        <v>46018</v>
      </c>
      <c r="C751" t="str" cm="1">
        <f t="array" aca="1" ref="C751" ca="1">IF($O$7="Desbloqueado",
  _xlfn.LET(
    _xlpm.saldo_atual, SUM(($C$2:$C750="Entrada")*($F$2:$F750=Tabela_Movimentacao_Geral[[#This Row],[ID Produto]])*($H$2:$H750) - ($C$2:$C750="Saida")*($F$2:$F750=Tabela_Movimentacao_Geral[[#This Row],[ID Produto]])*($H$2:$H750)),
    IF(_xlpm.saldo_atual &gt; 0, IF(RANDBETWEEN(0,10)&gt;3,"Saida","Entrada"), "Entrada")
  ),
  Tabela_Movimentacao_Geral[[#This Row],[Tipo Fluxo]]
)</f>
        <v>Entrada</v>
      </c>
      <c r="D7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7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751" t="str">
        <f ca="1">IF(
  $O$7="Desbloqueado",
  "PROD"&amp;TEXT(RANDBETWEEN(1,200),"000"),
  Tabela_Movimentacao_Geral[[#This Row],[ID Produto]]
)</f>
        <v>PROD136</v>
      </c>
      <c r="G751" t="str">
        <f ca="1">_xlfn.XLOOKUP(Tabela_Movimentacao_Geral[[#This Row],[ID Produto]], Tabela_Produtos[ID_Produto],Tabela_Produtos[Descricao_Produto],"Produto não encontrado")</f>
        <v>Gabinete ATX Mid Tower</v>
      </c>
      <c r="H751" cm="1">
        <f t="array" aca="1" ref="H751" ca="1">IF(
   $O$7="Desbloqueado",
   _xlfn.LET(
     _xlpm.saldo_atual, SUM(($C$2:$C750="Entrada")*($F$2:$F750=Tabela_Movimentacao_Geral[[#This Row],[ID Produto]])*($H$2:$H750) - ($C$2:$C750="Saida")*($F$2:$F750=Tabela_Movimentacao_Geral[[#This Row],[ID Produto]])*($H$2:$H750)),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751" s="5">
        <f ca="1">_xlfn.XLOOKUP(Tabela_Movimentacao_Geral[[#This Row],[ID Produto]], Tabela_Produtos[ID_Produto],Tabela_Produtos[Preco_Unitario_Venda])</f>
        <v>350</v>
      </c>
      <c r="J751" s="6">
        <f ca="1">Tabela_Movimentacao_Geral[[#This Row],[Quantidade]] * Tabela_Movimentacao_Geral[[#This Row],[Valor Unitário]]</f>
        <v>15050</v>
      </c>
      <c r="K751" t="str">
        <f ca="1">IF(
   $O$7="Desbloqueado",
   CHOOSE(RANDBETWEEN(1,3),"Pago","Pendente","Atrasado"),
   Tabela_Movimentacao_Geral[[#This Row],[Status Financeiro]]
)</f>
        <v>Pago</v>
      </c>
      <c r="L751" t="str">
        <f ca="1">IF(
   $O$7="Desbloqueado",
   CHOOSE(RANDBETWEEN(1,3),"Entregue","Em Rota","Aguardando"),
   Tabela_Movimentacao_Geral[[#This Row],[Status Logistico]]
)</f>
        <v>Entregue</v>
      </c>
      <c r="M75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46020</v>
      </c>
    </row>
    <row r="752" spans="1:13" x14ac:dyDescent="0.3">
      <c r="A752" t="str">
        <f t="shared" si="11"/>
        <v>T0751</v>
      </c>
      <c r="B752" s="1">
        <v>46019</v>
      </c>
      <c r="C752" t="str" cm="1">
        <f t="array" aca="1" ref="C752" ca="1">IF($O$7="Desbloqueado",
  _xlfn.LET(
    _xlpm.saldo_atual, SUM(($C$2:$C751="Entrada")*($F$2:$F751=Tabela_Movimentacao_Geral[[#This Row],[ID Produto]])*($H$2:$H751) - ($C$2:$C751="Saida")*($F$2:$F751=Tabela_Movimentacao_Geral[[#This Row],[ID Produto]])*($H$2:$H751)),
    IF(_xlpm.saldo_atual &gt; 0, IF(RANDBETWEEN(0,10)&gt;3,"Saida","Entrada"), "Entrada")
  ),
  Tabela_Movimentacao_Geral[[#This Row],[Tipo Fluxo]]
)</f>
        <v>Saida</v>
      </c>
      <c r="D7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7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752" t="str">
        <f ca="1">IF(
  $O$7="Desbloqueado",
  "PROD"&amp;TEXT(RANDBETWEEN(1,200),"000"),
  Tabela_Movimentacao_Geral[[#This Row],[ID Produto]]
)</f>
        <v>PROD195</v>
      </c>
      <c r="G752" t="str">
        <f ca="1">_xlfn.XLOOKUP(Tabela_Movimentacao_Geral[[#This Row],[ID Produto]], Tabela_Produtos[ID_Produto],Tabela_Produtos[Descricao_Produto],"Produto não encontrado")</f>
        <v>Terminador Optico</v>
      </c>
      <c r="H752" cm="1">
        <f t="array" aca="1" ref="H752" ca="1">IF(
   $O$7="Desbloqueado",
   _xlfn.LET(
     _xlpm.saldo_atual, SUM(($C$2:$C751="Entrada")*($F$2:$F751=Tabela_Movimentacao_Geral[[#This Row],[ID Produto]])*($H$2:$H751) - ($C$2:$C751="Saida")*($F$2:$F751=Tabela_Movimentacao_Geral[[#This Row],[ID Produto]])*($H$2:$H751)),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51</v>
      </c>
      <c r="I752" s="5">
        <f ca="1">_xlfn.XLOOKUP(Tabela_Movimentacao_Geral[[#This Row],[ID Produto]], Tabela_Produtos[ID_Produto],Tabela_Produtos[Preco_Unitario_Venda])</f>
        <v>120</v>
      </c>
      <c r="J752" s="6">
        <f ca="1">Tabela_Movimentacao_Geral[[#This Row],[Quantidade]] * Tabela_Movimentacao_Geral[[#This Row],[Valor Unitário]]</f>
        <v>6120</v>
      </c>
      <c r="K752" t="str">
        <f ca="1">IF(
   $O$7="Desbloqueado",
   CHOOSE(RANDBETWEEN(1,3),"Pago","Pendente","Atrasado"),
   Tabela_Movimentacao_Geral[[#This Row],[Status Financeiro]]
)</f>
        <v>Pendente</v>
      </c>
      <c r="L752" t="str">
        <f ca="1">IF(
   $O$7="Desbloqueado",
   CHOOSE(RANDBETWEEN(1,3),"Entregue","Em Rota","Aguardando"),
   Tabela_Movimentacao_Geral[[#This Row],[Status Logistico]]
)</f>
        <v>Aguardando</v>
      </c>
      <c r="M7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53" spans="1:13" x14ac:dyDescent="0.3">
      <c r="A753" t="str">
        <f t="shared" si="11"/>
        <v>T0752</v>
      </c>
      <c r="B753" s="1">
        <v>46019</v>
      </c>
      <c r="C753" t="str" cm="1">
        <f t="array" aca="1" ref="C753" ca="1">IF($O$7="Desbloqueado",
  _xlfn.LET(
    _xlpm.saldo_atual, SUM(($C$2:$C752="Entrada")*($F$2:$F752=Tabela_Movimentacao_Geral[[#This Row],[ID Produto]])*($H$2:$H752) - ($C$2:$C752="Saida")*($F$2:$F752=Tabela_Movimentacao_Geral[[#This Row],[ID Produto]])*($H$2:$H752)),
    IF(_xlpm.saldo_atual &gt; 0, IF(RANDBETWEEN(0,10)&gt;3,"Saida","Entrada"), "Entrada")
  ),
  Tabela_Movimentacao_Geral[[#This Row],[Tipo Fluxo]]
)</f>
        <v>Entrada</v>
      </c>
      <c r="D7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7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753" t="str">
        <f ca="1">IF(
  $O$7="Desbloqueado",
  "PROD"&amp;TEXT(RANDBETWEEN(1,200),"000"),
  Tabela_Movimentacao_Geral[[#This Row],[ID Produto]]
)</f>
        <v>PROD090</v>
      </c>
      <c r="G753" t="str">
        <f ca="1">_xlfn.XLOOKUP(Tabela_Movimentacao_Geral[[#This Row],[ID Produto]], Tabela_Produtos[ID_Produto],Tabela_Produtos[Descricao_Produto],"Produto não encontrado")</f>
        <v>Bandeja Fixa para Rack</v>
      </c>
      <c r="H753" cm="1">
        <f t="array" aca="1" ref="H753" ca="1">IF(
   $O$7="Desbloqueado",
   _xlfn.LET(
     _xlpm.saldo_atual, SUM(($C$2:$C752="Entrada")*($F$2:$F752=Tabela_Movimentacao_Geral[[#This Row],[ID Produto]])*($H$2:$H752) - ($C$2:$C752="Saida")*($F$2:$F752=Tabela_Movimentacao_Geral[[#This Row],[ID Produto]])*($H$2:$H752)),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93</v>
      </c>
      <c r="I753" s="5">
        <f ca="1">_xlfn.XLOOKUP(Tabela_Movimentacao_Geral[[#This Row],[ID Produto]], Tabela_Produtos[ID_Produto],Tabela_Produtos[Preco_Unitario_Venda])</f>
        <v>140</v>
      </c>
      <c r="J753" s="6">
        <f ca="1">Tabela_Movimentacao_Geral[[#This Row],[Quantidade]] * Tabela_Movimentacao_Geral[[#This Row],[Valor Unitário]]</f>
        <v>13020</v>
      </c>
      <c r="K753" t="str">
        <f ca="1">IF(
   $O$7="Desbloqueado",
   CHOOSE(RANDBETWEEN(1,3),"Pago","Pendente","Atrasado"),
   Tabela_Movimentacao_Geral[[#This Row],[Status Financeiro]]
)</f>
        <v>Atrasado</v>
      </c>
      <c r="L753" t="str">
        <f ca="1">IF(
   $O$7="Desbloqueado",
   CHOOSE(RANDBETWEEN(1,3),"Entregue","Em Rota","Aguardando"),
   Tabela_Movimentacao_Geral[[#This Row],[Status Logistico]]
)</f>
        <v>Em Rota</v>
      </c>
      <c r="M75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46020</v>
      </c>
    </row>
    <row r="754" spans="1:13" x14ac:dyDescent="0.3">
      <c r="A754" t="str">
        <f t="shared" si="11"/>
        <v>T0753</v>
      </c>
      <c r="B754" s="1">
        <v>46019</v>
      </c>
      <c r="C754" t="str" cm="1">
        <f t="array" aca="1" ref="C754" ca="1">IF($O$7="Desbloqueado",
  _xlfn.LET(
    _xlpm.saldo_atual, SUM(($C$2:$C753="Entrada")*($F$2:$F753=Tabela_Movimentacao_Geral[[#This Row],[ID Produto]])*($H$2:$H753) - ($C$2:$C753="Saida")*($F$2:$F753=Tabela_Movimentacao_Geral[[#This Row],[ID Produto]])*($H$2:$H753)),
    IF(_xlpm.saldo_atual &gt; 0, IF(RANDBETWEEN(0,10)&gt;3,"Saida","Entrada"), "Entrada")
  ),
  Tabela_Movimentacao_Geral[[#This Row],[Tipo Fluxo]]
)</f>
        <v>Entrada</v>
      </c>
      <c r="D7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7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754" t="str">
        <f ca="1">IF(
  $O$7="Desbloqueado",
  "PROD"&amp;TEXT(RANDBETWEEN(1,200),"000"),
  Tabela_Movimentacao_Geral[[#This Row],[ID Produto]]
)</f>
        <v>PROD130</v>
      </c>
      <c r="G754" t="str">
        <f ca="1">_xlfn.XLOOKUP(Tabela_Movimentacao_Geral[[#This Row],[ID Produto]], Tabela_Produtos[ID_Produto],Tabela_Produtos[Descricao_Produto],"Produto não encontrado")</f>
        <v>Maleta Rigida Notebook</v>
      </c>
      <c r="H754" cm="1">
        <f t="array" aca="1" ref="H754" ca="1">IF(
   $O$7="Desbloqueado",
   _xlfn.LET(
     _xlpm.saldo_atual, SUM(($C$2:$C753="Entrada")*($F$2:$F753=Tabela_Movimentacao_Geral[[#This Row],[ID Produto]])*($H$2:$H753) - ($C$2:$C753="Saida")*($F$2:$F753=Tabela_Movimentacao_Geral[[#This Row],[ID Produto]])*($H$2:$H753)),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95</v>
      </c>
      <c r="I754" s="5">
        <f ca="1">_xlfn.XLOOKUP(Tabela_Movimentacao_Geral[[#This Row],[ID Produto]], Tabela_Produtos[ID_Produto],Tabela_Produtos[Preco_Unitario_Venda])</f>
        <v>380</v>
      </c>
      <c r="J754" s="6">
        <f ca="1">Tabela_Movimentacao_Geral[[#This Row],[Quantidade]] * Tabela_Movimentacao_Geral[[#This Row],[Valor Unitário]]</f>
        <v>36100</v>
      </c>
      <c r="K754" t="str">
        <f ca="1">IF(
   $O$7="Desbloqueado",
   CHOOSE(RANDBETWEEN(1,3),"Pago","Pendente","Atrasado"),
   Tabela_Movimentacao_Geral[[#This Row],[Status Financeiro]]
)</f>
        <v>Atrasado</v>
      </c>
      <c r="L754" t="str">
        <f ca="1">IF(
   $O$7="Desbloqueado",
   CHOOSE(RANDBETWEEN(1,3),"Entregue","Em Rota","Aguardando"),
   Tabela_Movimentacao_Geral[[#This Row],[Status Logistico]]
)</f>
        <v>Em Rota</v>
      </c>
      <c r="M75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46034</v>
      </c>
    </row>
    <row r="755" spans="1:13" x14ac:dyDescent="0.3">
      <c r="A755" t="str">
        <f t="shared" si="11"/>
        <v>T0754</v>
      </c>
      <c r="B755" s="1">
        <v>46020</v>
      </c>
      <c r="C755" t="str" cm="1">
        <f t="array" aca="1" ref="C755" ca="1">IF($O$7="Desbloqueado",
  _xlfn.LET(
    _xlpm.saldo_atual, SUM(($C$2:$C754="Entrada")*($F$2:$F754=Tabela_Movimentacao_Geral[[#This Row],[ID Produto]])*($H$2:$H754) - ($C$2:$C754="Saida")*($F$2:$F754=Tabela_Movimentacao_Geral[[#This Row],[ID Produto]])*($H$2:$H754)),
    IF(_xlpm.saldo_atual &gt; 0, IF(RANDBETWEEN(0,10)&gt;3,"Saida","Entrada"), "Entrada")
  ),
  Tabela_Movimentacao_Geral[[#This Row],[Tipo Fluxo]]
)</f>
        <v>Entrada</v>
      </c>
      <c r="D7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7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755" t="str">
        <f ca="1">IF(
  $O$7="Desbloqueado",
  "PROD"&amp;TEXT(RANDBETWEEN(1,200),"000"),
  Tabela_Movimentacao_Geral[[#This Row],[ID Produto]]
)</f>
        <v>PROD143</v>
      </c>
      <c r="G755" t="str">
        <f ca="1">_xlfn.XLOOKUP(Tabela_Movimentacao_Geral[[#This Row],[ID Produto]], Tabela_Produtos[ID_Produto],Tabela_Produtos[Descricao_Produto],"Produto não encontrado")</f>
        <v>Spray Limpa Contatos</v>
      </c>
      <c r="H755" cm="1">
        <f t="array" aca="1" ref="H755" ca="1">IF(
   $O$7="Desbloqueado",
   _xlfn.LET(
     _xlpm.saldo_atual, SUM(($C$2:$C754="Entrada")*($F$2:$F754=Tabela_Movimentacao_Geral[[#This Row],[ID Produto]])*($H$2:$H754) - ($C$2:$C754="Saida")*($F$2:$F754=Tabela_Movimentacao_Geral[[#This Row],[ID Produto]])*($H$2:$H754)),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78</v>
      </c>
      <c r="I755" s="5">
        <f ca="1">_xlfn.XLOOKUP(Tabela_Movimentacao_Geral[[#This Row],[ID Produto]], Tabela_Produtos[ID_Produto],Tabela_Produtos[Preco_Unitario_Venda])</f>
        <v>35</v>
      </c>
      <c r="J755" s="6">
        <f ca="1">Tabela_Movimentacao_Geral[[#This Row],[Quantidade]] * Tabela_Movimentacao_Geral[[#This Row],[Valor Unitário]]</f>
        <v>2730</v>
      </c>
      <c r="K755" t="str">
        <f ca="1">IF(
   $O$7="Desbloqueado",
   CHOOSE(RANDBETWEEN(1,3),"Pago","Pendente","Atrasado"),
   Tabela_Movimentacao_Geral[[#This Row],[Status Financeiro]]
)</f>
        <v>Pago</v>
      </c>
      <c r="L755" t="str">
        <f ca="1">IF(
   $O$7="Desbloqueado",
   CHOOSE(RANDBETWEEN(1,3),"Entregue","Em Rota","Aguardando"),
   Tabela_Movimentacao_Geral[[#This Row],[Status Logistico]]
)</f>
        <v>Entregue</v>
      </c>
      <c r="M75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46027</v>
      </c>
    </row>
    <row r="756" spans="1:13" x14ac:dyDescent="0.3">
      <c r="A756" t="str">
        <f t="shared" si="11"/>
        <v>T0755</v>
      </c>
      <c r="B756" s="1">
        <v>46021</v>
      </c>
      <c r="C756" t="str" cm="1">
        <f t="array" aca="1" ref="C756" ca="1">IF($O$7="Desbloqueado",
  _xlfn.LET(
    _xlpm.saldo_atual, SUM(($C$2:$C755="Entrada")*($F$2:$F755=Tabela_Movimentacao_Geral[[#This Row],[ID Produto]])*($H$2:$H755) - ($C$2:$C755="Saida")*($F$2:$F755=Tabela_Movimentacao_Geral[[#This Row],[ID Produto]])*($H$2:$H755)),
    IF(_xlpm.saldo_atual &gt; 0, IF(RANDBETWEEN(0,10)&gt;3,"Saida","Entrada"), "Entrada")
  ),
  Tabela_Movimentacao_Geral[[#This Row],[Tipo Fluxo]]
)</f>
        <v>Saida</v>
      </c>
      <c r="D7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7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756" t="str">
        <f ca="1">IF(
  $O$7="Desbloqueado",
  "PROD"&amp;TEXT(RANDBETWEEN(1,200),"000"),
  Tabela_Movimentacao_Geral[[#This Row],[ID Produto]]
)</f>
        <v>PROD037</v>
      </c>
      <c r="G756" t="str">
        <f ca="1">_xlfn.XLOOKUP(Tabela_Movimentacao_Geral[[#This Row],[ID Produto]], Tabela_Produtos[ID_Produto],Tabela_Produtos[Descricao_Produto],"Produto não encontrado")</f>
        <v>Placa de Video 4GB</v>
      </c>
      <c r="H756" cm="1">
        <f t="array" aca="1" ref="H756" ca="1">IF(
   $O$7="Desbloqueado",
   _xlfn.LET(
     _xlpm.saldo_atual, SUM(($C$2:$C755="Entrada")*($F$2:$F755=Tabela_Movimentacao_Geral[[#This Row],[ID Produto]])*($H$2:$H755) - ($C$2:$C755="Saida")*($F$2:$F755=Tabela_Movimentacao_Geral[[#This Row],[ID Produto]])*($H$2:$H755)),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756" s="5">
        <f ca="1">_xlfn.XLOOKUP(Tabela_Movimentacao_Geral[[#This Row],[ID Produto]], Tabela_Produtos[ID_Produto],Tabela_Produtos[Preco_Unitario_Venda])</f>
        <v>1400</v>
      </c>
      <c r="J756" s="6">
        <f ca="1">Tabela_Movimentacao_Geral[[#This Row],[Quantidade]] * Tabela_Movimentacao_Geral[[#This Row],[Valor Unitário]]</f>
        <v>5600</v>
      </c>
      <c r="K756" t="str">
        <f ca="1">IF(
   $O$7="Desbloqueado",
   CHOOSE(RANDBETWEEN(1,3),"Pago","Pendente","Atrasado"),
   Tabela_Movimentacao_Geral[[#This Row],[Status Financeiro]]
)</f>
        <v>Pendente</v>
      </c>
      <c r="L756" t="str">
        <f ca="1">IF(
   $O$7="Desbloqueado",
   CHOOSE(RANDBETWEEN(1,3),"Entregue","Em Rota","Aguardando"),
   Tabela_Movimentacao_Geral[[#This Row],[Status Logistico]]
)</f>
        <v>Em Rota</v>
      </c>
      <c r="M75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57" spans="1:13" x14ac:dyDescent="0.3">
      <c r="A757" t="str">
        <f t="shared" si="11"/>
        <v>T0756</v>
      </c>
      <c r="B757" s="1">
        <v>46021</v>
      </c>
      <c r="C757" t="str" cm="1">
        <f t="array" aca="1" ref="C757" ca="1">IF($O$7="Desbloqueado",
  _xlfn.LET(
    _xlpm.saldo_atual, SUM(($C$2:$C756="Entrada")*($F$2:$F756=Tabela_Movimentacao_Geral[[#This Row],[ID Produto]])*($H$2:$H756) - ($C$2:$C756="Saida")*($F$2:$F756=Tabela_Movimentacao_Geral[[#This Row],[ID Produto]])*($H$2:$H756)),
    IF(_xlpm.saldo_atual &gt; 0, IF(RANDBETWEEN(0,10)&gt;3,"Saida","Entrada"), "Entrada")
  ),
  Tabela_Movimentacao_Geral[[#This Row],[Tipo Fluxo]]
)</f>
        <v>Saida</v>
      </c>
      <c r="D7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7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757" t="str">
        <f ca="1">IF(
  $O$7="Desbloqueado",
  "PROD"&amp;TEXT(RANDBETWEEN(1,200),"000"),
  Tabela_Movimentacao_Geral[[#This Row],[ID Produto]]
)</f>
        <v>PROD176</v>
      </c>
      <c r="G757" t="str">
        <f ca="1">_xlfn.XLOOKUP(Tabela_Movimentacao_Geral[[#This Row],[ID Produto]], Tabela_Produtos[ID_Produto],Tabela_Produtos[Descricao_Produto],"Produto não encontrado")</f>
        <v>Envelope Bolha A4 10un</v>
      </c>
      <c r="H757" cm="1">
        <f t="array" aca="1" ref="H757" ca="1">IF(
   $O$7="Desbloqueado",
   _xlfn.LET(
     _xlpm.saldo_atual, SUM(($C$2:$C756="Entrada")*($F$2:$F756=Tabela_Movimentacao_Geral[[#This Row],[ID Produto]])*($H$2:$H756) - ($C$2:$C756="Saida")*($F$2:$F756=Tabela_Movimentacao_Geral[[#This Row],[ID Produto]])*($H$2:$H756)),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757" s="5">
        <f ca="1">_xlfn.XLOOKUP(Tabela_Movimentacao_Geral[[#This Row],[ID Produto]], Tabela_Produtos[ID_Produto],Tabela_Produtos[Preco_Unitario_Venda])</f>
        <v>35</v>
      </c>
      <c r="J757" s="6">
        <f ca="1">Tabela_Movimentacao_Geral[[#This Row],[Quantidade]] * Tabela_Movimentacao_Geral[[#This Row],[Valor Unitário]]</f>
        <v>315</v>
      </c>
      <c r="K757" t="str">
        <f ca="1">IF(
   $O$7="Desbloqueado",
   CHOOSE(RANDBETWEEN(1,3),"Pago","Pendente","Atrasado"),
   Tabela_Movimentacao_Geral[[#This Row],[Status Financeiro]]
)</f>
        <v>Pago</v>
      </c>
      <c r="L757" t="str">
        <f ca="1">IF(
   $O$7="Desbloqueado",
   CHOOSE(RANDBETWEEN(1,3),"Entregue","Em Rota","Aguardando"),
   Tabela_Movimentacao_Geral[[#This Row],[Status Logistico]]
)</f>
        <v>Aguardando</v>
      </c>
      <c r="M75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58" spans="1:13" x14ac:dyDescent="0.3">
      <c r="A758" t="str">
        <f t="shared" si="11"/>
        <v>T0757</v>
      </c>
      <c r="B758" s="1">
        <v>46022</v>
      </c>
      <c r="C758" t="str" cm="1">
        <f t="array" aca="1" ref="C758" ca="1">IF($O$7="Desbloqueado",
  _xlfn.LET(
    _xlpm.saldo_atual, SUM(($C$2:$C757="Entrada")*($F$2:$F757=Tabela_Movimentacao_Geral[[#This Row],[ID Produto]])*($H$2:$H757) - ($C$2:$C757="Saida")*($F$2:$F757=Tabela_Movimentacao_Geral[[#This Row],[ID Produto]])*($H$2:$H757)),
    IF(_xlpm.saldo_atual &gt; 0, IF(RANDBETWEEN(0,10)&gt;3,"Saida","Entrada"), "Entrada")
  ),
  Tabela_Movimentacao_Geral[[#This Row],[Tipo Fluxo]]
)</f>
        <v>Entrada</v>
      </c>
      <c r="D7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7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758" t="str">
        <f ca="1">IF(
  $O$7="Desbloqueado",
  "PROD"&amp;TEXT(RANDBETWEEN(1,200),"000"),
  Tabela_Movimentacao_Geral[[#This Row],[ID Produto]]
)</f>
        <v>PROD152</v>
      </c>
      <c r="G758" t="str">
        <f ca="1">_xlfn.XLOOKUP(Tabela_Movimentacao_Geral[[#This Row],[ID Produto]], Tabela_Produtos[ID_Produto],Tabela_Produtos[Descricao_Produto],"Produto não encontrado")</f>
        <v>Bloco de Notas Espiral</v>
      </c>
      <c r="H758" cm="1">
        <f t="array" aca="1" ref="H758" ca="1">IF(
   $O$7="Desbloqueado",
   _xlfn.LET(
     _xlpm.saldo_atual, SUM(($C$2:$C757="Entrada")*($F$2:$F757=Tabela_Movimentacao_Geral[[#This Row],[ID Produto]])*($H$2:$H757) - ($C$2:$C757="Saida")*($F$2:$F757=Tabela_Movimentacao_Geral[[#This Row],[ID Produto]])*($H$2:$H757)),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758" s="5">
        <f ca="1">_xlfn.XLOOKUP(Tabela_Movimentacao_Geral[[#This Row],[ID Produto]], Tabela_Produtos[ID_Produto],Tabela_Produtos[Preco_Unitario_Venda])</f>
        <v>12</v>
      </c>
      <c r="J758" s="6">
        <f ca="1">Tabela_Movimentacao_Geral[[#This Row],[Quantidade]] * Tabela_Movimentacao_Geral[[#This Row],[Valor Unitário]]</f>
        <v>120</v>
      </c>
      <c r="K758" t="str">
        <f ca="1">IF(
   $O$7="Desbloqueado",
   CHOOSE(RANDBETWEEN(1,3),"Pago","Pendente","Atrasado"),
   Tabela_Movimentacao_Geral[[#This Row],[Status Financeiro]]
)</f>
        <v>Atrasado</v>
      </c>
      <c r="L758" t="str">
        <f ca="1">IF(
   $O$7="Desbloqueado",
   CHOOSE(RANDBETWEEN(1,3),"Entregue","Em Rota","Aguardando"),
   Tabela_Movimentacao_Geral[[#This Row],[Status Logistico]]
)</f>
        <v>Aguardando</v>
      </c>
      <c r="M75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46032</v>
      </c>
    </row>
    <row r="759" spans="1:13" x14ac:dyDescent="0.3">
      <c r="A759" t="str">
        <f t="shared" si="11"/>
        <v>T0758</v>
      </c>
      <c r="B759" s="1">
        <v>46022</v>
      </c>
      <c r="C759" t="str" cm="1">
        <f t="array" aca="1" ref="C759" ca="1">IF($O$7="Desbloqueado",
  _xlfn.LET(
    _xlpm.saldo_atual, SUM(($C$2:$C758="Entrada")*($F$2:$F758=Tabela_Movimentacao_Geral[[#This Row],[ID Produto]])*($H$2:$H758) - ($C$2:$C758="Saida")*($F$2:$F758=Tabela_Movimentacao_Geral[[#This Row],[ID Produto]])*($H$2:$H758)),
    IF(_xlpm.saldo_atual &gt; 0, IF(RANDBETWEEN(0,10)&gt;3,"Saida","Entrada"), "Entrada")
  ),
  Tabela_Movimentacao_Geral[[#This Row],[Tipo Fluxo]]
)</f>
        <v>Saida</v>
      </c>
      <c r="D7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7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759" t="str">
        <f ca="1">IF(
  $O$7="Desbloqueado",
  "PROD"&amp;TEXT(RANDBETWEEN(1,200),"000"),
  Tabela_Movimentacao_Geral[[#This Row],[ID Produto]]
)</f>
        <v>PROD004</v>
      </c>
      <c r="G759" t="str">
        <f ca="1">_xlfn.XLOOKUP(Tabela_Movimentacao_Geral[[#This Row],[ID Produto]], Tabela_Produtos[ID_Produto],Tabela_Produtos[Descricao_Produto],"Produto não encontrado")</f>
        <v>Cadeira Ergonomica Office</v>
      </c>
      <c r="H759" cm="1">
        <f t="array" aca="1" ref="H759" ca="1">IF(
   $O$7="Desbloqueado",
   _xlfn.LET(
     _xlpm.saldo_atual, SUM(($C$2:$C758="Entrada")*($F$2:$F758=Tabela_Movimentacao_Geral[[#This Row],[ID Produto]])*($H$2:$H758) - ($C$2:$C758="Saida")*($F$2:$F758=Tabela_Movimentacao_Geral[[#This Row],[ID Produto]])*($H$2:$H758)),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759" s="5">
        <f ca="1">_xlfn.XLOOKUP(Tabela_Movimentacao_Geral[[#This Row],[ID Produto]], Tabela_Produtos[ID_Produto],Tabela_Produtos[Preco_Unitario_Venda])</f>
        <v>1200</v>
      </c>
      <c r="J759" s="6">
        <f ca="1">Tabela_Movimentacao_Geral[[#This Row],[Quantidade]] * Tabela_Movimentacao_Geral[[#This Row],[Valor Unitário]]</f>
        <v>1200</v>
      </c>
      <c r="K759" t="str">
        <f ca="1">IF(
   $O$7="Desbloqueado",
   CHOOSE(RANDBETWEEN(1,3),"Pago","Pendente","Atrasado"),
   Tabela_Movimentacao_Geral[[#This Row],[Status Financeiro]]
)</f>
        <v>Pendente</v>
      </c>
      <c r="L759" t="str">
        <f ca="1">IF(
   $O$7="Desbloqueado",
   CHOOSE(RANDBETWEEN(1,3),"Entregue","Em Rota","Aguardando"),
   Tabela_Movimentacao_Geral[[#This Row],[Status Logistico]]
)</f>
        <v>Aguardando</v>
      </c>
      <c r="M75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0" spans="1:13" x14ac:dyDescent="0.3">
      <c r="A760" t="str">
        <f t="shared" si="11"/>
        <v>T0759</v>
      </c>
      <c r="B760" s="1">
        <v>46022</v>
      </c>
      <c r="C760" t="str" cm="1">
        <f t="array" aca="1" ref="C760" ca="1">IF($O$7="Desbloqueado",
  _xlfn.LET(
    _xlpm.saldo_atual, SUM(($C$2:$C759="Entrada")*($F$2:$F759=Tabela_Movimentacao_Geral[[#This Row],[ID Produto]])*($H$2:$H759) - ($C$2:$C759="Saida")*($F$2:$F759=Tabela_Movimentacao_Geral[[#This Row],[ID Produto]])*($H$2:$H759)),
    IF(_xlpm.saldo_atual &gt; 0, IF(RANDBETWEEN(0,10)&gt;3,"Saida","Entrada"), "Entrada")
  ),
  Tabela_Movimentacao_Geral[[#This Row],[Tipo Fluxo]]
)</f>
        <v>Saida</v>
      </c>
      <c r="D7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7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760" t="str">
        <f ca="1">IF(
  $O$7="Desbloqueado",
  "PROD"&amp;TEXT(RANDBETWEEN(1,200),"000"),
  Tabela_Movimentacao_Geral[[#This Row],[ID Produto]]
)</f>
        <v>PROD142</v>
      </c>
      <c r="G760" t="str">
        <f ca="1">_xlfn.XLOOKUP(Tabela_Movimentacao_Geral[[#This Row],[ID Produto]], Tabela_Produtos[ID_Produto],Tabela_Produtos[Descricao_Produto],"Produto não encontrado")</f>
        <v>Trava de Seguranca Note</v>
      </c>
      <c r="H760" cm="1">
        <f t="array" aca="1" ref="H760" ca="1">IF(
   $O$7="Desbloqueado",
   _xlfn.LET(
     _xlpm.saldo_atual, SUM(($C$2:$C759="Entrada")*($F$2:$F759=Tabela_Movimentacao_Geral[[#This Row],[ID Produto]])*($H$2:$H759) - ($C$2:$C759="Saida")*($F$2:$F759=Tabela_Movimentacao_Geral[[#This Row],[ID Produto]])*($H$2:$H759)),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760" s="5">
        <f ca="1">_xlfn.XLOOKUP(Tabela_Movimentacao_Geral[[#This Row],[ID Produto]], Tabela_Produtos[ID_Produto],Tabela_Produtos[Preco_Unitario_Venda])</f>
        <v>85</v>
      </c>
      <c r="J760" s="6">
        <f ca="1">Tabela_Movimentacao_Geral[[#This Row],[Quantidade]] * Tabela_Movimentacao_Geral[[#This Row],[Valor Unitário]]</f>
        <v>1020</v>
      </c>
      <c r="K760" t="str">
        <f ca="1">IF(
   $O$7="Desbloqueado",
   CHOOSE(RANDBETWEEN(1,3),"Pago","Pendente","Atrasado"),
   Tabela_Movimentacao_Geral[[#This Row],[Status Financeiro]]
)</f>
        <v>Pendente</v>
      </c>
      <c r="L760" t="str">
        <f ca="1">IF(
   $O$7="Desbloqueado",
   CHOOSE(RANDBETWEEN(1,3),"Entregue","Em Rota","Aguardando"),
   Tabela_Movimentacao_Geral[[#This Row],[Status Logistico]]
)</f>
        <v>Em Rota</v>
      </c>
      <c r="M76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1" spans="1:13" x14ac:dyDescent="0.3">
      <c r="A761" t="str">
        <f t="shared" si="11"/>
        <v>T0760</v>
      </c>
      <c r="B761" s="1">
        <v>46023</v>
      </c>
      <c r="C761" t="str" cm="1">
        <f t="array" aca="1" ref="C761" ca="1">IF($O$7="Desbloqueado",
  _xlfn.LET(
    _xlpm.saldo_atual, SUM(($C$2:$C760="Entrada")*($F$2:$F760=Tabela_Movimentacao_Geral[[#This Row],[ID Produto]])*($H$2:$H760) - ($C$2:$C760="Saida")*($F$2:$F760=Tabela_Movimentacao_Geral[[#This Row],[ID Produto]])*($H$2:$H760)),
    IF(_xlpm.saldo_atual &gt; 0, IF(RANDBETWEEN(0,10)&gt;3,"Saida","Entrada"), "Entrada")
  ),
  Tabela_Movimentacao_Geral[[#This Row],[Tipo Fluxo]]
)</f>
        <v>Saida</v>
      </c>
      <c r="D7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7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761" t="str">
        <f ca="1">IF(
  $O$7="Desbloqueado",
  "PROD"&amp;TEXT(RANDBETWEEN(1,200),"000"),
  Tabela_Movimentacao_Geral[[#This Row],[ID Produto]]
)</f>
        <v>PROD128</v>
      </c>
      <c r="G761" t="str">
        <f ca="1">_xlfn.XLOOKUP(Tabela_Movimentacao_Geral[[#This Row],[ID Produto]], Tabela_Produtos[ID_Produto],Tabela_Produtos[Descricao_Produto],"Produto não encontrado")</f>
        <v>Cabo de Rede Cat5e 5m</v>
      </c>
      <c r="H761" cm="1">
        <f t="array" aca="1" ref="H761" ca="1">IF(
   $O$7="Desbloqueado",
   _xlfn.LET(
     _xlpm.saldo_atual, SUM(($C$2:$C760="Entrada")*($F$2:$F760=Tabela_Movimentacao_Geral[[#This Row],[ID Produto]])*($H$2:$H760) - ($C$2:$C760="Saida")*($F$2:$F760=Tabela_Movimentacao_Geral[[#This Row],[ID Produto]])*($H$2:$H760)),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761" s="5">
        <f ca="1">_xlfn.XLOOKUP(Tabela_Movimentacao_Geral[[#This Row],[ID Produto]], Tabela_Produtos[ID_Produto],Tabela_Produtos[Preco_Unitario_Venda])</f>
        <v>18</v>
      </c>
      <c r="J761" s="6">
        <f ca="1">Tabela_Movimentacao_Geral[[#This Row],[Quantidade]] * Tabela_Movimentacao_Geral[[#This Row],[Valor Unitário]]</f>
        <v>414</v>
      </c>
      <c r="K761" t="str">
        <f ca="1">IF(
   $O$7="Desbloqueado",
   CHOOSE(RANDBETWEEN(1,3),"Pago","Pendente","Atrasado"),
   Tabela_Movimentacao_Geral[[#This Row],[Status Financeiro]]
)</f>
        <v>Pago</v>
      </c>
      <c r="L761" t="str">
        <f ca="1">IF(
   $O$7="Desbloqueado",
   CHOOSE(RANDBETWEEN(1,3),"Entregue","Em Rota","Aguardando"),
   Tabela_Movimentacao_Geral[[#This Row],[Status Logistico]]
)</f>
        <v>Em Rota</v>
      </c>
      <c r="M76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2" spans="1:13" x14ac:dyDescent="0.3">
      <c r="A762" t="str">
        <f t="shared" si="11"/>
        <v>T0761</v>
      </c>
      <c r="B762" s="1">
        <v>46023</v>
      </c>
      <c r="C762" t="str" cm="1">
        <f t="array" aca="1" ref="C762" ca="1">IF($O$7="Desbloqueado",
  _xlfn.LET(
    _xlpm.saldo_atual, SUM(($C$2:$C761="Entrada")*($F$2:$F761=Tabela_Movimentacao_Geral[[#This Row],[ID Produto]])*($H$2:$H761) - ($C$2:$C761="Saida")*($F$2:$F761=Tabela_Movimentacao_Geral[[#This Row],[ID Produto]])*($H$2:$H761)),
    IF(_xlpm.saldo_atual &gt; 0, IF(RANDBETWEEN(0,10)&gt;3,"Saida","Entrada"), "Entrada")
  ),
  Tabela_Movimentacao_Geral[[#This Row],[Tipo Fluxo]]
)</f>
        <v>Saida</v>
      </c>
      <c r="D7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7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762" t="str">
        <f ca="1">IF(
  $O$7="Desbloqueado",
  "PROD"&amp;TEXT(RANDBETWEEN(1,200),"000"),
  Tabela_Movimentacao_Geral[[#This Row],[ID Produto]]
)</f>
        <v>PROD026</v>
      </c>
      <c r="G762" t="str">
        <f ca="1">_xlfn.XLOOKUP(Tabela_Movimentacao_Geral[[#This Row],[ID Produto]], Tabela_Produtos[ID_Produto],Tabela_Produtos[Descricao_Produto],"Produto não encontrado")</f>
        <v>Mousepad Gamer Extra Large</v>
      </c>
      <c r="H762" cm="1">
        <f t="array" aca="1" ref="H762" ca="1">IF(
   $O$7="Desbloqueado",
   _xlfn.LET(
     _xlpm.saldo_atual, SUM(($C$2:$C761="Entrada")*($F$2:$F761=Tabela_Movimentacao_Geral[[#This Row],[ID Produto]])*($H$2:$H761) - ($C$2:$C761="Saida")*($F$2:$F761=Tabela_Movimentacao_Geral[[#This Row],[ID Produto]])*($H$2:$H761)),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80</v>
      </c>
      <c r="I762" s="5">
        <f ca="1">_xlfn.XLOOKUP(Tabela_Movimentacao_Geral[[#This Row],[ID Produto]], Tabela_Produtos[ID_Produto],Tabela_Produtos[Preco_Unitario_Venda])</f>
        <v>85</v>
      </c>
      <c r="J762" s="6">
        <f ca="1">Tabela_Movimentacao_Geral[[#This Row],[Quantidade]] * Tabela_Movimentacao_Geral[[#This Row],[Valor Unitário]]</f>
        <v>6800</v>
      </c>
      <c r="K762" t="str">
        <f ca="1">IF(
   $O$7="Desbloqueado",
   CHOOSE(RANDBETWEEN(1,3),"Pago","Pendente","Atrasado"),
   Tabela_Movimentacao_Geral[[#This Row],[Status Financeiro]]
)</f>
        <v>Pendente</v>
      </c>
      <c r="L762" t="str">
        <f ca="1">IF(
   $O$7="Desbloqueado",
   CHOOSE(RANDBETWEEN(1,3),"Entregue","Em Rota","Aguardando"),
   Tabela_Movimentacao_Geral[[#This Row],[Status Logistico]]
)</f>
        <v>Em Rota</v>
      </c>
      <c r="M76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3" spans="1:13" x14ac:dyDescent="0.3">
      <c r="A763" t="str">
        <f t="shared" si="11"/>
        <v>T0762</v>
      </c>
      <c r="B763" s="1">
        <v>46023</v>
      </c>
      <c r="C763" t="str" cm="1">
        <f t="array" aca="1" ref="C763" ca="1">IF($O$7="Desbloqueado",
  _xlfn.LET(
    _xlpm.saldo_atual, SUM(($C$2:$C762="Entrada")*($F$2:$F762=Tabela_Movimentacao_Geral[[#This Row],[ID Produto]])*($H$2:$H762) - ($C$2:$C762="Saida")*($F$2:$F762=Tabela_Movimentacao_Geral[[#This Row],[ID Produto]])*($H$2:$H762)),
    IF(_xlpm.saldo_atual &gt; 0, IF(RANDBETWEEN(0,10)&gt;3,"Saida","Entrada"), "Entrada")
  ),
  Tabela_Movimentacao_Geral[[#This Row],[Tipo Fluxo]]
)</f>
        <v>Entrada</v>
      </c>
      <c r="D7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7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763" t="str">
        <f ca="1">IF(
  $O$7="Desbloqueado",
  "PROD"&amp;TEXT(RANDBETWEEN(1,200),"000"),
  Tabela_Movimentacao_Geral[[#This Row],[ID Produto]]
)</f>
        <v>PROD001</v>
      </c>
      <c r="G763" t="str">
        <f ca="1">_xlfn.XLOOKUP(Tabela_Movimentacao_Geral[[#This Row],[ID Produto]], Tabela_Produtos[ID_Produto],Tabela_Produtos[Descricao_Produto],"Produto não encontrado")</f>
        <v>Monitor 24 pol Full HD</v>
      </c>
      <c r="H763" cm="1">
        <f t="array" aca="1" ref="H763" ca="1">IF(
   $O$7="Desbloqueado",
   _xlfn.LET(
     _xlpm.saldo_atual, SUM(($C$2:$C762="Entrada")*($F$2:$F762=Tabela_Movimentacao_Geral[[#This Row],[ID Produto]])*($H$2:$H762) - ($C$2:$C762="Saida")*($F$2:$F762=Tabela_Movimentacao_Geral[[#This Row],[ID Produto]])*($H$2:$H762)),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763" s="5">
        <f ca="1">_xlfn.XLOOKUP(Tabela_Movimentacao_Geral[[#This Row],[ID Produto]], Tabela_Produtos[ID_Produto],Tabela_Produtos[Preco_Unitario_Venda])</f>
        <v>850</v>
      </c>
      <c r="J763" s="6">
        <f ca="1">Tabela_Movimentacao_Geral[[#This Row],[Quantidade]] * Tabela_Movimentacao_Geral[[#This Row],[Valor Unitário]]</f>
        <v>37400</v>
      </c>
      <c r="K763" t="str">
        <f ca="1">IF(
   $O$7="Desbloqueado",
   CHOOSE(RANDBETWEEN(1,3),"Pago","Pendente","Atrasado"),
   Tabela_Movimentacao_Geral[[#This Row],[Status Financeiro]]
)</f>
        <v>Atrasado</v>
      </c>
      <c r="L763" t="str">
        <f ca="1">IF(
   $O$7="Desbloqueado",
   CHOOSE(RANDBETWEEN(1,3),"Entregue","Em Rota","Aguardando"),
   Tabela_Movimentacao_Geral[[#This Row],[Status Logistico]]
)</f>
        <v>Aguardando</v>
      </c>
      <c r="M76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46025</v>
      </c>
    </row>
    <row r="764" spans="1:13" x14ac:dyDescent="0.3">
      <c r="A764" t="str">
        <f t="shared" si="11"/>
        <v>T0763</v>
      </c>
      <c r="B764" s="1">
        <v>46023</v>
      </c>
      <c r="C764" t="str" cm="1">
        <f t="array" aca="1" ref="C764" ca="1">IF($O$7="Desbloqueado",
  _xlfn.LET(
    _xlpm.saldo_atual, SUM(($C$2:$C763="Entrada")*($F$2:$F763=Tabela_Movimentacao_Geral[[#This Row],[ID Produto]])*($H$2:$H763) - ($C$2:$C763="Saida")*($F$2:$F763=Tabela_Movimentacao_Geral[[#This Row],[ID Produto]])*($H$2:$H763)),
    IF(_xlpm.saldo_atual &gt; 0, IF(RANDBETWEEN(0,10)&gt;3,"Saida","Entrada"), "Entrada")
  ),
  Tabela_Movimentacao_Geral[[#This Row],[Tipo Fluxo]]
)</f>
        <v>Entrada</v>
      </c>
      <c r="D7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7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764" t="str">
        <f ca="1">IF(
  $O$7="Desbloqueado",
  "PROD"&amp;TEXT(RANDBETWEEN(1,200),"000"),
  Tabela_Movimentacao_Geral[[#This Row],[ID Produto]]
)</f>
        <v>PROD151</v>
      </c>
      <c r="G764" t="str">
        <f ca="1">_xlfn.XLOOKUP(Tabela_Movimentacao_Geral[[#This Row],[ID Produto]], Tabela_Produtos[ID_Produto],Tabela_Produtos[Descricao_Produto],"Produto não encontrado")</f>
        <v>Papel Fotografico A4 20fls</v>
      </c>
      <c r="H764" cm="1">
        <f t="array" aca="1" ref="H764" ca="1">IF(
   $O$7="Desbloqueado",
   _xlfn.LET(
     _xlpm.saldo_atual, SUM(($C$2:$C763="Entrada")*($F$2:$F763=Tabela_Movimentacao_Geral[[#This Row],[ID Produto]])*($H$2:$H763) - ($C$2:$C763="Saida")*($F$2:$F763=Tabela_Movimentacao_Geral[[#This Row],[ID Produto]])*($H$2:$H763)),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105</v>
      </c>
      <c r="I764" s="5">
        <f ca="1">_xlfn.XLOOKUP(Tabela_Movimentacao_Geral[[#This Row],[ID Produto]], Tabela_Produtos[ID_Produto],Tabela_Produtos[Preco_Unitario_Venda])</f>
        <v>45</v>
      </c>
      <c r="J764" s="6">
        <f ca="1">Tabela_Movimentacao_Geral[[#This Row],[Quantidade]] * Tabela_Movimentacao_Geral[[#This Row],[Valor Unitário]]</f>
        <v>4725</v>
      </c>
      <c r="K764" t="str">
        <f ca="1">IF(
   $O$7="Desbloqueado",
   CHOOSE(RANDBETWEEN(1,3),"Pago","Pendente","Atrasado"),
   Tabela_Movimentacao_Geral[[#This Row],[Status Financeiro]]
)</f>
        <v>Atrasado</v>
      </c>
      <c r="L764" t="str">
        <f ca="1">IF(
   $O$7="Desbloqueado",
   CHOOSE(RANDBETWEEN(1,3),"Entregue","Em Rota","Aguardando"),
   Tabela_Movimentacao_Geral[[#This Row],[Status Logistico]]
)</f>
        <v>Entregue</v>
      </c>
      <c r="M76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46025</v>
      </c>
    </row>
    <row r="765" spans="1:13" x14ac:dyDescent="0.3">
      <c r="A765" t="str">
        <f t="shared" si="11"/>
        <v>T0764</v>
      </c>
      <c r="B765" s="1">
        <v>46024</v>
      </c>
      <c r="C765" t="str" cm="1">
        <f t="array" aca="1" ref="C765" ca="1">IF($O$7="Desbloqueado",
  _xlfn.LET(
    _xlpm.saldo_atual, SUM(($C$2:$C764="Entrada")*($F$2:$F764=Tabela_Movimentacao_Geral[[#This Row],[ID Produto]])*($H$2:$H764) - ($C$2:$C764="Saida")*($F$2:$F764=Tabela_Movimentacao_Geral[[#This Row],[ID Produto]])*($H$2:$H764)),
    IF(_xlpm.saldo_atual &gt; 0, IF(RANDBETWEEN(0,10)&gt;3,"Saida","Entrada"), "Entrada")
  ),
  Tabela_Movimentacao_Geral[[#This Row],[Tipo Fluxo]]
)</f>
        <v>Saida</v>
      </c>
      <c r="D7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7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765" t="str">
        <f ca="1">IF(
  $O$7="Desbloqueado",
  "PROD"&amp;TEXT(RANDBETWEEN(1,200),"000"),
  Tabela_Movimentacao_Geral[[#This Row],[ID Produto]]
)</f>
        <v>PROD006</v>
      </c>
      <c r="G765" t="str">
        <f ca="1">_xlfn.XLOOKUP(Tabela_Movimentacao_Geral[[#This Row],[ID Produto]], Tabela_Produtos[ID_Produto],Tabela_Produtos[Descricao_Produto],"Produto não encontrado")</f>
        <v>Notebook i7 16GB 512GB SSD</v>
      </c>
      <c r="H765" cm="1">
        <f t="array" aca="1" ref="H765" ca="1">IF(
   $O$7="Desbloqueado",
   _xlfn.LET(
     _xlpm.saldo_atual, SUM(($C$2:$C764="Entrada")*($F$2:$F764=Tabela_Movimentacao_Geral[[#This Row],[ID Produto]])*($H$2:$H764) - ($C$2:$C764="Saida")*($F$2:$F764=Tabela_Movimentacao_Geral[[#This Row],[ID Produto]])*($H$2:$H764)),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765" s="5">
        <f ca="1">_xlfn.XLOOKUP(Tabela_Movimentacao_Geral[[#This Row],[ID Produto]], Tabela_Produtos[ID_Produto],Tabela_Produtos[Preco_Unitario_Venda])</f>
        <v>5500</v>
      </c>
      <c r="J765" s="6">
        <f ca="1">Tabela_Movimentacao_Geral[[#This Row],[Quantidade]] * Tabela_Movimentacao_Geral[[#This Row],[Valor Unitário]]</f>
        <v>5500</v>
      </c>
      <c r="K765" t="str">
        <f ca="1">IF(
   $O$7="Desbloqueado",
   CHOOSE(RANDBETWEEN(1,3),"Pago","Pendente","Atrasado"),
   Tabela_Movimentacao_Geral[[#This Row],[Status Financeiro]]
)</f>
        <v>Pendente</v>
      </c>
      <c r="L765" t="str">
        <f ca="1">IF(
   $O$7="Desbloqueado",
   CHOOSE(RANDBETWEEN(1,3),"Entregue","Em Rota","Aguardando"),
   Tabela_Movimentacao_Geral[[#This Row],[Status Logistico]]
)</f>
        <v>Aguardando</v>
      </c>
      <c r="M76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6" spans="1:13" x14ac:dyDescent="0.3">
      <c r="A766" t="str">
        <f t="shared" si="11"/>
        <v>T0765</v>
      </c>
      <c r="B766" s="1">
        <v>46025</v>
      </c>
      <c r="C766" t="str" cm="1">
        <f t="array" aca="1" ref="C766" ca="1">IF($O$7="Desbloqueado",
  _xlfn.LET(
    _xlpm.saldo_atual, SUM(($C$2:$C765="Entrada")*($F$2:$F765=Tabela_Movimentacao_Geral[[#This Row],[ID Produto]])*($H$2:$H765) - ($C$2:$C765="Saida")*($F$2:$F765=Tabela_Movimentacao_Geral[[#This Row],[ID Produto]])*($H$2:$H765)),
    IF(_xlpm.saldo_atual &gt; 0, IF(RANDBETWEEN(0,10)&gt;3,"Saida","Entrada"), "Entrada")
  ),
  Tabela_Movimentacao_Geral[[#This Row],[Tipo Fluxo]]
)</f>
        <v>Saida</v>
      </c>
      <c r="D7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7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766" t="str">
        <f ca="1">IF(
  $O$7="Desbloqueado",
  "PROD"&amp;TEXT(RANDBETWEEN(1,200),"000"),
  Tabela_Movimentacao_Geral[[#This Row],[ID Produto]]
)</f>
        <v>PROD058</v>
      </c>
      <c r="G766" t="str">
        <f ca="1">_xlfn.XLOOKUP(Tabela_Movimentacao_Geral[[#This Row],[ID Produto]], Tabela_Produtos[ID_Produto],Tabela_Produtos[Descricao_Produto],"Produto não encontrado")</f>
        <v>Caneta Esferografica Preta</v>
      </c>
      <c r="H766" cm="1">
        <f t="array" aca="1" ref="H766" ca="1">IF(
   $O$7="Desbloqueado",
   _xlfn.LET(
     _xlpm.saldo_atual, SUM(($C$2:$C765="Entrada")*($F$2:$F765=Tabela_Movimentacao_Geral[[#This Row],[ID Produto]])*($H$2:$H765) - ($C$2:$C765="Saida")*($F$2:$F765=Tabela_Movimentacao_Geral[[#This Row],[ID Produto]])*($H$2:$H765)),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104</v>
      </c>
      <c r="I766" s="5">
        <f ca="1">_xlfn.XLOOKUP(Tabela_Movimentacao_Geral[[#This Row],[ID Produto]], Tabela_Produtos[ID_Produto],Tabela_Produtos[Preco_Unitario_Venda])</f>
        <v>1.5</v>
      </c>
      <c r="J766" s="6">
        <f ca="1">Tabela_Movimentacao_Geral[[#This Row],[Quantidade]] * Tabela_Movimentacao_Geral[[#This Row],[Valor Unitário]]</f>
        <v>156</v>
      </c>
      <c r="K766" t="str">
        <f ca="1">IF(
   $O$7="Desbloqueado",
   CHOOSE(RANDBETWEEN(1,3),"Pago","Pendente","Atrasado"),
   Tabela_Movimentacao_Geral[[#This Row],[Status Financeiro]]
)</f>
        <v>Pago</v>
      </c>
      <c r="L766" t="str">
        <f ca="1">IF(
   $O$7="Desbloqueado",
   CHOOSE(RANDBETWEEN(1,3),"Entregue","Em Rota","Aguardando"),
   Tabela_Movimentacao_Geral[[#This Row],[Status Logistico]]
)</f>
        <v>Entregue</v>
      </c>
      <c r="M76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7" spans="1:13" x14ac:dyDescent="0.3">
      <c r="A767" t="str">
        <f t="shared" si="11"/>
        <v>T0766</v>
      </c>
      <c r="B767" s="1">
        <v>46025</v>
      </c>
      <c r="C767" t="str" cm="1">
        <f t="array" aca="1" ref="C767" ca="1">IF($O$7="Desbloqueado",
  _xlfn.LET(
    _xlpm.saldo_atual, SUM(($C$2:$C766="Entrada")*($F$2:$F766=Tabela_Movimentacao_Geral[[#This Row],[ID Produto]])*($H$2:$H766) - ($C$2:$C766="Saida")*($F$2:$F766=Tabela_Movimentacao_Geral[[#This Row],[ID Produto]])*($H$2:$H766)),
    IF(_xlpm.saldo_atual &gt; 0, IF(RANDBETWEEN(0,10)&gt;3,"Saida","Entrada"), "Entrada")
  ),
  Tabela_Movimentacao_Geral[[#This Row],[Tipo Fluxo]]
)</f>
        <v>Saida</v>
      </c>
      <c r="D7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7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767" t="str">
        <f ca="1">IF(
  $O$7="Desbloqueado",
  "PROD"&amp;TEXT(RANDBETWEEN(1,200),"000"),
  Tabela_Movimentacao_Geral[[#This Row],[ID Produto]]
)</f>
        <v>PROD126</v>
      </c>
      <c r="G767" t="str">
        <f ca="1">_xlfn.XLOOKUP(Tabela_Movimentacao_Geral[[#This Row],[ID Produto]], Tabela_Produtos[ID_Produto],Tabela_Produtos[Descricao_Produto],"Produto não encontrado")</f>
        <v>Mouse Ergonomico Vertical</v>
      </c>
      <c r="H767" cm="1">
        <f t="array" aca="1" ref="H767" ca="1">IF(
   $O$7="Desbloqueado",
   _xlfn.LET(
     _xlpm.saldo_atual, SUM(($C$2:$C766="Entrada")*($F$2:$F766=Tabela_Movimentacao_Geral[[#This Row],[ID Produto]])*($H$2:$H766) - ($C$2:$C766="Saida")*($F$2:$F766=Tabela_Movimentacao_Geral[[#This Row],[ID Produto]])*($H$2:$H766)),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767" s="5">
        <f ca="1">_xlfn.XLOOKUP(Tabela_Movimentacao_Geral[[#This Row],[ID Produto]], Tabela_Produtos[ID_Produto],Tabela_Produtos[Preco_Unitario_Venda])</f>
        <v>280</v>
      </c>
      <c r="J767" s="6">
        <f ca="1">Tabela_Movimentacao_Geral[[#This Row],[Quantidade]] * Tabela_Movimentacao_Geral[[#This Row],[Valor Unitário]]</f>
        <v>560</v>
      </c>
      <c r="K767" t="str">
        <f ca="1">IF(
   $O$7="Desbloqueado",
   CHOOSE(RANDBETWEEN(1,3),"Pago","Pendente","Atrasado"),
   Tabela_Movimentacao_Geral[[#This Row],[Status Financeiro]]
)</f>
        <v>Pago</v>
      </c>
      <c r="L767" t="str">
        <f ca="1">IF(
   $O$7="Desbloqueado",
   CHOOSE(RANDBETWEEN(1,3),"Entregue","Em Rota","Aguardando"),
   Tabela_Movimentacao_Geral[[#This Row],[Status Logistico]]
)</f>
        <v>Aguardando</v>
      </c>
      <c r="M76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8" spans="1:13" x14ac:dyDescent="0.3">
      <c r="A768" t="str">
        <f t="shared" si="11"/>
        <v>T0767</v>
      </c>
      <c r="B768" s="1">
        <v>46025</v>
      </c>
      <c r="C768" t="str" cm="1">
        <f t="array" aca="1" ref="C768" ca="1">IF($O$7="Desbloqueado",
  _xlfn.LET(
    _xlpm.saldo_atual, SUM(($C$2:$C767="Entrada")*($F$2:$F767=Tabela_Movimentacao_Geral[[#This Row],[ID Produto]])*($H$2:$H767) - ($C$2:$C767="Saida")*($F$2:$F767=Tabela_Movimentacao_Geral[[#This Row],[ID Produto]])*($H$2:$H767)),
    IF(_xlpm.saldo_atual &gt; 0, IF(RANDBETWEEN(0,10)&gt;3,"Saida","Entrada"), "Entrada")
  ),
  Tabela_Movimentacao_Geral[[#This Row],[Tipo Fluxo]]
)</f>
        <v>Saida</v>
      </c>
      <c r="D7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7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768" t="str">
        <f ca="1">IF(
  $O$7="Desbloqueado",
  "PROD"&amp;TEXT(RANDBETWEEN(1,200),"000"),
  Tabela_Movimentacao_Geral[[#This Row],[ID Produto]]
)</f>
        <v>PROD129</v>
      </c>
      <c r="G768" t="str">
        <f ca="1">_xlfn.XLOOKUP(Tabela_Movimentacao_Geral[[#This Row],[ID Produto]], Tabela_Produtos[ID_Produto],Tabela_Produtos[Descricao_Produto],"Produto não encontrado")</f>
        <v>Mesa Digitalizadora Media</v>
      </c>
      <c r="H768" cm="1">
        <f t="array" aca="1" ref="H768" ca="1">IF(
   $O$7="Desbloqueado",
   _xlfn.LET(
     _xlpm.saldo_atual, SUM(($C$2:$C767="Entrada")*($F$2:$F767=Tabela_Movimentacao_Geral[[#This Row],[ID Produto]])*($H$2:$H767) - ($C$2:$C767="Saida")*($F$2:$F767=Tabela_Movimentacao_Geral[[#This Row],[ID Produto]])*($H$2:$H767)),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768" s="5">
        <f ca="1">_xlfn.XLOOKUP(Tabela_Movimentacao_Geral[[#This Row],[ID Produto]], Tabela_Produtos[ID_Produto],Tabela_Produtos[Preco_Unitario_Venda])</f>
        <v>650</v>
      </c>
      <c r="J768" s="6">
        <f ca="1">Tabela_Movimentacao_Geral[[#This Row],[Quantidade]] * Tabela_Movimentacao_Geral[[#This Row],[Valor Unitário]]</f>
        <v>1300</v>
      </c>
      <c r="K768" t="str">
        <f ca="1">IF(
   $O$7="Desbloqueado",
   CHOOSE(RANDBETWEEN(1,3),"Pago","Pendente","Atrasado"),
   Tabela_Movimentacao_Geral[[#This Row],[Status Financeiro]]
)</f>
        <v>Pago</v>
      </c>
      <c r="L768" t="str">
        <f ca="1">IF(
   $O$7="Desbloqueado",
   CHOOSE(RANDBETWEEN(1,3),"Entregue","Em Rota","Aguardando"),
   Tabela_Movimentacao_Geral[[#This Row],[Status Logistico]]
)</f>
        <v>Entregue</v>
      </c>
      <c r="M76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69" spans="1:13" x14ac:dyDescent="0.3">
      <c r="A769" t="str">
        <f t="shared" si="11"/>
        <v>T0768</v>
      </c>
      <c r="B769" s="1">
        <v>46026</v>
      </c>
      <c r="C769" t="str" cm="1">
        <f t="array" aca="1" ref="C769" ca="1">IF($O$7="Desbloqueado",
  _xlfn.LET(
    _xlpm.saldo_atual, SUM(($C$2:$C768="Entrada")*($F$2:$F768=Tabela_Movimentacao_Geral[[#This Row],[ID Produto]])*($H$2:$H768) - ($C$2:$C768="Saida")*($F$2:$F768=Tabela_Movimentacao_Geral[[#This Row],[ID Produto]])*($H$2:$H768)),
    IF(_xlpm.saldo_atual &gt; 0, IF(RANDBETWEEN(0,10)&gt;3,"Saida","Entrada"), "Entrada")
  ),
  Tabela_Movimentacao_Geral[[#This Row],[Tipo Fluxo]]
)</f>
        <v>Saida</v>
      </c>
      <c r="D7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7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769" t="str">
        <f ca="1">IF(
  $O$7="Desbloqueado",
  "PROD"&amp;TEXT(RANDBETWEEN(1,200),"000"),
  Tabela_Movimentacao_Geral[[#This Row],[ID Produto]]
)</f>
        <v>PROD127</v>
      </c>
      <c r="G769" t="str">
        <f ca="1">_xlfn.XLOOKUP(Tabela_Movimentacao_Geral[[#This Row],[ID Produto]], Tabela_Produtos[ID_Produto],Tabela_Produtos[Descricao_Produto],"Produto não encontrado")</f>
        <v>Hub USB-C 7 em 1</v>
      </c>
      <c r="H769" cm="1">
        <f t="array" aca="1" ref="H769" ca="1">IF(
   $O$7="Desbloqueado",
   _xlfn.LET(
     _xlpm.saldo_atual, SUM(($C$2:$C768="Entrada")*($F$2:$F768=Tabela_Movimentacao_Geral[[#This Row],[ID Produto]])*($H$2:$H768) - ($C$2:$C768="Saida")*($F$2:$F768=Tabela_Movimentacao_Geral[[#This Row],[ID Produto]])*($H$2:$H768)),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769" s="5">
        <f ca="1">_xlfn.XLOOKUP(Tabela_Movimentacao_Geral[[#This Row],[ID Produto]], Tabela_Produtos[ID_Produto],Tabela_Produtos[Preco_Unitario_Venda])</f>
        <v>350</v>
      </c>
      <c r="J769" s="6">
        <f ca="1">Tabela_Movimentacao_Geral[[#This Row],[Quantidade]] * Tabela_Movimentacao_Geral[[#This Row],[Valor Unitário]]</f>
        <v>15750</v>
      </c>
      <c r="K769" t="str">
        <f ca="1">IF(
   $O$7="Desbloqueado",
   CHOOSE(RANDBETWEEN(1,3),"Pago","Pendente","Atrasado"),
   Tabela_Movimentacao_Geral[[#This Row],[Status Financeiro]]
)</f>
        <v>Atrasado</v>
      </c>
      <c r="L769" t="str">
        <f ca="1">IF(
   $O$7="Desbloqueado",
   CHOOSE(RANDBETWEEN(1,3),"Entregue","Em Rota","Aguardando"),
   Tabela_Movimentacao_Geral[[#This Row],[Status Logistico]]
)</f>
        <v>Em Rota</v>
      </c>
      <c r="M76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70" spans="1:13" x14ac:dyDescent="0.3">
      <c r="A770" t="str">
        <f t="shared" si="11"/>
        <v>T0769</v>
      </c>
      <c r="B770" s="1">
        <v>46026</v>
      </c>
      <c r="C770" t="str" cm="1">
        <f t="array" aca="1" ref="C770" ca="1">IF($O$7="Desbloqueado",
  _xlfn.LET(
    _xlpm.saldo_atual, SUM(($C$2:$C769="Entrada")*($F$2:$F769=Tabela_Movimentacao_Geral[[#This Row],[ID Produto]])*($H$2:$H769) - ($C$2:$C769="Saida")*($F$2:$F769=Tabela_Movimentacao_Geral[[#This Row],[ID Produto]])*($H$2:$H769)),
    IF(_xlpm.saldo_atual &gt; 0, IF(RANDBETWEEN(0,10)&gt;3,"Saida","Entrada"), "Entrada")
  ),
  Tabela_Movimentacao_Geral[[#This Row],[Tipo Fluxo]]
)</f>
        <v>Saida</v>
      </c>
      <c r="D7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7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770" t="str">
        <f ca="1">IF(
  $O$7="Desbloqueado",
  "PROD"&amp;TEXT(RANDBETWEEN(1,200),"000"),
  Tabela_Movimentacao_Geral[[#This Row],[ID Produto]]
)</f>
        <v>PROD123</v>
      </c>
      <c r="G770" t="str">
        <f ca="1">_xlfn.XLOOKUP(Tabela_Movimentacao_Geral[[#This Row],[ID Produto]], Tabela_Produtos[ID_Produto],Tabela_Produtos[Descricao_Produto],"Produto não encontrado")</f>
        <v>Assinatura Zoom Business</v>
      </c>
      <c r="H770" cm="1">
        <f t="array" aca="1" ref="H770" ca="1">IF(
   $O$7="Desbloqueado",
   _xlfn.LET(
     _xlpm.saldo_atual, SUM(($C$2:$C769="Entrada")*($F$2:$F769=Tabela_Movimentacao_Geral[[#This Row],[ID Produto]])*($H$2:$H769) - ($C$2:$C769="Saida")*($F$2:$F769=Tabela_Movimentacao_Geral[[#This Row],[ID Produto]])*($H$2:$H769)),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93</v>
      </c>
      <c r="I770" s="5">
        <f ca="1">_xlfn.XLOOKUP(Tabela_Movimentacao_Geral[[#This Row],[ID Produto]], Tabela_Produtos[ID_Produto],Tabela_Produtos[Preco_Unitario_Venda])</f>
        <v>950</v>
      </c>
      <c r="J770" s="6">
        <f ca="1">Tabela_Movimentacao_Geral[[#This Row],[Quantidade]] * Tabela_Movimentacao_Geral[[#This Row],[Valor Unitário]]</f>
        <v>88350</v>
      </c>
      <c r="K770" t="str">
        <f ca="1">IF(
   $O$7="Desbloqueado",
   CHOOSE(RANDBETWEEN(1,3),"Pago","Pendente","Atrasado"),
   Tabela_Movimentacao_Geral[[#This Row],[Status Financeiro]]
)</f>
        <v>Atrasado</v>
      </c>
      <c r="L770" t="str">
        <f ca="1">IF(
   $O$7="Desbloqueado",
   CHOOSE(RANDBETWEEN(1,3),"Entregue","Em Rota","Aguardando"),
   Tabela_Movimentacao_Geral[[#This Row],[Status Logistico]]
)</f>
        <v>Entregue</v>
      </c>
      <c r="M77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71" spans="1:13" x14ac:dyDescent="0.3">
      <c r="A771" t="str">
        <f t="shared" si="11"/>
        <v>T0770</v>
      </c>
      <c r="B771" s="1">
        <v>46026</v>
      </c>
      <c r="C771" t="str" cm="1">
        <f t="array" aca="1" ref="C771" ca="1">IF($O$7="Desbloqueado",
  _xlfn.LET(
    _xlpm.saldo_atual, SUM(($C$2:$C770="Entrada")*($F$2:$F770=Tabela_Movimentacao_Geral[[#This Row],[ID Produto]])*($H$2:$H770) - ($C$2:$C770="Saida")*($F$2:$F770=Tabela_Movimentacao_Geral[[#This Row],[ID Produto]])*($H$2:$H770)),
    IF(_xlpm.saldo_atual &gt; 0, IF(RANDBETWEEN(0,10)&gt;3,"Saida","Entrada"), "Entrada")
  ),
  Tabela_Movimentacao_Geral[[#This Row],[Tipo Fluxo]]
)</f>
        <v>Entrada</v>
      </c>
      <c r="D7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7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771" t="str">
        <f ca="1">IF(
  $O$7="Desbloqueado",
  "PROD"&amp;TEXT(RANDBETWEEN(1,200),"000"),
  Tabela_Movimentacao_Geral[[#This Row],[ID Produto]]
)</f>
        <v>PROD062</v>
      </c>
      <c r="G771" t="str">
        <f ca="1">_xlfn.XLOOKUP(Tabela_Movimentacao_Geral[[#This Row],[ID Produto]], Tabela_Produtos[ID_Produto],Tabela_Produtos[Descricao_Produto],"Produto não encontrado")</f>
        <v>Regua 30cm Acrilico</v>
      </c>
      <c r="H771" cm="1">
        <f t="array" aca="1" ref="H771" ca="1">IF(
   $O$7="Desbloqueado",
   _xlfn.LET(
     _xlpm.saldo_atual, SUM(($C$2:$C770="Entrada")*($F$2:$F770=Tabela_Movimentacao_Geral[[#This Row],[ID Produto]])*($H$2:$H770) - ($C$2:$C770="Saida")*($F$2:$F770=Tabela_Movimentacao_Geral[[#This Row],[ID Produto]])*($H$2:$H770)),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771" s="5">
        <f ca="1">_xlfn.XLOOKUP(Tabela_Movimentacao_Geral[[#This Row],[ID Produto]], Tabela_Produtos[ID_Produto],Tabela_Produtos[Preco_Unitario_Venda])</f>
        <v>4.5</v>
      </c>
      <c r="J771" s="6">
        <f ca="1">Tabela_Movimentacao_Geral[[#This Row],[Quantidade]] * Tabela_Movimentacao_Geral[[#This Row],[Valor Unitário]]</f>
        <v>211.5</v>
      </c>
      <c r="K771" t="str">
        <f ca="1">IF(
   $O$7="Desbloqueado",
   CHOOSE(RANDBETWEEN(1,3),"Pago","Pendente","Atrasado"),
   Tabela_Movimentacao_Geral[[#This Row],[Status Financeiro]]
)</f>
        <v>Atrasado</v>
      </c>
      <c r="L771" t="str">
        <f ca="1">IF(
   $O$7="Desbloqueado",
   CHOOSE(RANDBETWEEN(1,3),"Entregue","Em Rota","Aguardando"),
   Tabela_Movimentacao_Geral[[#This Row],[Status Logistico]]
)</f>
        <v>Entregue</v>
      </c>
      <c r="M7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46027</v>
      </c>
    </row>
    <row r="772" spans="1:13" x14ac:dyDescent="0.3">
      <c r="A772" t="str">
        <f t="shared" si="11"/>
        <v>T0771</v>
      </c>
      <c r="B772" s="1">
        <v>46027</v>
      </c>
      <c r="C772" t="str" cm="1">
        <f t="array" aca="1" ref="C772" ca="1">IF($O$7="Desbloqueado",
  _xlfn.LET(
    _xlpm.saldo_atual, SUM(($C$2:$C771="Entrada")*($F$2:$F771=Tabela_Movimentacao_Geral[[#This Row],[ID Produto]])*($H$2:$H771) - ($C$2:$C771="Saida")*($F$2:$F771=Tabela_Movimentacao_Geral[[#This Row],[ID Produto]])*($H$2:$H771)),
    IF(_xlpm.saldo_atual &gt; 0, IF(RANDBETWEEN(0,10)&gt;3,"Saida","Entrada"), "Entrada")
  ),
  Tabela_Movimentacao_Geral[[#This Row],[Tipo Fluxo]]
)</f>
        <v>Entrada</v>
      </c>
      <c r="D7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7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772" t="str">
        <f ca="1">IF(
  $O$7="Desbloqueado",
  "PROD"&amp;TEXT(RANDBETWEEN(1,200),"000"),
  Tabela_Movimentacao_Geral[[#This Row],[ID Produto]]
)</f>
        <v>PROD145</v>
      </c>
      <c r="G772" t="str">
        <f ca="1">_xlfn.XLOOKUP(Tabela_Movimentacao_Geral[[#This Row],[ID Produto]], Tabela_Produtos[ID_Produto],Tabela_Produtos[Descricao_Produto],"Produto não encontrado")</f>
        <v>Pulseira Antiestatica</v>
      </c>
      <c r="H772" cm="1">
        <f t="array" aca="1" ref="H772" ca="1">IF(
   $O$7="Desbloqueado",
   _xlfn.LET(
     _xlpm.saldo_atual, SUM(($C$2:$C771="Entrada")*($F$2:$F771=Tabela_Movimentacao_Geral[[#This Row],[ID Produto]])*($H$2:$H771) - ($C$2:$C771="Saida")*($F$2:$F771=Tabela_Movimentacao_Geral[[#This Row],[ID Produto]])*($H$2:$H771)),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772" s="5">
        <f ca="1">_xlfn.XLOOKUP(Tabela_Movimentacao_Geral[[#This Row],[ID Produto]], Tabela_Produtos[ID_Produto],Tabela_Produtos[Preco_Unitario_Venda])</f>
        <v>25</v>
      </c>
      <c r="J772" s="6">
        <f ca="1">Tabela_Movimentacao_Geral[[#This Row],[Quantidade]] * Tabela_Movimentacao_Geral[[#This Row],[Valor Unitário]]</f>
        <v>650</v>
      </c>
      <c r="K772" t="str">
        <f ca="1">IF(
   $O$7="Desbloqueado",
   CHOOSE(RANDBETWEEN(1,3),"Pago","Pendente","Atrasado"),
   Tabela_Movimentacao_Geral[[#This Row],[Status Financeiro]]
)</f>
        <v>Pago</v>
      </c>
      <c r="L772" t="str">
        <f ca="1">IF(
   $O$7="Desbloqueado",
   CHOOSE(RANDBETWEEN(1,3),"Entregue","Em Rota","Aguardando"),
   Tabela_Movimentacao_Geral[[#This Row],[Status Logistico]]
)</f>
        <v>Entregue</v>
      </c>
      <c r="M77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46028</v>
      </c>
    </row>
    <row r="773" spans="1:13" x14ac:dyDescent="0.3">
      <c r="A773" t="str">
        <f t="shared" si="11"/>
        <v>T0772</v>
      </c>
      <c r="B773" s="1">
        <v>46027</v>
      </c>
      <c r="C773" t="str" cm="1">
        <f t="array" aca="1" ref="C773" ca="1">IF($O$7="Desbloqueado",
  _xlfn.LET(
    _xlpm.saldo_atual, SUM(($C$2:$C772="Entrada")*($F$2:$F772=Tabela_Movimentacao_Geral[[#This Row],[ID Produto]])*($H$2:$H772) - ($C$2:$C772="Saida")*($F$2:$F772=Tabela_Movimentacao_Geral[[#This Row],[ID Produto]])*($H$2:$H772)),
    IF(_xlpm.saldo_atual &gt; 0, IF(RANDBETWEEN(0,10)&gt;3,"Saida","Entrada"), "Entrada")
  ),
  Tabela_Movimentacao_Geral[[#This Row],[Tipo Fluxo]]
)</f>
        <v>Saida</v>
      </c>
      <c r="D7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7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773" t="str">
        <f ca="1">IF(
  $O$7="Desbloqueado",
  "PROD"&amp;TEXT(RANDBETWEEN(1,200),"000"),
  Tabela_Movimentacao_Geral[[#This Row],[ID Produto]]
)</f>
        <v>PROD147</v>
      </c>
      <c r="G773" t="str">
        <f ca="1">_xlfn.XLOOKUP(Tabela_Movimentacao_Geral[[#This Row],[ID Produto]], Tabela_Produtos[ID_Produto],Tabela_Produtos[Descricao_Produto],"Produto não encontrado")</f>
        <v>Testador de Cabo de Rede</v>
      </c>
      <c r="H773" cm="1">
        <f t="array" aca="1" ref="H773" ca="1">IF(
   $O$7="Desbloqueado",
   _xlfn.LET(
     _xlpm.saldo_atual, SUM(($C$2:$C772="Entrada")*($F$2:$F772=Tabela_Movimentacao_Geral[[#This Row],[ID Produto]])*($H$2:$H772) - ($C$2:$C772="Saida")*($F$2:$F772=Tabela_Movimentacao_Geral[[#This Row],[ID Produto]])*($H$2:$H772)),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773" s="5">
        <f ca="1">_xlfn.XLOOKUP(Tabela_Movimentacao_Geral[[#This Row],[ID Produto]], Tabela_Produtos[ID_Produto],Tabela_Produtos[Preco_Unitario_Venda])</f>
        <v>65</v>
      </c>
      <c r="J773" s="6">
        <f ca="1">Tabela_Movimentacao_Geral[[#This Row],[Quantidade]] * Tabela_Movimentacao_Geral[[#This Row],[Valor Unitário]]</f>
        <v>780</v>
      </c>
      <c r="K773" t="str">
        <f ca="1">IF(
   $O$7="Desbloqueado",
   CHOOSE(RANDBETWEEN(1,3),"Pago","Pendente","Atrasado"),
   Tabela_Movimentacao_Geral[[#This Row],[Status Financeiro]]
)</f>
        <v>Pendente</v>
      </c>
      <c r="L773" t="str">
        <f ca="1">IF(
   $O$7="Desbloqueado",
   CHOOSE(RANDBETWEEN(1,3),"Entregue","Em Rota","Aguardando"),
   Tabela_Movimentacao_Geral[[#This Row],[Status Logistico]]
)</f>
        <v>Entregue</v>
      </c>
      <c r="M77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74" spans="1:13" x14ac:dyDescent="0.3">
      <c r="A774" t="str">
        <f t="shared" si="11"/>
        <v>T0773</v>
      </c>
      <c r="B774" s="1">
        <v>46028</v>
      </c>
      <c r="C774" t="str" cm="1">
        <f t="array" aca="1" ref="C774" ca="1">IF($O$7="Desbloqueado",
  _xlfn.LET(
    _xlpm.saldo_atual, SUM(($C$2:$C773="Entrada")*($F$2:$F773=Tabela_Movimentacao_Geral[[#This Row],[ID Produto]])*($H$2:$H773) - ($C$2:$C773="Saida")*($F$2:$F773=Tabela_Movimentacao_Geral[[#This Row],[ID Produto]])*($H$2:$H773)),
    IF(_xlpm.saldo_atual &gt; 0, IF(RANDBETWEEN(0,10)&gt;3,"Saida","Entrada"), "Entrada")
  ),
  Tabela_Movimentacao_Geral[[#This Row],[Tipo Fluxo]]
)</f>
        <v>Entrada</v>
      </c>
      <c r="D7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7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774" t="str">
        <f ca="1">IF(
  $O$7="Desbloqueado",
  "PROD"&amp;TEXT(RANDBETWEEN(1,200),"000"),
  Tabela_Movimentacao_Geral[[#This Row],[ID Produto]]
)</f>
        <v>PROD178</v>
      </c>
      <c r="G774" t="str">
        <f ca="1">_xlfn.XLOOKUP(Tabela_Movimentacao_Geral[[#This Row],[ID Produto]], Tabela_Produtos[ID_Produto],Tabela_Produtos[Descricao_Produto],"Produto não encontrado")</f>
        <v>Armario de Aco 2 Portas</v>
      </c>
      <c r="H774" cm="1">
        <f t="array" aca="1" ref="H774" ca="1">IF(
   $O$7="Desbloqueado",
   _xlfn.LET(
     _xlpm.saldo_atual, SUM(($C$2:$C773="Entrada")*($F$2:$F773=Tabela_Movimentacao_Geral[[#This Row],[ID Produto]])*($H$2:$H773) - ($C$2:$C773="Saida")*($F$2:$F773=Tabela_Movimentacao_Geral[[#This Row],[ID Produto]])*($H$2:$H773)),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80</v>
      </c>
      <c r="I774" s="5">
        <f ca="1">_xlfn.XLOOKUP(Tabela_Movimentacao_Geral[[#This Row],[ID Produto]], Tabela_Produtos[ID_Produto],Tabela_Produtos[Preco_Unitario_Venda])</f>
        <v>850</v>
      </c>
      <c r="J774" s="6">
        <f ca="1">Tabela_Movimentacao_Geral[[#This Row],[Quantidade]] * Tabela_Movimentacao_Geral[[#This Row],[Valor Unitário]]</f>
        <v>68000</v>
      </c>
      <c r="K774" t="str">
        <f ca="1">IF(
   $O$7="Desbloqueado",
   CHOOSE(RANDBETWEEN(1,3),"Pago","Pendente","Atrasado"),
   Tabela_Movimentacao_Geral[[#This Row],[Status Financeiro]]
)</f>
        <v>Pago</v>
      </c>
      <c r="L774" t="str">
        <f ca="1">IF(
   $O$7="Desbloqueado",
   CHOOSE(RANDBETWEEN(1,3),"Entregue","Em Rota","Aguardando"),
   Tabela_Movimentacao_Geral[[#This Row],[Status Logistico]]
)</f>
        <v>Em Rota</v>
      </c>
      <c r="M77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46030</v>
      </c>
    </row>
    <row r="775" spans="1:13" x14ac:dyDescent="0.3">
      <c r="A775" t="str">
        <f t="shared" si="11"/>
        <v>T0774</v>
      </c>
      <c r="B775" s="1">
        <v>46028</v>
      </c>
      <c r="C775" t="str" cm="1">
        <f t="array" aca="1" ref="C775" ca="1">IF($O$7="Desbloqueado",
  _xlfn.LET(
    _xlpm.saldo_atual, SUM(($C$2:$C774="Entrada")*($F$2:$F774=Tabela_Movimentacao_Geral[[#This Row],[ID Produto]])*($H$2:$H774) - ($C$2:$C774="Saida")*($F$2:$F774=Tabela_Movimentacao_Geral[[#This Row],[ID Produto]])*($H$2:$H774)),
    IF(_xlpm.saldo_atual &gt; 0, IF(RANDBETWEEN(0,10)&gt;3,"Saida","Entrada"), "Entrada")
  ),
  Tabela_Movimentacao_Geral[[#This Row],[Tipo Fluxo]]
)</f>
        <v>Saida</v>
      </c>
      <c r="D7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7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775" t="str">
        <f ca="1">IF(
  $O$7="Desbloqueado",
  "PROD"&amp;TEXT(RANDBETWEEN(1,200),"000"),
  Tabela_Movimentacao_Geral[[#This Row],[ID Produto]]
)</f>
        <v>PROD012</v>
      </c>
      <c r="G775" t="str">
        <f ca="1">_xlfn.XLOOKUP(Tabela_Movimentacao_Geral[[#This Row],[ID Produto]], Tabela_Produtos[ID_Produto],Tabela_Produtos[Descricao_Produto],"Produto não encontrado")</f>
        <v>Webcam 1080p Business</v>
      </c>
      <c r="H775" cm="1">
        <f t="array" aca="1" ref="H775" ca="1">IF(
   $O$7="Desbloqueado",
   _xlfn.LET(
     _xlpm.saldo_atual, SUM(($C$2:$C774="Entrada")*($F$2:$F774=Tabela_Movimentacao_Geral[[#This Row],[ID Produto]])*($H$2:$H774) - ($C$2:$C774="Saida")*($F$2:$F774=Tabela_Movimentacao_Geral[[#This Row],[ID Produto]])*($H$2:$H774)),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775" s="5">
        <f ca="1">_xlfn.XLOOKUP(Tabela_Movimentacao_Geral[[#This Row],[ID Produto]], Tabela_Produtos[ID_Produto],Tabela_Produtos[Preco_Unitario_Venda])</f>
        <v>450</v>
      </c>
      <c r="J775" s="6">
        <f ca="1">Tabela_Movimentacao_Geral[[#This Row],[Quantidade]] * Tabela_Movimentacao_Geral[[#This Row],[Valor Unitário]]</f>
        <v>2250</v>
      </c>
      <c r="K775" t="str">
        <f ca="1">IF(
   $O$7="Desbloqueado",
   CHOOSE(RANDBETWEEN(1,3),"Pago","Pendente","Atrasado"),
   Tabela_Movimentacao_Geral[[#This Row],[Status Financeiro]]
)</f>
        <v>Pago</v>
      </c>
      <c r="L775" t="str">
        <f ca="1">IF(
   $O$7="Desbloqueado",
   CHOOSE(RANDBETWEEN(1,3),"Entregue","Em Rota","Aguardando"),
   Tabela_Movimentacao_Geral[[#This Row],[Status Logistico]]
)</f>
        <v>Em Rota</v>
      </c>
      <c r="M77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76" spans="1:13" x14ac:dyDescent="0.3">
      <c r="A776" t="str">
        <f t="shared" si="11"/>
        <v>T0775</v>
      </c>
      <c r="B776" s="1">
        <v>46028</v>
      </c>
      <c r="C776" t="str" cm="1">
        <f t="array" aca="1" ref="C776" ca="1">IF($O$7="Desbloqueado",
  _xlfn.LET(
    _xlpm.saldo_atual, SUM(($C$2:$C775="Entrada")*($F$2:$F775=Tabela_Movimentacao_Geral[[#This Row],[ID Produto]])*($H$2:$H775) - ($C$2:$C775="Saida")*($F$2:$F775=Tabela_Movimentacao_Geral[[#This Row],[ID Produto]])*($H$2:$H775)),
    IF(_xlpm.saldo_atual &gt; 0, IF(RANDBETWEEN(0,10)&gt;3,"Saida","Entrada"), "Entrada")
  ),
  Tabela_Movimentacao_Geral[[#This Row],[Tipo Fluxo]]
)</f>
        <v>Saida</v>
      </c>
      <c r="D7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7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776" t="str">
        <f ca="1">IF(
  $O$7="Desbloqueado",
  "PROD"&amp;TEXT(RANDBETWEEN(1,200),"000"),
  Tabela_Movimentacao_Geral[[#This Row],[ID Produto]]
)</f>
        <v>PROD140</v>
      </c>
      <c r="G776" t="str">
        <f ca="1">_xlfn.XLOOKUP(Tabela_Movimentacao_Geral[[#This Row],[ID Produto]], Tabela_Produtos[ID_Produto],Tabela_Produtos[Descricao_Produto],"Produto não encontrado")</f>
        <v>Leitor Cartao de Memoria</v>
      </c>
      <c r="H776" cm="1">
        <f t="array" aca="1" ref="H776" ca="1">IF(
   $O$7="Desbloqueado",
   _xlfn.LET(
     _xlpm.saldo_atual, SUM(($C$2:$C775="Entrada")*($F$2:$F775=Tabela_Movimentacao_Geral[[#This Row],[ID Produto]])*($H$2:$H775) - ($C$2:$C775="Saida")*($F$2:$F775=Tabela_Movimentacao_Geral[[#This Row],[ID Produto]])*($H$2:$H775)),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776" s="5">
        <f ca="1">_xlfn.XLOOKUP(Tabela_Movimentacao_Geral[[#This Row],[ID Produto]], Tabela_Produtos[ID_Produto],Tabela_Produtos[Preco_Unitario_Venda])</f>
        <v>45</v>
      </c>
      <c r="J776" s="6">
        <f ca="1">Tabela_Movimentacao_Geral[[#This Row],[Quantidade]] * Tabela_Movimentacao_Geral[[#This Row],[Valor Unitário]]</f>
        <v>3285</v>
      </c>
      <c r="K776" t="str">
        <f ca="1">IF(
   $O$7="Desbloqueado",
   CHOOSE(RANDBETWEEN(1,3),"Pago","Pendente","Atrasado"),
   Tabela_Movimentacao_Geral[[#This Row],[Status Financeiro]]
)</f>
        <v>Pago</v>
      </c>
      <c r="L776" t="str">
        <f ca="1">IF(
   $O$7="Desbloqueado",
   CHOOSE(RANDBETWEEN(1,3),"Entregue","Em Rota","Aguardando"),
   Tabela_Movimentacao_Geral[[#This Row],[Status Logistico]]
)</f>
        <v>Aguardando</v>
      </c>
      <c r="M77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77" spans="1:13" x14ac:dyDescent="0.3">
      <c r="A777" t="str">
        <f t="shared" si="11"/>
        <v>T0776</v>
      </c>
      <c r="B777" s="1">
        <v>46029</v>
      </c>
      <c r="C777" t="str" cm="1">
        <f t="array" aca="1" ref="C777" ca="1">IF($O$7="Desbloqueado",
  _xlfn.LET(
    _xlpm.saldo_atual, SUM(($C$2:$C776="Entrada")*($F$2:$F776=Tabela_Movimentacao_Geral[[#This Row],[ID Produto]])*($H$2:$H776) - ($C$2:$C776="Saida")*($F$2:$F776=Tabela_Movimentacao_Geral[[#This Row],[ID Produto]])*($H$2:$H776)),
    IF(_xlpm.saldo_atual &gt; 0, IF(RANDBETWEEN(0,10)&gt;3,"Saida","Entrada"), "Entrada")
  ),
  Tabela_Movimentacao_Geral[[#This Row],[Tipo Fluxo]]
)</f>
        <v>Saida</v>
      </c>
      <c r="D7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7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777" t="str">
        <f ca="1">IF(
  $O$7="Desbloqueado",
  "PROD"&amp;TEXT(RANDBETWEEN(1,200),"000"),
  Tabela_Movimentacao_Geral[[#This Row],[ID Produto]]
)</f>
        <v>PROD112</v>
      </c>
      <c r="G777" t="str">
        <f ca="1">_xlfn.XLOOKUP(Tabela_Movimentacao_Geral[[#This Row],[ID Produto]], Tabela_Produtos[ID_Produto],Tabela_Produtos[Descricao_Produto],"Produto não encontrado")</f>
        <v>Webcam 4K Streaming</v>
      </c>
      <c r="H777" cm="1">
        <f t="array" aca="1" ref="H777" ca="1">IF(
   $O$7="Desbloqueado",
   _xlfn.LET(
     _xlpm.saldo_atual, SUM(($C$2:$C776="Entrada")*($F$2:$F776=Tabela_Movimentacao_Geral[[#This Row],[ID Produto]])*($H$2:$H776) - ($C$2:$C776="Saida")*($F$2:$F776=Tabela_Movimentacao_Geral[[#This Row],[ID Produto]])*($H$2:$H776)),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777" s="5">
        <f ca="1">_xlfn.XLOOKUP(Tabela_Movimentacao_Geral[[#This Row],[ID Produto]], Tabela_Produtos[ID_Produto],Tabela_Produtos[Preco_Unitario_Venda])</f>
        <v>1100</v>
      </c>
      <c r="J777" s="6">
        <f ca="1">Tabela_Movimentacao_Geral[[#This Row],[Quantidade]] * Tabela_Movimentacao_Geral[[#This Row],[Valor Unitário]]</f>
        <v>48400</v>
      </c>
      <c r="K777" t="str">
        <f ca="1">IF(
   $O$7="Desbloqueado",
   CHOOSE(RANDBETWEEN(1,3),"Pago","Pendente","Atrasado"),
   Tabela_Movimentacao_Geral[[#This Row],[Status Financeiro]]
)</f>
        <v>Atrasado</v>
      </c>
      <c r="L777" t="str">
        <f ca="1">IF(
   $O$7="Desbloqueado",
   CHOOSE(RANDBETWEEN(1,3),"Entregue","Em Rota","Aguardando"),
   Tabela_Movimentacao_Geral[[#This Row],[Status Logistico]]
)</f>
        <v>Aguardando</v>
      </c>
      <c r="M77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78" spans="1:13" x14ac:dyDescent="0.3">
      <c r="A778" t="str">
        <f t="shared" si="11"/>
        <v>T0777</v>
      </c>
      <c r="B778" s="1">
        <v>46029</v>
      </c>
      <c r="C778" t="str" cm="1">
        <f t="array" aca="1" ref="C778" ca="1">IF($O$7="Desbloqueado",
  _xlfn.LET(
    _xlpm.saldo_atual, SUM(($C$2:$C777="Entrada")*($F$2:$F777=Tabela_Movimentacao_Geral[[#This Row],[ID Produto]])*($H$2:$H777) - ($C$2:$C777="Saida")*($F$2:$F777=Tabela_Movimentacao_Geral[[#This Row],[ID Produto]])*($H$2:$H777)),
    IF(_xlpm.saldo_atual &gt; 0, IF(RANDBETWEEN(0,10)&gt;3,"Saida","Entrada"), "Entrada")
  ),
  Tabela_Movimentacao_Geral[[#This Row],[Tipo Fluxo]]
)</f>
        <v>Saida</v>
      </c>
      <c r="D7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7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778" t="str">
        <f ca="1">IF(
  $O$7="Desbloqueado",
  "PROD"&amp;TEXT(RANDBETWEEN(1,200),"000"),
  Tabela_Movimentacao_Geral[[#This Row],[ID Produto]]
)</f>
        <v>PROD023</v>
      </c>
      <c r="G778" t="str">
        <f ca="1">_xlfn.XLOOKUP(Tabela_Movimentacao_Geral[[#This Row],[ID Produto]], Tabela_Produtos[ID_Produto],Tabela_Produtos[Descricao_Produto],"Produto não encontrado")</f>
        <v>Antivirus Endpoint 1 Ano</v>
      </c>
      <c r="H778" cm="1">
        <f t="array" aca="1" ref="H778" ca="1">IF(
   $O$7="Desbloqueado",
   _xlfn.LET(
     _xlpm.saldo_atual, SUM(($C$2:$C777="Entrada")*($F$2:$F777=Tabela_Movimentacao_Geral[[#This Row],[ID Produto]])*($H$2:$H777) - ($C$2:$C777="Saida")*($F$2:$F777=Tabela_Movimentacao_Geral[[#This Row],[ID Produto]])*($H$2:$H777)),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149</v>
      </c>
      <c r="I778" s="5">
        <f ca="1">_xlfn.XLOOKUP(Tabela_Movimentacao_Geral[[#This Row],[ID Produto]], Tabela_Produtos[ID_Produto],Tabela_Produtos[Preco_Unitario_Venda])</f>
        <v>150</v>
      </c>
      <c r="J778" s="6">
        <f ca="1">Tabela_Movimentacao_Geral[[#This Row],[Quantidade]] * Tabela_Movimentacao_Geral[[#This Row],[Valor Unitário]]</f>
        <v>22350</v>
      </c>
      <c r="K778" t="str">
        <f ca="1">IF(
   $O$7="Desbloqueado",
   CHOOSE(RANDBETWEEN(1,3),"Pago","Pendente","Atrasado"),
   Tabela_Movimentacao_Geral[[#This Row],[Status Financeiro]]
)</f>
        <v>Pendente</v>
      </c>
      <c r="L778" t="str">
        <f ca="1">IF(
   $O$7="Desbloqueado",
   CHOOSE(RANDBETWEEN(1,3),"Entregue","Em Rota","Aguardando"),
   Tabela_Movimentacao_Geral[[#This Row],[Status Logistico]]
)</f>
        <v>Entregue</v>
      </c>
      <c r="M77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79" spans="1:13" x14ac:dyDescent="0.3">
      <c r="A779" t="str">
        <f t="shared" si="11"/>
        <v>T0778</v>
      </c>
      <c r="B779" s="1">
        <v>46029</v>
      </c>
      <c r="C779" t="str" cm="1">
        <f t="array" aca="1" ref="C779" ca="1">IF($O$7="Desbloqueado",
  _xlfn.LET(
    _xlpm.saldo_atual, SUM(($C$2:$C778="Entrada")*($F$2:$F778=Tabela_Movimentacao_Geral[[#This Row],[ID Produto]])*($H$2:$H778) - ($C$2:$C778="Saida")*($F$2:$F778=Tabela_Movimentacao_Geral[[#This Row],[ID Produto]])*($H$2:$H778)),
    IF(_xlpm.saldo_atual &gt; 0, IF(RANDBETWEEN(0,10)&gt;3,"Saida","Entrada"), "Entrada")
  ),
  Tabela_Movimentacao_Geral[[#This Row],[Tipo Fluxo]]
)</f>
        <v>Saida</v>
      </c>
      <c r="D7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7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779" t="str">
        <f ca="1">IF(
  $O$7="Desbloqueado",
  "PROD"&amp;TEXT(RANDBETWEEN(1,200),"000"),
  Tabela_Movimentacao_Geral[[#This Row],[ID Produto]]
)</f>
        <v>PROD162</v>
      </c>
      <c r="G779" t="str">
        <f ca="1">_xlfn.XLOOKUP(Tabela_Movimentacao_Geral[[#This Row],[ID Produto]], Tabela_Produtos[ID_Produto],Tabela_Produtos[Descricao_Produto],"Produto não encontrado")</f>
        <v>Organizador de Mesa Acril</v>
      </c>
      <c r="H779" cm="1">
        <f t="array" aca="1" ref="H779" ca="1">IF(
   $O$7="Desbloqueado",
   _xlfn.LET(
     _xlpm.saldo_atual, SUM(($C$2:$C778="Entrada")*($F$2:$F778=Tabela_Movimentacao_Geral[[#This Row],[ID Produto]])*($H$2:$H778) - ($C$2:$C778="Saida")*($F$2:$F778=Tabela_Movimentacao_Geral[[#This Row],[ID Produto]])*($H$2:$H778)),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65</v>
      </c>
      <c r="I779" s="5">
        <f ca="1">_xlfn.XLOOKUP(Tabela_Movimentacao_Geral[[#This Row],[ID Produto]], Tabela_Produtos[ID_Produto],Tabela_Produtos[Preco_Unitario_Venda])</f>
        <v>55</v>
      </c>
      <c r="J779" s="6">
        <f ca="1">Tabela_Movimentacao_Geral[[#This Row],[Quantidade]] * Tabela_Movimentacao_Geral[[#This Row],[Valor Unitário]]</f>
        <v>3575</v>
      </c>
      <c r="K779" t="str">
        <f ca="1">IF(
   $O$7="Desbloqueado",
   CHOOSE(RANDBETWEEN(1,3),"Pago","Pendente","Atrasado"),
   Tabela_Movimentacao_Geral[[#This Row],[Status Financeiro]]
)</f>
        <v>Pago</v>
      </c>
      <c r="L779" t="str">
        <f ca="1">IF(
   $O$7="Desbloqueado",
   CHOOSE(RANDBETWEEN(1,3),"Entregue","Em Rota","Aguardando"),
   Tabela_Movimentacao_Geral[[#This Row],[Status Logistico]]
)</f>
        <v>Aguardando</v>
      </c>
      <c r="M77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80" spans="1:13" x14ac:dyDescent="0.3">
      <c r="A780" t="str">
        <f t="shared" si="11"/>
        <v>T0779</v>
      </c>
      <c r="B780" s="1">
        <v>46029</v>
      </c>
      <c r="C780" t="str" cm="1">
        <f t="array" aca="1" ref="C780" ca="1">IF($O$7="Desbloqueado",
  _xlfn.LET(
    _xlpm.saldo_atual, SUM(($C$2:$C779="Entrada")*($F$2:$F779=Tabela_Movimentacao_Geral[[#This Row],[ID Produto]])*($H$2:$H779) - ($C$2:$C779="Saida")*($F$2:$F779=Tabela_Movimentacao_Geral[[#This Row],[ID Produto]])*($H$2:$H779)),
    IF(_xlpm.saldo_atual &gt; 0, IF(RANDBETWEEN(0,10)&gt;3,"Saida","Entrada"), "Entrada")
  ),
  Tabela_Movimentacao_Geral[[#This Row],[Tipo Fluxo]]
)</f>
        <v>Entrada</v>
      </c>
      <c r="D7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7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780" t="str">
        <f ca="1">IF(
  $O$7="Desbloqueado",
  "PROD"&amp;TEXT(RANDBETWEEN(1,200),"000"),
  Tabela_Movimentacao_Geral[[#This Row],[ID Produto]]
)</f>
        <v>PROD187</v>
      </c>
      <c r="G780" t="str">
        <f ca="1">_xlfn.XLOOKUP(Tabela_Movimentacao_Geral[[#This Row],[ID Produto]], Tabela_Produtos[ID_Produto],Tabela_Produtos[Descricao_Produto],"Produto não encontrado")</f>
        <v>Trilho para Servidor Univ</v>
      </c>
      <c r="H780" cm="1">
        <f t="array" aca="1" ref="H780" ca="1">IF(
   $O$7="Desbloqueado",
   _xlfn.LET(
     _xlpm.saldo_atual, SUM(($C$2:$C779="Entrada")*($F$2:$F779=Tabela_Movimentacao_Geral[[#This Row],[ID Produto]])*($H$2:$H779) - ($C$2:$C779="Saida")*($F$2:$F779=Tabela_Movimentacao_Geral[[#This Row],[ID Produto]])*($H$2:$H779)),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780" s="5">
        <f ca="1">_xlfn.XLOOKUP(Tabela_Movimentacao_Geral[[#This Row],[ID Produto]], Tabela_Produtos[ID_Produto],Tabela_Produtos[Preco_Unitario_Venda])</f>
        <v>250</v>
      </c>
      <c r="J780" s="6">
        <f ca="1">Tabela_Movimentacao_Geral[[#This Row],[Quantidade]] * Tabela_Movimentacao_Geral[[#This Row],[Valor Unitário]]</f>
        <v>6500</v>
      </c>
      <c r="K780" t="str">
        <f ca="1">IF(
   $O$7="Desbloqueado",
   CHOOSE(RANDBETWEEN(1,3),"Pago","Pendente","Atrasado"),
   Tabela_Movimentacao_Geral[[#This Row],[Status Financeiro]]
)</f>
        <v>Pendente</v>
      </c>
      <c r="L780" t="str">
        <f ca="1">IF(
   $O$7="Desbloqueado",
   CHOOSE(RANDBETWEEN(1,3),"Entregue","Em Rota","Aguardando"),
   Tabela_Movimentacao_Geral[[#This Row],[Status Logistico]]
)</f>
        <v>Entregue</v>
      </c>
      <c r="M7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46033</v>
      </c>
    </row>
    <row r="781" spans="1:13" x14ac:dyDescent="0.3">
      <c r="A781" t="str">
        <f t="shared" si="11"/>
        <v>T0780</v>
      </c>
      <c r="B781" s="1">
        <v>46029</v>
      </c>
      <c r="C781" t="str" cm="1">
        <f t="array" aca="1" ref="C781" ca="1">IF($O$7="Desbloqueado",
  _xlfn.LET(
    _xlpm.saldo_atual, SUM(($C$2:$C780="Entrada")*($F$2:$F780=Tabela_Movimentacao_Geral[[#This Row],[ID Produto]])*($H$2:$H780) - ($C$2:$C780="Saida")*($F$2:$F780=Tabela_Movimentacao_Geral[[#This Row],[ID Produto]])*($H$2:$H780)),
    IF(_xlpm.saldo_atual &gt; 0, IF(RANDBETWEEN(0,10)&gt;3,"Saida","Entrada"), "Entrada")
  ),
  Tabela_Movimentacao_Geral[[#This Row],[Tipo Fluxo]]
)</f>
        <v>Entrada</v>
      </c>
      <c r="D7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7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781" t="str">
        <f ca="1">IF(
  $O$7="Desbloqueado",
  "PROD"&amp;TEXT(RANDBETWEEN(1,200),"000"),
  Tabela_Movimentacao_Geral[[#This Row],[ID Produto]]
)</f>
        <v>PROD015</v>
      </c>
      <c r="G781" t="str">
        <f ca="1">_xlfn.XLOOKUP(Tabela_Movimentacao_Geral[[#This Row],[ID Produto]], Tabela_Produtos[ID_Produto],Tabela_Produtos[Descricao_Produto],"Produto não encontrado")</f>
        <v>Switch 24 Portas Giga</v>
      </c>
      <c r="H781" cm="1">
        <f t="array" aca="1" ref="H781" ca="1">IF(
   $O$7="Desbloqueado",
   _xlfn.LET(
     _xlpm.saldo_atual, SUM(($C$2:$C780="Entrada")*($F$2:$F780=Tabela_Movimentacao_Geral[[#This Row],[ID Produto]])*($H$2:$H780) - ($C$2:$C780="Saida")*($F$2:$F780=Tabela_Movimentacao_Geral[[#This Row],[ID Produto]])*($H$2:$H780)),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84</v>
      </c>
      <c r="I781" s="5">
        <f ca="1">_xlfn.XLOOKUP(Tabela_Movimentacao_Geral[[#This Row],[ID Produto]], Tabela_Produtos[ID_Produto],Tabela_Produtos[Preco_Unitario_Venda])</f>
        <v>1200</v>
      </c>
      <c r="J781" s="6">
        <f ca="1">Tabela_Movimentacao_Geral[[#This Row],[Quantidade]] * Tabela_Movimentacao_Geral[[#This Row],[Valor Unitário]]</f>
        <v>100800</v>
      </c>
      <c r="K781" t="str">
        <f ca="1">IF(
   $O$7="Desbloqueado",
   CHOOSE(RANDBETWEEN(1,3),"Pago","Pendente","Atrasado"),
   Tabela_Movimentacao_Geral[[#This Row],[Status Financeiro]]
)</f>
        <v>Atrasado</v>
      </c>
      <c r="L781" t="str">
        <f ca="1">IF(
   $O$7="Desbloqueado",
   CHOOSE(RANDBETWEEN(1,3),"Entregue","Em Rota","Aguardando"),
   Tabela_Movimentacao_Geral[[#This Row],[Status Logistico]]
)</f>
        <v>Em Rota</v>
      </c>
      <c r="M78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46037</v>
      </c>
    </row>
    <row r="782" spans="1:13" x14ac:dyDescent="0.3">
      <c r="A782" t="str">
        <f t="shared" si="11"/>
        <v>T0781</v>
      </c>
      <c r="B782" s="1">
        <v>46030</v>
      </c>
      <c r="C782" t="str" cm="1">
        <f t="array" aca="1" ref="C782" ca="1">IF($O$7="Desbloqueado",
  _xlfn.LET(
    _xlpm.saldo_atual, SUM(($C$2:$C781="Entrada")*($F$2:$F781=Tabela_Movimentacao_Geral[[#This Row],[ID Produto]])*($H$2:$H781) - ($C$2:$C781="Saida")*($F$2:$F781=Tabela_Movimentacao_Geral[[#This Row],[ID Produto]])*($H$2:$H781)),
    IF(_xlpm.saldo_atual &gt; 0, IF(RANDBETWEEN(0,10)&gt;3,"Saida","Entrada"), "Entrada")
  ),
  Tabela_Movimentacao_Geral[[#This Row],[Tipo Fluxo]]
)</f>
        <v>Saida</v>
      </c>
      <c r="D7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7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782" t="str">
        <f ca="1">IF(
  $O$7="Desbloqueado",
  "PROD"&amp;TEXT(RANDBETWEEN(1,200),"000"),
  Tabela_Movimentacao_Geral[[#This Row],[ID Produto]]
)</f>
        <v>PROD113</v>
      </c>
      <c r="G782" t="str">
        <f ca="1">_xlfn.XLOOKUP(Tabela_Movimentacao_Geral[[#This Row],[ID Produto]], Tabela_Produtos[ID_Produto],Tabela_Produtos[Descricao_Produto],"Produto não encontrado")</f>
        <v>Headphone Bluetooth NoiseC</v>
      </c>
      <c r="H782" cm="1">
        <f t="array" aca="1" ref="H782" ca="1">IF(
   $O$7="Desbloqueado",
   _xlfn.LET(
     _xlpm.saldo_atual, SUM(($C$2:$C781="Entrada")*($F$2:$F781=Tabela_Movimentacao_Geral[[#This Row],[ID Produto]])*($H$2:$H781) - ($C$2:$C781="Saida")*($F$2:$F781=Tabela_Movimentacao_Geral[[#This Row],[ID Produto]])*($H$2:$H781)),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782" s="5">
        <f ca="1">_xlfn.XLOOKUP(Tabela_Movimentacao_Geral[[#This Row],[ID Produto]], Tabela_Produtos[ID_Produto],Tabela_Produtos[Preco_Unitario_Venda])</f>
        <v>950</v>
      </c>
      <c r="J782" s="6">
        <f ca="1">Tabela_Movimentacao_Geral[[#This Row],[Quantidade]] * Tabela_Movimentacao_Geral[[#This Row],[Valor Unitário]]</f>
        <v>12350</v>
      </c>
      <c r="K782" t="str">
        <f ca="1">IF(
   $O$7="Desbloqueado",
   CHOOSE(RANDBETWEEN(1,3),"Pago","Pendente","Atrasado"),
   Tabela_Movimentacao_Geral[[#This Row],[Status Financeiro]]
)</f>
        <v>Pendente</v>
      </c>
      <c r="L782" t="str">
        <f ca="1">IF(
   $O$7="Desbloqueado",
   CHOOSE(RANDBETWEEN(1,3),"Entregue","Em Rota","Aguardando"),
   Tabela_Movimentacao_Geral[[#This Row],[Status Logistico]]
)</f>
        <v>Entregue</v>
      </c>
      <c r="M78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83" spans="1:13" x14ac:dyDescent="0.3">
      <c r="A783" t="str">
        <f t="shared" si="11"/>
        <v>T0782</v>
      </c>
      <c r="B783" s="1">
        <v>46030</v>
      </c>
      <c r="C783" t="str" cm="1">
        <f t="array" aca="1" ref="C783" ca="1">IF($O$7="Desbloqueado",
  _xlfn.LET(
    _xlpm.saldo_atual, SUM(($C$2:$C782="Entrada")*($F$2:$F782=Tabela_Movimentacao_Geral[[#This Row],[ID Produto]])*($H$2:$H782) - ($C$2:$C782="Saida")*($F$2:$F782=Tabela_Movimentacao_Geral[[#This Row],[ID Produto]])*($H$2:$H782)),
    IF(_xlpm.saldo_atual &gt; 0, IF(RANDBETWEEN(0,10)&gt;3,"Saida","Entrada"), "Entrada")
  ),
  Tabela_Movimentacao_Geral[[#This Row],[Tipo Fluxo]]
)</f>
        <v>Saida</v>
      </c>
      <c r="D7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7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783" t="str">
        <f ca="1">IF(
  $O$7="Desbloqueado",
  "PROD"&amp;TEXT(RANDBETWEEN(1,200),"000"),
  Tabela_Movimentacao_Geral[[#This Row],[ID Produto]]
)</f>
        <v>PROD115</v>
      </c>
      <c r="G783" t="str">
        <f ca="1">_xlfn.XLOOKUP(Tabela_Movimentacao_Geral[[#This Row],[ID Produto]], Tabela_Produtos[ID_Produto],Tabela_Produtos[Descricao_Produto],"Produto não encontrado")</f>
        <v>Switch Poe 8 Portas</v>
      </c>
      <c r="H783" cm="1">
        <f t="array" aca="1" ref="H783" ca="1">IF(
   $O$7="Desbloqueado",
   _xlfn.LET(
     _xlpm.saldo_atual, SUM(($C$2:$C782="Entrada")*($F$2:$F782=Tabela_Movimentacao_Geral[[#This Row],[ID Produto]])*($H$2:$H782) - ($C$2:$C782="Saida")*($F$2:$F782=Tabela_Movimentacao_Geral[[#This Row],[ID Produto]])*($H$2:$H782)),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783" s="5">
        <f ca="1">_xlfn.XLOOKUP(Tabela_Movimentacao_Geral[[#This Row],[ID Produto]], Tabela_Produtos[ID_Produto],Tabela_Produtos[Preco_Unitario_Venda])</f>
        <v>980</v>
      </c>
      <c r="J783" s="6">
        <f ca="1">Tabela_Movimentacao_Geral[[#This Row],[Quantidade]] * Tabela_Movimentacao_Geral[[#This Row],[Valor Unitário]]</f>
        <v>24500</v>
      </c>
      <c r="K783" t="str">
        <f ca="1">IF(
   $O$7="Desbloqueado",
   CHOOSE(RANDBETWEEN(1,3),"Pago","Pendente","Atrasado"),
   Tabela_Movimentacao_Geral[[#This Row],[Status Financeiro]]
)</f>
        <v>Pendente</v>
      </c>
      <c r="L783" t="str">
        <f ca="1">IF(
   $O$7="Desbloqueado",
   CHOOSE(RANDBETWEEN(1,3),"Entregue","Em Rota","Aguardando"),
   Tabela_Movimentacao_Geral[[#This Row],[Status Logistico]]
)</f>
        <v>Aguardando</v>
      </c>
      <c r="M78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84" spans="1:13" x14ac:dyDescent="0.3">
      <c r="A784" t="str">
        <f t="shared" si="11"/>
        <v>T0783</v>
      </c>
      <c r="B784" s="1">
        <v>46031</v>
      </c>
      <c r="C784" t="str" cm="1">
        <f t="array" aca="1" ref="C784" ca="1">IF($O$7="Desbloqueado",
  _xlfn.LET(
    _xlpm.saldo_atual, SUM(($C$2:$C783="Entrada")*($F$2:$F783=Tabela_Movimentacao_Geral[[#This Row],[ID Produto]])*($H$2:$H783) - ($C$2:$C783="Saida")*($F$2:$F783=Tabela_Movimentacao_Geral[[#This Row],[ID Produto]])*($H$2:$H783)),
    IF(_xlpm.saldo_atual &gt; 0, IF(RANDBETWEEN(0,10)&gt;3,"Saida","Entrada"), "Entrada")
  ),
  Tabela_Movimentacao_Geral[[#This Row],[Tipo Fluxo]]
)</f>
        <v>Saida</v>
      </c>
      <c r="D7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7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784" t="str">
        <f ca="1">IF(
  $O$7="Desbloqueado",
  "PROD"&amp;TEXT(RANDBETWEEN(1,200),"000"),
  Tabela_Movimentacao_Geral[[#This Row],[ID Produto]]
)</f>
        <v>PROD156</v>
      </c>
      <c r="G784" t="str">
        <f ca="1">_xlfn.XLOOKUP(Tabela_Movimentacao_Geral[[#This Row],[ID Produto]], Tabela_Produtos[ID_Produto],Tabela_Produtos[Descricao_Produto],"Produto não encontrado")</f>
        <v>Perfurador 2 Furos 40fls</v>
      </c>
      <c r="H784" cm="1">
        <f t="array" aca="1" ref="H784" ca="1">IF(
   $O$7="Desbloqueado",
   _xlfn.LET(
     _xlpm.saldo_atual, SUM(($C$2:$C783="Entrada")*($F$2:$F783=Tabela_Movimentacao_Geral[[#This Row],[ID Produto]])*($H$2:$H783) - ($C$2:$C783="Saida")*($F$2:$F783=Tabela_Movimentacao_Geral[[#This Row],[ID Produto]])*($H$2:$H783)),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784" s="5">
        <f ca="1">_xlfn.XLOOKUP(Tabela_Movimentacao_Geral[[#This Row],[ID Produto]], Tabela_Produtos[ID_Produto],Tabela_Produtos[Preco_Unitario_Venda])</f>
        <v>85</v>
      </c>
      <c r="J784" s="6">
        <f ca="1">Tabela_Movimentacao_Geral[[#This Row],[Quantidade]] * Tabela_Movimentacao_Geral[[#This Row],[Valor Unitário]]</f>
        <v>2295</v>
      </c>
      <c r="K784" t="str">
        <f ca="1">IF(
   $O$7="Desbloqueado",
   CHOOSE(RANDBETWEEN(1,3),"Pago","Pendente","Atrasado"),
   Tabela_Movimentacao_Geral[[#This Row],[Status Financeiro]]
)</f>
        <v>Atrasado</v>
      </c>
      <c r="L784" t="str">
        <f ca="1">IF(
   $O$7="Desbloqueado",
   CHOOSE(RANDBETWEEN(1,3),"Entregue","Em Rota","Aguardando"),
   Tabela_Movimentacao_Geral[[#This Row],[Status Logistico]]
)</f>
        <v>Entregue</v>
      </c>
      <c r="M78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85" spans="1:13" x14ac:dyDescent="0.3">
      <c r="A785" t="str">
        <f t="shared" si="11"/>
        <v>T0784</v>
      </c>
      <c r="B785" s="1">
        <v>46031</v>
      </c>
      <c r="C785" t="str" cm="1">
        <f t="array" aca="1" ref="C785" ca="1">IF($O$7="Desbloqueado",
  _xlfn.LET(
    _xlpm.saldo_atual, SUM(($C$2:$C784="Entrada")*($F$2:$F784=Tabela_Movimentacao_Geral[[#This Row],[ID Produto]])*($H$2:$H784) - ($C$2:$C784="Saida")*($F$2:$F784=Tabela_Movimentacao_Geral[[#This Row],[ID Produto]])*($H$2:$H784)),
    IF(_xlpm.saldo_atual &gt; 0, IF(RANDBETWEEN(0,10)&gt;3,"Saida","Entrada"), "Entrada")
  ),
  Tabela_Movimentacao_Geral[[#This Row],[Tipo Fluxo]]
)</f>
        <v>Saida</v>
      </c>
      <c r="D7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7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785" t="str">
        <f ca="1">IF(
  $O$7="Desbloqueado",
  "PROD"&amp;TEXT(RANDBETWEEN(1,200),"000"),
  Tabela_Movimentacao_Geral[[#This Row],[ID Produto]]
)</f>
        <v>PROD156</v>
      </c>
      <c r="G785" t="str">
        <f ca="1">_xlfn.XLOOKUP(Tabela_Movimentacao_Geral[[#This Row],[ID Produto]], Tabela_Produtos[ID_Produto],Tabela_Produtos[Descricao_Produto],"Produto não encontrado")</f>
        <v>Perfurador 2 Furos 40fls</v>
      </c>
      <c r="H785" cm="1">
        <f t="array" aca="1" ref="H785" ca="1">IF(
   $O$7="Desbloqueado",
   _xlfn.LET(
     _xlpm.saldo_atual, SUM(($C$2:$C784="Entrada")*($F$2:$F784=Tabela_Movimentacao_Geral[[#This Row],[ID Produto]])*($H$2:$H784) - ($C$2:$C784="Saida")*($F$2:$F784=Tabela_Movimentacao_Geral[[#This Row],[ID Produto]])*($H$2:$H784)),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785" s="5">
        <f ca="1">_xlfn.XLOOKUP(Tabela_Movimentacao_Geral[[#This Row],[ID Produto]], Tabela_Produtos[ID_Produto],Tabela_Produtos[Preco_Unitario_Venda])</f>
        <v>85</v>
      </c>
      <c r="J785" s="6">
        <f ca="1">Tabela_Movimentacao_Geral[[#This Row],[Quantidade]] * Tabela_Movimentacao_Geral[[#This Row],[Valor Unitário]]</f>
        <v>935</v>
      </c>
      <c r="K785" t="str">
        <f ca="1">IF(
   $O$7="Desbloqueado",
   CHOOSE(RANDBETWEEN(1,3),"Pago","Pendente","Atrasado"),
   Tabela_Movimentacao_Geral[[#This Row],[Status Financeiro]]
)</f>
        <v>Pendente</v>
      </c>
      <c r="L785" t="str">
        <f ca="1">IF(
   $O$7="Desbloqueado",
   CHOOSE(RANDBETWEEN(1,3),"Entregue","Em Rota","Aguardando"),
   Tabela_Movimentacao_Geral[[#This Row],[Status Logistico]]
)</f>
        <v>Em Rota</v>
      </c>
      <c r="M78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86" spans="1:13" x14ac:dyDescent="0.3">
      <c r="A786" t="str">
        <f t="shared" si="11"/>
        <v>T0785</v>
      </c>
      <c r="B786" s="1">
        <v>46032</v>
      </c>
      <c r="C786" t="str" cm="1">
        <f t="array" aca="1" ref="C786" ca="1">IF($O$7="Desbloqueado",
  _xlfn.LET(
    _xlpm.saldo_atual, SUM(($C$2:$C785="Entrada")*($F$2:$F785=Tabela_Movimentacao_Geral[[#This Row],[ID Produto]])*($H$2:$H785) - ($C$2:$C785="Saida")*($F$2:$F785=Tabela_Movimentacao_Geral[[#This Row],[ID Produto]])*($H$2:$H785)),
    IF(_xlpm.saldo_atual &gt; 0, IF(RANDBETWEEN(0,10)&gt;3,"Saida","Entrada"), "Entrada")
  ),
  Tabela_Movimentacao_Geral[[#This Row],[Tipo Fluxo]]
)</f>
        <v>Saida</v>
      </c>
      <c r="D7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7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786" t="str">
        <f ca="1">IF(
  $O$7="Desbloqueado",
  "PROD"&amp;TEXT(RANDBETWEEN(1,200),"000"),
  Tabela_Movimentacao_Geral[[#This Row],[ID Produto]]
)</f>
        <v>PROD036</v>
      </c>
      <c r="G786" t="str">
        <f ca="1">_xlfn.XLOOKUP(Tabela_Movimentacao_Geral[[#This Row],[ID Produto]], Tabela_Produtos[ID_Produto],Tabela_Produtos[Descricao_Produto],"Produto não encontrado")</f>
        <v>Mini PC Industrial i3</v>
      </c>
      <c r="H786" cm="1">
        <f t="array" aca="1" ref="H786" ca="1">IF(
   $O$7="Desbloqueado",
   _xlfn.LET(
     _xlpm.saldo_atual, SUM(($C$2:$C785="Entrada")*($F$2:$F785=Tabela_Movimentacao_Geral[[#This Row],[ID Produto]])*($H$2:$H785) - ($C$2:$C785="Saida")*($F$2:$F785=Tabela_Movimentacao_Geral[[#This Row],[ID Produto]])*($H$2:$H785)),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45</v>
      </c>
      <c r="I786" s="5">
        <f ca="1">_xlfn.XLOOKUP(Tabela_Movimentacao_Geral[[#This Row],[ID Produto]], Tabela_Produtos[ID_Produto],Tabela_Produtos[Preco_Unitario_Venda])</f>
        <v>2100</v>
      </c>
      <c r="J786" s="6">
        <f ca="1">Tabela_Movimentacao_Geral[[#This Row],[Quantidade]] * Tabela_Movimentacao_Geral[[#This Row],[Valor Unitário]]</f>
        <v>94500</v>
      </c>
      <c r="K786" t="str">
        <f ca="1">IF(
   $O$7="Desbloqueado",
   CHOOSE(RANDBETWEEN(1,3),"Pago","Pendente","Atrasado"),
   Tabela_Movimentacao_Geral[[#This Row],[Status Financeiro]]
)</f>
        <v>Atrasado</v>
      </c>
      <c r="L786" t="str">
        <f ca="1">IF(
   $O$7="Desbloqueado",
   CHOOSE(RANDBETWEEN(1,3),"Entregue","Em Rota","Aguardando"),
   Tabela_Movimentacao_Geral[[#This Row],[Status Logistico]]
)</f>
        <v>Em Rota</v>
      </c>
      <c r="M78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87" spans="1:13" x14ac:dyDescent="0.3">
      <c r="A787" t="str">
        <f t="shared" si="11"/>
        <v>T0786</v>
      </c>
      <c r="B787" s="1">
        <v>46032</v>
      </c>
      <c r="C787" t="str" cm="1">
        <f t="array" aca="1" ref="C787" ca="1">IF($O$7="Desbloqueado",
  _xlfn.LET(
    _xlpm.saldo_atual, SUM(($C$2:$C786="Entrada")*($F$2:$F786=Tabela_Movimentacao_Geral[[#This Row],[ID Produto]])*($H$2:$H786) - ($C$2:$C786="Saida")*($F$2:$F786=Tabela_Movimentacao_Geral[[#This Row],[ID Produto]])*($H$2:$H786)),
    IF(_xlpm.saldo_atual &gt; 0, IF(RANDBETWEEN(0,10)&gt;3,"Saida","Entrada"), "Entrada")
  ),
  Tabela_Movimentacao_Geral[[#This Row],[Tipo Fluxo]]
)</f>
        <v>Entrada</v>
      </c>
      <c r="D7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7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787" t="str">
        <f ca="1">IF(
  $O$7="Desbloqueado",
  "PROD"&amp;TEXT(RANDBETWEEN(1,200),"000"),
  Tabela_Movimentacao_Geral[[#This Row],[ID Produto]]
)</f>
        <v>PROD058</v>
      </c>
      <c r="G787" t="str">
        <f ca="1">_xlfn.XLOOKUP(Tabela_Movimentacao_Geral[[#This Row],[ID Produto]], Tabela_Produtos[ID_Produto],Tabela_Produtos[Descricao_Produto],"Produto não encontrado")</f>
        <v>Caneta Esferografica Preta</v>
      </c>
      <c r="H787" cm="1">
        <f t="array" aca="1" ref="H787" ca="1">IF(
   $O$7="Desbloqueado",
   _xlfn.LET(
     _xlpm.saldo_atual, SUM(($C$2:$C786="Entrada")*($F$2:$F786=Tabela_Movimentacao_Geral[[#This Row],[ID Produto]])*($H$2:$H786) - ($C$2:$C786="Saida")*($F$2:$F786=Tabela_Movimentacao_Geral[[#This Row],[ID Produto]])*($H$2:$H786)),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143</v>
      </c>
      <c r="I787" s="5">
        <f ca="1">_xlfn.XLOOKUP(Tabela_Movimentacao_Geral[[#This Row],[ID Produto]], Tabela_Produtos[ID_Produto],Tabela_Produtos[Preco_Unitario_Venda])</f>
        <v>1.5</v>
      </c>
      <c r="J787" s="6">
        <f ca="1">Tabela_Movimentacao_Geral[[#This Row],[Quantidade]] * Tabela_Movimentacao_Geral[[#This Row],[Valor Unitário]]</f>
        <v>214.5</v>
      </c>
      <c r="K787" t="str">
        <f ca="1">IF(
   $O$7="Desbloqueado",
   CHOOSE(RANDBETWEEN(1,3),"Pago","Pendente","Atrasado"),
   Tabela_Movimentacao_Geral[[#This Row],[Status Financeiro]]
)</f>
        <v>Pago</v>
      </c>
      <c r="L787" t="str">
        <f ca="1">IF(
   $O$7="Desbloqueado",
   CHOOSE(RANDBETWEEN(1,3),"Entregue","Em Rota","Aguardando"),
   Tabela_Movimentacao_Geral[[#This Row],[Status Logistico]]
)</f>
        <v>Entregue</v>
      </c>
      <c r="M78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46036</v>
      </c>
    </row>
    <row r="788" spans="1:13" x14ac:dyDescent="0.3">
      <c r="A788" t="str">
        <f t="shared" si="11"/>
        <v>T0787</v>
      </c>
      <c r="B788" s="1">
        <v>46032</v>
      </c>
      <c r="C788" t="str" cm="1">
        <f t="array" aca="1" ref="C788" ca="1">IF($O$7="Desbloqueado",
  _xlfn.LET(
    _xlpm.saldo_atual, SUM(($C$2:$C787="Entrada")*($F$2:$F787=Tabela_Movimentacao_Geral[[#This Row],[ID Produto]])*($H$2:$H787) - ($C$2:$C787="Saida")*($F$2:$F787=Tabela_Movimentacao_Geral[[#This Row],[ID Produto]])*($H$2:$H787)),
    IF(_xlpm.saldo_atual &gt; 0, IF(RANDBETWEEN(0,10)&gt;3,"Saida","Entrada"), "Entrada")
  ),
  Tabela_Movimentacao_Geral[[#This Row],[Tipo Fluxo]]
)</f>
        <v>Entrada</v>
      </c>
      <c r="D7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7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788" t="str">
        <f ca="1">IF(
  $O$7="Desbloqueado",
  "PROD"&amp;TEXT(RANDBETWEEN(1,200),"000"),
  Tabela_Movimentacao_Geral[[#This Row],[ID Produto]]
)</f>
        <v>PROD027</v>
      </c>
      <c r="G788" t="str">
        <f ca="1">_xlfn.XLOOKUP(Tabela_Movimentacao_Geral[[#This Row],[ID Produto]], Tabela_Produtos[ID_Produto],Tabela_Produtos[Descricao_Produto],"Produto não encontrado")</f>
        <v>Hub USB 3.0 4 Portas</v>
      </c>
      <c r="H788" cm="1">
        <f t="array" aca="1" ref="H788" ca="1">IF(
   $O$7="Desbloqueado",
   _xlfn.LET(
     _xlpm.saldo_atual, SUM(($C$2:$C787="Entrada")*($F$2:$F787=Tabela_Movimentacao_Geral[[#This Row],[ID Produto]])*($H$2:$H787) - ($C$2:$C787="Saida")*($F$2:$F787=Tabela_Movimentacao_Geral[[#This Row],[ID Produto]])*($H$2:$H787)),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36</v>
      </c>
      <c r="I788" s="5">
        <f ca="1">_xlfn.XLOOKUP(Tabela_Movimentacao_Geral[[#This Row],[ID Produto]], Tabela_Produtos[ID_Produto],Tabela_Produtos[Preco_Unitario_Venda])</f>
        <v>75</v>
      </c>
      <c r="J788" s="6">
        <f ca="1">Tabela_Movimentacao_Geral[[#This Row],[Quantidade]] * Tabela_Movimentacao_Geral[[#This Row],[Valor Unitário]]</f>
        <v>2700</v>
      </c>
      <c r="K788" t="str">
        <f ca="1">IF(
   $O$7="Desbloqueado",
   CHOOSE(RANDBETWEEN(1,3),"Pago","Pendente","Atrasado"),
   Tabela_Movimentacao_Geral[[#This Row],[Status Financeiro]]
)</f>
        <v>Pendente</v>
      </c>
      <c r="L788" t="str">
        <f ca="1">IF(
   $O$7="Desbloqueado",
   CHOOSE(RANDBETWEEN(1,3),"Entregue","Em Rota","Aguardando"),
   Tabela_Movimentacao_Geral[[#This Row],[Status Logistico]]
)</f>
        <v>Em Rota</v>
      </c>
      <c r="M78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46047</v>
      </c>
    </row>
    <row r="789" spans="1:13" x14ac:dyDescent="0.3">
      <c r="A789" t="str">
        <f t="shared" si="11"/>
        <v>T0788</v>
      </c>
      <c r="B789" s="1">
        <v>46032</v>
      </c>
      <c r="C789" t="str" cm="1">
        <f t="array" aca="1" ref="C789" ca="1">IF($O$7="Desbloqueado",
  _xlfn.LET(
    _xlpm.saldo_atual, SUM(($C$2:$C788="Entrada")*($F$2:$F788=Tabela_Movimentacao_Geral[[#This Row],[ID Produto]])*($H$2:$H788) - ($C$2:$C788="Saida")*($F$2:$F788=Tabela_Movimentacao_Geral[[#This Row],[ID Produto]])*($H$2:$H788)),
    IF(_xlpm.saldo_atual &gt; 0, IF(RANDBETWEEN(0,10)&gt;3,"Saida","Entrada"), "Entrada")
  ),
  Tabela_Movimentacao_Geral[[#This Row],[Tipo Fluxo]]
)</f>
        <v>Saida</v>
      </c>
      <c r="D7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7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789" t="str">
        <f ca="1">IF(
  $O$7="Desbloqueado",
  "PROD"&amp;TEXT(RANDBETWEEN(1,200),"000"),
  Tabela_Movimentacao_Geral[[#This Row],[ID Produto]]
)</f>
        <v>PROD030</v>
      </c>
      <c r="G789" t="str">
        <f ca="1">_xlfn.XLOOKUP(Tabela_Movimentacao_Geral[[#This Row],[ID Produto]], Tabela_Produtos[ID_Produto],Tabela_Produtos[Descricao_Produto],"Produto não encontrado")</f>
        <v>Mochila para Notebook 15.6</v>
      </c>
      <c r="H789" cm="1">
        <f t="array" aca="1" ref="H789" ca="1">IF(
   $O$7="Desbloqueado",
   _xlfn.LET(
     _xlpm.saldo_atual, SUM(($C$2:$C788="Entrada")*($F$2:$F788=Tabela_Movimentacao_Geral[[#This Row],[ID Produto]])*($H$2:$H788) - ($C$2:$C788="Saida")*($F$2:$F788=Tabela_Movimentacao_Geral[[#This Row],[ID Produto]])*($H$2:$H788)),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68</v>
      </c>
      <c r="I789" s="5">
        <f ca="1">_xlfn.XLOOKUP(Tabela_Movimentacao_Geral[[#This Row],[ID Produto]], Tabela_Produtos[ID_Produto],Tabela_Produtos[Preco_Unitario_Venda])</f>
        <v>250</v>
      </c>
      <c r="J789" s="6">
        <f ca="1">Tabela_Movimentacao_Geral[[#This Row],[Quantidade]] * Tabela_Movimentacao_Geral[[#This Row],[Valor Unitário]]</f>
        <v>17000</v>
      </c>
      <c r="K789" t="str">
        <f ca="1">IF(
   $O$7="Desbloqueado",
   CHOOSE(RANDBETWEEN(1,3),"Pago","Pendente","Atrasado"),
   Tabela_Movimentacao_Geral[[#This Row],[Status Financeiro]]
)</f>
        <v>Pendente</v>
      </c>
      <c r="L789" t="str">
        <f ca="1">IF(
   $O$7="Desbloqueado",
   CHOOSE(RANDBETWEEN(1,3),"Entregue","Em Rota","Aguardando"),
   Tabela_Movimentacao_Geral[[#This Row],[Status Logistico]]
)</f>
        <v>Em Rota</v>
      </c>
      <c r="M78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90" spans="1:13" x14ac:dyDescent="0.3">
      <c r="A790" t="str">
        <f t="shared" si="11"/>
        <v>T0789</v>
      </c>
      <c r="B790" s="1">
        <v>46032</v>
      </c>
      <c r="C790" t="str" cm="1">
        <f t="array" aca="1" ref="C790" ca="1">IF($O$7="Desbloqueado",
  _xlfn.LET(
    _xlpm.saldo_atual, SUM(($C$2:$C789="Entrada")*($F$2:$F789=Tabela_Movimentacao_Geral[[#This Row],[ID Produto]])*($H$2:$H789) - ($C$2:$C789="Saida")*($F$2:$F789=Tabela_Movimentacao_Geral[[#This Row],[ID Produto]])*($H$2:$H789)),
    IF(_xlpm.saldo_atual &gt; 0, IF(RANDBETWEEN(0,10)&gt;3,"Saida","Entrada"), "Entrada")
  ),
  Tabela_Movimentacao_Geral[[#This Row],[Tipo Fluxo]]
)</f>
        <v>Entrada</v>
      </c>
      <c r="D7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7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790" t="str">
        <f ca="1">IF(
  $O$7="Desbloqueado",
  "PROD"&amp;TEXT(RANDBETWEEN(1,200),"000"),
  Tabela_Movimentacao_Geral[[#This Row],[ID Produto]]
)</f>
        <v>PROD096</v>
      </c>
      <c r="G790" t="str">
        <f ca="1">_xlfn.XLOOKUP(Tabela_Movimentacao_Geral[[#This Row],[ID Produto]], Tabela_Produtos[ID_Produto],Tabela_Produtos[Descricao_Produto],"Produto não encontrado")</f>
        <v>Sensor de Temperatura IP</v>
      </c>
      <c r="H790" cm="1">
        <f t="array" aca="1" ref="H790" ca="1">IF(
   $O$7="Desbloqueado",
   _xlfn.LET(
     _xlpm.saldo_atual, SUM(($C$2:$C789="Entrada")*($F$2:$F789=Tabela_Movimentacao_Geral[[#This Row],[ID Produto]])*($H$2:$H789) - ($C$2:$C789="Saida")*($F$2:$F789=Tabela_Movimentacao_Geral[[#This Row],[ID Produto]])*($H$2:$H789)),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790" s="5">
        <f ca="1">_xlfn.XLOOKUP(Tabela_Movimentacao_Geral[[#This Row],[ID Produto]], Tabela_Produtos[ID_Produto],Tabela_Produtos[Preco_Unitario_Venda])</f>
        <v>650</v>
      </c>
      <c r="J790" s="6">
        <f ca="1">Tabela_Movimentacao_Geral[[#This Row],[Quantidade]] * Tabela_Movimentacao_Geral[[#This Row],[Valor Unitário]]</f>
        <v>1300</v>
      </c>
      <c r="K790" t="str">
        <f ca="1">IF(
   $O$7="Desbloqueado",
   CHOOSE(RANDBETWEEN(1,3),"Pago","Pendente","Atrasado"),
   Tabela_Movimentacao_Geral[[#This Row],[Status Financeiro]]
)</f>
        <v>Pendente</v>
      </c>
      <c r="L790" t="str">
        <f ca="1">IF(
   $O$7="Desbloqueado",
   CHOOSE(RANDBETWEEN(1,3),"Entregue","Em Rota","Aguardando"),
   Tabela_Movimentacao_Geral[[#This Row],[Status Logistico]]
)</f>
        <v>Entregue</v>
      </c>
      <c r="M79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46035</v>
      </c>
    </row>
    <row r="791" spans="1:13" x14ac:dyDescent="0.3">
      <c r="A791" t="str">
        <f t="shared" ref="A791:A854" si="12">"T"&amp;TEXT(ROW(A791)-1,"0000")</f>
        <v>T0790</v>
      </c>
      <c r="B791" s="1">
        <v>46032</v>
      </c>
      <c r="C791" t="str" cm="1">
        <f t="array" aca="1" ref="C791" ca="1">IF($O$7="Desbloqueado",
  _xlfn.LET(
    _xlpm.saldo_atual, SUM(($C$2:$C790="Entrada")*($F$2:$F790=Tabela_Movimentacao_Geral[[#This Row],[ID Produto]])*($H$2:$H790) - ($C$2:$C790="Saida")*($F$2:$F790=Tabela_Movimentacao_Geral[[#This Row],[ID Produto]])*($H$2:$H790)),
    IF(_xlpm.saldo_atual &gt; 0, IF(RANDBETWEEN(0,10)&gt;3,"Saida","Entrada"), "Entrada")
  ),
  Tabela_Movimentacao_Geral[[#This Row],[Tipo Fluxo]]
)</f>
        <v>Entrada</v>
      </c>
      <c r="D7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7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791" t="str">
        <f ca="1">IF(
  $O$7="Desbloqueado",
  "PROD"&amp;TEXT(RANDBETWEEN(1,200),"000"),
  Tabela_Movimentacao_Geral[[#This Row],[ID Produto]]
)</f>
        <v>PROD006</v>
      </c>
      <c r="G791" t="str">
        <f ca="1">_xlfn.XLOOKUP(Tabela_Movimentacao_Geral[[#This Row],[ID Produto]], Tabela_Produtos[ID_Produto],Tabela_Produtos[Descricao_Produto],"Produto não encontrado")</f>
        <v>Notebook i7 16GB 512GB SSD</v>
      </c>
      <c r="H791" cm="1">
        <f t="array" aca="1" ref="H791" ca="1">IF(
   $O$7="Desbloqueado",
   _xlfn.LET(
     _xlpm.saldo_atual, SUM(($C$2:$C790="Entrada")*($F$2:$F790=Tabela_Movimentacao_Geral[[#This Row],[ID Produto]])*($H$2:$H790) - ($C$2:$C790="Saida")*($F$2:$F790=Tabela_Movimentacao_Geral[[#This Row],[ID Produto]])*($H$2:$H790)),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791" s="5">
        <f ca="1">_xlfn.XLOOKUP(Tabela_Movimentacao_Geral[[#This Row],[ID Produto]], Tabela_Produtos[ID_Produto],Tabela_Produtos[Preco_Unitario_Venda])</f>
        <v>5500</v>
      </c>
      <c r="J791" s="6">
        <f ca="1">Tabela_Movimentacao_Geral[[#This Row],[Quantidade]] * Tabela_Movimentacao_Geral[[#This Row],[Valor Unitário]]</f>
        <v>236500</v>
      </c>
      <c r="K791" t="str">
        <f ca="1">IF(
   $O$7="Desbloqueado",
   CHOOSE(RANDBETWEEN(1,3),"Pago","Pendente","Atrasado"),
   Tabela_Movimentacao_Geral[[#This Row],[Status Financeiro]]
)</f>
        <v>Pago</v>
      </c>
      <c r="L791" t="str">
        <f ca="1">IF(
   $O$7="Desbloqueado",
   CHOOSE(RANDBETWEEN(1,3),"Entregue","Em Rota","Aguardando"),
   Tabela_Movimentacao_Geral[[#This Row],[Status Logistico]]
)</f>
        <v>Em Rota</v>
      </c>
      <c r="M79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46036</v>
      </c>
    </row>
    <row r="792" spans="1:13" x14ac:dyDescent="0.3">
      <c r="A792" t="str">
        <f t="shared" si="12"/>
        <v>T0791</v>
      </c>
      <c r="B792" s="1">
        <v>46033</v>
      </c>
      <c r="C792" t="str" cm="1">
        <f t="array" aca="1" ref="C792" ca="1">IF($O$7="Desbloqueado",
  _xlfn.LET(
    _xlpm.saldo_atual, SUM(($C$2:$C791="Entrada")*($F$2:$F791=Tabela_Movimentacao_Geral[[#This Row],[ID Produto]])*($H$2:$H791) - ($C$2:$C791="Saida")*($F$2:$F791=Tabela_Movimentacao_Geral[[#This Row],[ID Produto]])*($H$2:$H791)),
    IF(_xlpm.saldo_atual &gt; 0, IF(RANDBETWEEN(0,10)&gt;3,"Saida","Entrada"), "Entrada")
  ),
  Tabela_Movimentacao_Geral[[#This Row],[Tipo Fluxo]]
)</f>
        <v>Entrada</v>
      </c>
      <c r="D7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7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792" t="str">
        <f ca="1">IF(
  $O$7="Desbloqueado",
  "PROD"&amp;TEXT(RANDBETWEEN(1,200),"000"),
  Tabela_Movimentacao_Geral[[#This Row],[ID Produto]]
)</f>
        <v>PROD104</v>
      </c>
      <c r="G792" t="str">
        <f ca="1">_xlfn.XLOOKUP(Tabela_Movimentacao_Geral[[#This Row],[ID Produto]], Tabela_Produtos[ID_Produto],Tabela_Produtos[Descricao_Produto],"Produto não encontrado")</f>
        <v>Suporte Notebook Articulado</v>
      </c>
      <c r="H792" cm="1">
        <f t="array" aca="1" ref="H792" ca="1">IF(
   $O$7="Desbloqueado",
   _xlfn.LET(
     _xlpm.saldo_atual, SUM(($C$2:$C791="Entrada")*($F$2:$F791=Tabela_Movimentacao_Geral[[#This Row],[ID Produto]])*($H$2:$H791) - ($C$2:$C791="Saida")*($F$2:$F791=Tabela_Movimentacao_Geral[[#This Row],[ID Produto]])*($H$2:$H791)),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792" s="5">
        <f ca="1">_xlfn.XLOOKUP(Tabela_Movimentacao_Geral[[#This Row],[ID Produto]], Tabela_Produtos[ID_Produto],Tabela_Produtos[Preco_Unitario_Venda])</f>
        <v>185</v>
      </c>
      <c r="J792" s="6">
        <f ca="1">Tabela_Movimentacao_Geral[[#This Row],[Quantidade]] * Tabela_Movimentacao_Geral[[#This Row],[Valor Unitário]]</f>
        <v>14615</v>
      </c>
      <c r="K792" t="str">
        <f ca="1">IF(
   $O$7="Desbloqueado",
   CHOOSE(RANDBETWEEN(1,3),"Pago","Pendente","Atrasado"),
   Tabela_Movimentacao_Geral[[#This Row],[Status Financeiro]]
)</f>
        <v>Atrasado</v>
      </c>
      <c r="L792" t="str">
        <f ca="1">IF(
   $O$7="Desbloqueado",
   CHOOSE(RANDBETWEEN(1,3),"Entregue","Em Rota","Aguardando"),
   Tabela_Movimentacao_Geral[[#This Row],[Status Logistico]]
)</f>
        <v>Aguardando</v>
      </c>
      <c r="M79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46034</v>
      </c>
    </row>
    <row r="793" spans="1:13" x14ac:dyDescent="0.3">
      <c r="A793" t="str">
        <f t="shared" si="12"/>
        <v>T0792</v>
      </c>
      <c r="B793" s="1">
        <v>46033</v>
      </c>
      <c r="C793" t="str" cm="1">
        <f t="array" aca="1" ref="C793" ca="1">IF($O$7="Desbloqueado",
  _xlfn.LET(
    _xlpm.saldo_atual, SUM(($C$2:$C792="Entrada")*($F$2:$F792=Tabela_Movimentacao_Geral[[#This Row],[ID Produto]])*($H$2:$H792) - ($C$2:$C792="Saida")*($F$2:$F792=Tabela_Movimentacao_Geral[[#This Row],[ID Produto]])*($H$2:$H792)),
    IF(_xlpm.saldo_atual &gt; 0, IF(RANDBETWEEN(0,10)&gt;3,"Saida","Entrada"), "Entrada")
  ),
  Tabela_Movimentacao_Geral[[#This Row],[Tipo Fluxo]]
)</f>
        <v>Saida</v>
      </c>
      <c r="D7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7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793" t="str">
        <f ca="1">IF(
  $O$7="Desbloqueado",
  "PROD"&amp;TEXT(RANDBETWEEN(1,200),"000"),
  Tabela_Movimentacao_Geral[[#This Row],[ID Produto]]
)</f>
        <v>PROD112</v>
      </c>
      <c r="G793" t="str">
        <f ca="1">_xlfn.XLOOKUP(Tabela_Movimentacao_Geral[[#This Row],[ID Produto]], Tabela_Produtos[ID_Produto],Tabela_Produtos[Descricao_Produto],"Produto não encontrado")</f>
        <v>Webcam 4K Streaming</v>
      </c>
      <c r="H793" cm="1">
        <f t="array" aca="1" ref="H793" ca="1">IF(
   $O$7="Desbloqueado",
   _xlfn.LET(
     _xlpm.saldo_atual, SUM(($C$2:$C792="Entrada")*($F$2:$F792=Tabela_Movimentacao_Geral[[#This Row],[ID Produto]])*($H$2:$H792) - ($C$2:$C792="Saida")*($F$2:$F792=Tabela_Movimentacao_Geral[[#This Row],[ID Produto]])*($H$2:$H792)),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793" s="5">
        <f ca="1">_xlfn.XLOOKUP(Tabela_Movimentacao_Geral[[#This Row],[ID Produto]], Tabela_Produtos[ID_Produto],Tabela_Produtos[Preco_Unitario_Venda])</f>
        <v>1100</v>
      </c>
      <c r="J793" s="6">
        <f ca="1">Tabela_Movimentacao_Geral[[#This Row],[Quantidade]] * Tabela_Movimentacao_Geral[[#This Row],[Valor Unitário]]</f>
        <v>11000</v>
      </c>
      <c r="K793" t="str">
        <f ca="1">IF(
   $O$7="Desbloqueado",
   CHOOSE(RANDBETWEEN(1,3),"Pago","Pendente","Atrasado"),
   Tabela_Movimentacao_Geral[[#This Row],[Status Financeiro]]
)</f>
        <v>Pendente</v>
      </c>
      <c r="L793" t="str">
        <f ca="1">IF(
   $O$7="Desbloqueado",
   CHOOSE(RANDBETWEEN(1,3),"Entregue","Em Rota","Aguardando"),
   Tabela_Movimentacao_Geral[[#This Row],[Status Logistico]]
)</f>
        <v>Aguardando</v>
      </c>
      <c r="M79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94" spans="1:13" x14ac:dyDescent="0.3">
      <c r="A794" t="str">
        <f t="shared" si="12"/>
        <v>T0793</v>
      </c>
      <c r="B794" s="1">
        <v>46033</v>
      </c>
      <c r="C794" t="str" cm="1">
        <f t="array" aca="1" ref="C794" ca="1">IF($O$7="Desbloqueado",
  _xlfn.LET(
    _xlpm.saldo_atual, SUM(($C$2:$C793="Entrada")*($F$2:$F793=Tabela_Movimentacao_Geral[[#This Row],[ID Produto]])*($H$2:$H793) - ($C$2:$C793="Saida")*($F$2:$F793=Tabela_Movimentacao_Geral[[#This Row],[ID Produto]])*($H$2:$H793)),
    IF(_xlpm.saldo_atual &gt; 0, IF(RANDBETWEEN(0,10)&gt;3,"Saida","Entrada"), "Entrada")
  ),
  Tabela_Movimentacao_Geral[[#This Row],[Tipo Fluxo]]
)</f>
        <v>Saida</v>
      </c>
      <c r="D7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7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794" t="str">
        <f ca="1">IF(
  $O$7="Desbloqueado",
  "PROD"&amp;TEXT(RANDBETWEEN(1,200),"000"),
  Tabela_Movimentacao_Geral[[#This Row],[ID Produto]]
)</f>
        <v>PROD119</v>
      </c>
      <c r="G794" t="str">
        <f ca="1">_xlfn.XLOOKUP(Tabela_Movimentacao_Geral[[#This Row],[ID Produto]], Tabela_Produtos[ID_Produto],Tabela_Produtos[Descricao_Produto],"Produto não encontrado")</f>
        <v>Suporte CPU com Rodas</v>
      </c>
      <c r="H794" cm="1">
        <f t="array" aca="1" ref="H794" ca="1">IF(
   $O$7="Desbloqueado",
   _xlfn.LET(
     _xlpm.saldo_atual, SUM(($C$2:$C793="Entrada")*($F$2:$F793=Tabela_Movimentacao_Geral[[#This Row],[ID Produto]])*($H$2:$H793) - ($C$2:$C793="Saida")*($F$2:$F793=Tabela_Movimentacao_Geral[[#This Row],[ID Produto]])*($H$2:$H793)),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</v>
      </c>
      <c r="I794" s="5">
        <f ca="1">_xlfn.XLOOKUP(Tabela_Movimentacao_Geral[[#This Row],[ID Produto]], Tabela_Produtos[ID_Produto],Tabela_Produtos[Preco_Unitario_Venda])</f>
        <v>75</v>
      </c>
      <c r="J794" s="6">
        <f ca="1">Tabela_Movimentacao_Geral[[#This Row],[Quantidade]] * Tabela_Movimentacao_Geral[[#This Row],[Valor Unitário]]</f>
        <v>2550</v>
      </c>
      <c r="K794" t="str">
        <f ca="1">IF(
   $O$7="Desbloqueado",
   CHOOSE(RANDBETWEEN(1,3),"Pago","Pendente","Atrasado"),
   Tabela_Movimentacao_Geral[[#This Row],[Status Financeiro]]
)</f>
        <v>Atrasado</v>
      </c>
      <c r="L794" t="str">
        <f ca="1">IF(
   $O$7="Desbloqueado",
   CHOOSE(RANDBETWEEN(1,3),"Entregue","Em Rota","Aguardando"),
   Tabela_Movimentacao_Geral[[#This Row],[Status Logistico]]
)</f>
        <v>Aguardando</v>
      </c>
      <c r="M79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95" spans="1:13" x14ac:dyDescent="0.3">
      <c r="A795" t="str">
        <f t="shared" si="12"/>
        <v>T0794</v>
      </c>
      <c r="B795" s="1">
        <v>46034</v>
      </c>
      <c r="C795" t="str" cm="1">
        <f t="array" aca="1" ref="C795" ca="1">IF($O$7="Desbloqueado",
  _xlfn.LET(
    _xlpm.saldo_atual, SUM(($C$2:$C794="Entrada")*($F$2:$F794=Tabela_Movimentacao_Geral[[#This Row],[ID Produto]])*($H$2:$H794) - ($C$2:$C794="Saida")*($F$2:$F794=Tabela_Movimentacao_Geral[[#This Row],[ID Produto]])*($H$2:$H794)),
    IF(_xlpm.saldo_atual &gt; 0, IF(RANDBETWEEN(0,10)&gt;3,"Saida","Entrada"), "Entrada")
  ),
  Tabela_Movimentacao_Geral[[#This Row],[Tipo Fluxo]]
)</f>
        <v>Saida</v>
      </c>
      <c r="D7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7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795" t="str">
        <f ca="1">IF(
  $O$7="Desbloqueado",
  "PROD"&amp;TEXT(RANDBETWEEN(1,200),"000"),
  Tabela_Movimentacao_Geral[[#This Row],[ID Produto]]
)</f>
        <v>PROD035</v>
      </c>
      <c r="G795" t="str">
        <f ca="1">_xlfn.XLOOKUP(Tabela_Movimentacao_Geral[[#This Row],[ID Produto]], Tabela_Produtos[ID_Produto],Tabela_Produtos[Descricao_Produto],"Produto não encontrado")</f>
        <v>Tela de Projecao 100 pol</v>
      </c>
      <c r="H795" cm="1">
        <f t="array" aca="1" ref="H795" ca="1">IF(
   $O$7="Desbloqueado",
   _xlfn.LET(
     _xlpm.saldo_atual, SUM(($C$2:$C794="Entrada")*($F$2:$F794=Tabela_Movimentacao_Geral[[#This Row],[ID Produto]])*($H$2:$H794) - ($C$2:$C794="Saida")*($F$2:$F794=Tabela_Movimentacao_Geral[[#This Row],[ID Produto]])*($H$2:$H794)),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795" s="5">
        <f ca="1">_xlfn.XLOOKUP(Tabela_Movimentacao_Geral[[#This Row],[ID Produto]], Tabela_Produtos[ID_Produto],Tabela_Produtos[Preco_Unitario_Venda])</f>
        <v>600</v>
      </c>
      <c r="J795" s="6">
        <f ca="1">Tabela_Movimentacao_Geral[[#This Row],[Quantidade]] * Tabela_Movimentacao_Geral[[#This Row],[Valor Unitário]]</f>
        <v>1800</v>
      </c>
      <c r="K795" t="str">
        <f ca="1">IF(
   $O$7="Desbloqueado",
   CHOOSE(RANDBETWEEN(1,3),"Pago","Pendente","Atrasado"),
   Tabela_Movimentacao_Geral[[#This Row],[Status Financeiro]]
)</f>
        <v>Pago</v>
      </c>
      <c r="L795" t="str">
        <f ca="1">IF(
   $O$7="Desbloqueado",
   CHOOSE(RANDBETWEEN(1,3),"Entregue","Em Rota","Aguardando"),
   Tabela_Movimentacao_Geral[[#This Row],[Status Logistico]]
)</f>
        <v>Entregue</v>
      </c>
      <c r="M79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96" spans="1:13" x14ac:dyDescent="0.3">
      <c r="A796" t="str">
        <f t="shared" si="12"/>
        <v>T0795</v>
      </c>
      <c r="B796" s="1">
        <v>46034</v>
      </c>
      <c r="C796" t="str" cm="1">
        <f t="array" aca="1" ref="C796" ca="1">IF($O$7="Desbloqueado",
  _xlfn.LET(
    _xlpm.saldo_atual, SUM(($C$2:$C795="Entrada")*($F$2:$F795=Tabela_Movimentacao_Geral[[#This Row],[ID Produto]])*($H$2:$H795) - ($C$2:$C795="Saida")*($F$2:$F795=Tabela_Movimentacao_Geral[[#This Row],[ID Produto]])*($H$2:$H795)),
    IF(_xlpm.saldo_atual &gt; 0, IF(RANDBETWEEN(0,10)&gt;3,"Saida","Entrada"), "Entrada")
  ),
  Tabela_Movimentacao_Geral[[#This Row],[Tipo Fluxo]]
)</f>
        <v>Saida</v>
      </c>
      <c r="D7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96" t="str">
        <f ca="1">IF(
  $O$7="Desbloqueado",
  "PROD"&amp;TEXT(RANDBETWEEN(1,200),"000"),
  Tabela_Movimentacao_Geral[[#This Row],[ID Produto]]
)</f>
        <v>PROD178</v>
      </c>
      <c r="G796" t="str">
        <f ca="1">_xlfn.XLOOKUP(Tabela_Movimentacao_Geral[[#This Row],[ID Produto]], Tabela_Produtos[ID_Produto],Tabela_Produtos[Descricao_Produto],"Produto não encontrado")</f>
        <v>Armario de Aco 2 Portas</v>
      </c>
      <c r="H796" cm="1">
        <f t="array" aca="1" ref="H796" ca="1">IF(
   $O$7="Desbloqueado",
   _xlfn.LET(
     _xlpm.saldo_atual, SUM(($C$2:$C795="Entrada")*($F$2:$F795=Tabela_Movimentacao_Geral[[#This Row],[ID Produto]])*($H$2:$H795) - ($C$2:$C795="Saida")*($F$2:$F795=Tabela_Movimentacao_Geral[[#This Row],[ID Produto]])*($H$2:$H795)),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796" s="5">
        <f ca="1">_xlfn.XLOOKUP(Tabela_Movimentacao_Geral[[#This Row],[ID Produto]], Tabela_Produtos[ID_Produto],Tabela_Produtos[Preco_Unitario_Venda])</f>
        <v>850</v>
      </c>
      <c r="J796" s="6">
        <f ca="1">Tabela_Movimentacao_Geral[[#This Row],[Quantidade]] * Tabela_Movimentacao_Geral[[#This Row],[Valor Unitário]]</f>
        <v>62900</v>
      </c>
      <c r="K796" t="str">
        <f ca="1">IF(
   $O$7="Desbloqueado",
   CHOOSE(RANDBETWEEN(1,3),"Pago","Pendente","Atrasado"),
   Tabela_Movimentacao_Geral[[#This Row],[Status Financeiro]]
)</f>
        <v>Pago</v>
      </c>
      <c r="L796" t="str">
        <f ca="1">IF(
   $O$7="Desbloqueado",
   CHOOSE(RANDBETWEEN(1,3),"Entregue","Em Rota","Aguardando"),
   Tabela_Movimentacao_Geral[[#This Row],[Status Logistico]]
)</f>
        <v>Aguardando</v>
      </c>
      <c r="M79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97" spans="1:13" x14ac:dyDescent="0.3">
      <c r="A797" t="str">
        <f t="shared" si="12"/>
        <v>T0796</v>
      </c>
      <c r="B797" s="1">
        <v>46035</v>
      </c>
      <c r="C797" t="str" cm="1">
        <f t="array" aca="1" ref="C797" ca="1">IF($O$7="Desbloqueado",
  _xlfn.LET(
    _xlpm.saldo_atual, SUM(($C$2:$C796="Entrada")*($F$2:$F796=Tabela_Movimentacao_Geral[[#This Row],[ID Produto]])*($H$2:$H796) - ($C$2:$C796="Saida")*($F$2:$F796=Tabela_Movimentacao_Geral[[#This Row],[ID Produto]])*($H$2:$H796)),
    IF(_xlpm.saldo_atual &gt; 0, IF(RANDBETWEEN(0,10)&gt;3,"Saida","Entrada"), "Entrada")
  ),
  Tabela_Movimentacao_Geral[[#This Row],[Tipo Fluxo]]
)</f>
        <v>Saida</v>
      </c>
      <c r="D7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7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797" t="str">
        <f ca="1">IF(
  $O$7="Desbloqueado",
  "PROD"&amp;TEXT(RANDBETWEEN(1,200),"000"),
  Tabela_Movimentacao_Geral[[#This Row],[ID Produto]]
)</f>
        <v>PROD116</v>
      </c>
      <c r="G797" t="str">
        <f ca="1">_xlfn.XLOOKUP(Tabela_Movimentacao_Geral[[#This Row],[ID Produto]], Tabela_Produtos[ID_Produto],Tabela_Produtos[Descricao_Produto],"Produto não encontrado")</f>
        <v>Protetor Eletronico 8 Tom</v>
      </c>
      <c r="H797" cm="1">
        <f t="array" aca="1" ref="H797" ca="1">IF(
   $O$7="Desbloqueado",
   _xlfn.LET(
     _xlpm.saldo_atual, SUM(($C$2:$C796="Entrada")*($F$2:$F796=Tabela_Movimentacao_Geral[[#This Row],[ID Produto]])*($H$2:$H796) - ($C$2:$C796="Saida")*($F$2:$F796=Tabela_Movimentacao_Geral[[#This Row],[ID Produto]])*($H$2:$H796)),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797" s="5">
        <f ca="1">_xlfn.XLOOKUP(Tabela_Movimentacao_Geral[[#This Row],[ID Produto]], Tabela_Produtos[ID_Produto],Tabela_Produtos[Preco_Unitario_Venda])</f>
        <v>85</v>
      </c>
      <c r="J797" s="6">
        <f ca="1">Tabela_Movimentacao_Geral[[#This Row],[Quantidade]] * Tabela_Movimentacao_Geral[[#This Row],[Valor Unitário]]</f>
        <v>1700</v>
      </c>
      <c r="K797" t="str">
        <f ca="1">IF(
   $O$7="Desbloqueado",
   CHOOSE(RANDBETWEEN(1,3),"Pago","Pendente","Atrasado"),
   Tabela_Movimentacao_Geral[[#This Row],[Status Financeiro]]
)</f>
        <v>Atrasado</v>
      </c>
      <c r="L797" t="str">
        <f ca="1">IF(
   $O$7="Desbloqueado",
   CHOOSE(RANDBETWEEN(1,3),"Entregue","Em Rota","Aguardando"),
   Tabela_Movimentacao_Geral[[#This Row],[Status Logistico]]
)</f>
        <v>Aguardando</v>
      </c>
      <c r="M79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98" spans="1:13" x14ac:dyDescent="0.3">
      <c r="A798" t="str">
        <f t="shared" si="12"/>
        <v>T0797</v>
      </c>
      <c r="B798" s="1">
        <v>46035</v>
      </c>
      <c r="C798" t="str" cm="1">
        <f t="array" aca="1" ref="C798" ca="1">IF($O$7="Desbloqueado",
  _xlfn.LET(
    _xlpm.saldo_atual, SUM(($C$2:$C797="Entrada")*($F$2:$F797=Tabela_Movimentacao_Geral[[#This Row],[ID Produto]])*($H$2:$H797) - ($C$2:$C797="Saida")*($F$2:$F797=Tabela_Movimentacao_Geral[[#This Row],[ID Produto]])*($H$2:$H797)),
    IF(_xlpm.saldo_atual &gt; 0, IF(RANDBETWEEN(0,10)&gt;3,"Saida","Entrada"), "Entrada")
  ),
  Tabela_Movimentacao_Geral[[#This Row],[Tipo Fluxo]]
)</f>
        <v>Saida</v>
      </c>
      <c r="D7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7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798" t="str">
        <f ca="1">IF(
  $O$7="Desbloqueado",
  "PROD"&amp;TEXT(RANDBETWEEN(1,200),"000"),
  Tabela_Movimentacao_Geral[[#This Row],[ID Produto]]
)</f>
        <v>PROD014</v>
      </c>
      <c r="G798" t="str">
        <f ca="1">_xlfn.XLOOKUP(Tabela_Movimentacao_Geral[[#This Row],[ID Produto]], Tabela_Produtos[ID_Produto],Tabela_Produtos[Descricao_Produto],"Produto não encontrado")</f>
        <v>Roteador Wi-Fi 6</v>
      </c>
      <c r="H798" cm="1">
        <f t="array" aca="1" ref="H798" ca="1">IF(
   $O$7="Desbloqueado",
   _xlfn.LET(
     _xlpm.saldo_atual, SUM(($C$2:$C797="Entrada")*($F$2:$F797=Tabela_Movimentacao_Geral[[#This Row],[ID Produto]])*($H$2:$H797) - ($C$2:$C797="Saida")*($F$2:$F797=Tabela_Movimentacao_Geral[[#This Row],[ID Produto]])*($H$2:$H797)),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798" s="5">
        <f ca="1">_xlfn.XLOOKUP(Tabela_Movimentacao_Geral[[#This Row],[ID Produto]], Tabela_Produtos[ID_Produto],Tabela_Produtos[Preco_Unitario_Venda])</f>
        <v>650</v>
      </c>
      <c r="J798" s="6">
        <f ca="1">Tabela_Movimentacao_Geral[[#This Row],[Quantidade]] * Tabela_Movimentacao_Geral[[#This Row],[Valor Unitário]]</f>
        <v>1300</v>
      </c>
      <c r="K798" t="str">
        <f ca="1">IF(
   $O$7="Desbloqueado",
   CHOOSE(RANDBETWEEN(1,3),"Pago","Pendente","Atrasado"),
   Tabela_Movimentacao_Geral[[#This Row],[Status Financeiro]]
)</f>
        <v>Pago</v>
      </c>
      <c r="L798" t="str">
        <f ca="1">IF(
   $O$7="Desbloqueado",
   CHOOSE(RANDBETWEEN(1,3),"Entregue","Em Rota","Aguardando"),
   Tabela_Movimentacao_Geral[[#This Row],[Status Logistico]]
)</f>
        <v>Entregue</v>
      </c>
      <c r="M79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799" spans="1:13" x14ac:dyDescent="0.3">
      <c r="A799" t="str">
        <f t="shared" si="12"/>
        <v>T0798</v>
      </c>
      <c r="B799" s="1">
        <v>46037</v>
      </c>
      <c r="C799" t="str" cm="1">
        <f t="array" aca="1" ref="C799" ca="1">IF($O$7="Desbloqueado",
  _xlfn.LET(
    _xlpm.saldo_atual, SUM(($C$2:$C798="Entrada")*($F$2:$F798=Tabela_Movimentacao_Geral[[#This Row],[ID Produto]])*($H$2:$H798) - ($C$2:$C798="Saida")*($F$2:$F798=Tabela_Movimentacao_Geral[[#This Row],[ID Produto]])*($H$2:$H798)),
    IF(_xlpm.saldo_atual &gt; 0, IF(RANDBETWEEN(0,10)&gt;3,"Saida","Entrada"), "Entrada")
  ),
  Tabela_Movimentacao_Geral[[#This Row],[Tipo Fluxo]]
)</f>
        <v>Entrada</v>
      </c>
      <c r="D7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7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799" t="str">
        <f ca="1">IF(
  $O$7="Desbloqueado",
  "PROD"&amp;TEXT(RANDBETWEEN(1,200),"000"),
  Tabela_Movimentacao_Geral[[#This Row],[ID Produto]]
)</f>
        <v>PROD060</v>
      </c>
      <c r="G799" t="str">
        <f ca="1">_xlfn.XLOOKUP(Tabela_Movimentacao_Geral[[#This Row],[ID Produto]], Tabela_Produtos[ID_Produto],Tabela_Produtos[Descricao_Produto],"Produto não encontrado")</f>
        <v>Grafite 0.7mm HB</v>
      </c>
      <c r="H799" cm="1">
        <f t="array" aca="1" ref="H799" ca="1">IF(
   $O$7="Desbloqueado",
   _xlfn.LET(
     _xlpm.saldo_atual, SUM(($C$2:$C798="Entrada")*($F$2:$F798=Tabela_Movimentacao_Geral[[#This Row],[ID Produto]])*($H$2:$H798) - ($C$2:$C798="Saida")*($F$2:$F798=Tabela_Movimentacao_Geral[[#This Row],[ID Produto]])*($H$2:$H798)),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799" s="5">
        <f ca="1">_xlfn.XLOOKUP(Tabela_Movimentacao_Geral[[#This Row],[ID Produto]], Tabela_Produtos[ID_Produto],Tabela_Produtos[Preco_Unitario_Venda])</f>
        <v>5</v>
      </c>
      <c r="J799" s="6">
        <f ca="1">Tabela_Movimentacao_Geral[[#This Row],[Quantidade]] * Tabela_Movimentacao_Geral[[#This Row],[Valor Unitário]]</f>
        <v>110</v>
      </c>
      <c r="K799" t="str">
        <f ca="1">IF(
   $O$7="Desbloqueado",
   CHOOSE(RANDBETWEEN(1,3),"Pago","Pendente","Atrasado"),
   Tabela_Movimentacao_Geral[[#This Row],[Status Financeiro]]
)</f>
        <v>Pendente</v>
      </c>
      <c r="L799" t="str">
        <f ca="1">IF(
   $O$7="Desbloqueado",
   CHOOSE(RANDBETWEEN(1,3),"Entregue","Em Rota","Aguardando"),
   Tabela_Movimentacao_Geral[[#This Row],[Status Logistico]]
)</f>
        <v>Aguardando</v>
      </c>
      <c r="M79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46041</v>
      </c>
    </row>
    <row r="800" spans="1:13" x14ac:dyDescent="0.3">
      <c r="A800" t="str">
        <f t="shared" si="12"/>
        <v>T0799</v>
      </c>
      <c r="B800" s="1">
        <v>46037</v>
      </c>
      <c r="C800" t="str" cm="1">
        <f t="array" aca="1" ref="C800" ca="1">IF($O$7="Desbloqueado",
  _xlfn.LET(
    _xlpm.saldo_atual, SUM(($C$2:$C799="Entrada")*($F$2:$F799=Tabela_Movimentacao_Geral[[#This Row],[ID Produto]])*($H$2:$H799) - ($C$2:$C799="Saida")*($F$2:$F799=Tabela_Movimentacao_Geral[[#This Row],[ID Produto]])*($H$2:$H799)),
    IF(_xlpm.saldo_atual &gt; 0, IF(RANDBETWEEN(0,10)&gt;3,"Saida","Entrada"), "Entrada")
  ),
  Tabela_Movimentacao_Geral[[#This Row],[Tipo Fluxo]]
)</f>
        <v>Saida</v>
      </c>
      <c r="D8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8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800" t="str">
        <f ca="1">IF(
  $O$7="Desbloqueado",
  "PROD"&amp;TEXT(RANDBETWEEN(1,200),"000"),
  Tabela_Movimentacao_Geral[[#This Row],[ID Produto]]
)</f>
        <v>PROD070</v>
      </c>
      <c r="G800" t="str">
        <f ca="1">_xlfn.XLOOKUP(Tabela_Movimentacao_Geral[[#This Row],[ID Produto]], Tabela_Produtos[ID_Produto],Tabela_Produtos[Descricao_Produto],"Produto não encontrado")</f>
        <v>Marcador para Quadro Azul</v>
      </c>
      <c r="H800" cm="1">
        <f t="array" aca="1" ref="H800" ca="1">IF(
   $O$7="Desbloqueado",
   _xlfn.LET(
     _xlpm.saldo_atual, SUM(($C$2:$C799="Entrada")*($F$2:$F799=Tabela_Movimentacao_Geral[[#This Row],[ID Produto]])*($H$2:$H799) - ($C$2:$C799="Saida")*($F$2:$F799=Tabela_Movimentacao_Geral[[#This Row],[ID Produto]])*($H$2:$H799)),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800" s="5">
        <f ca="1">_xlfn.XLOOKUP(Tabela_Movimentacao_Geral[[#This Row],[ID Produto]], Tabela_Produtos[ID_Produto],Tabela_Produtos[Preco_Unitario_Venda])</f>
        <v>7.5</v>
      </c>
      <c r="J800" s="6">
        <f ca="1">Tabela_Movimentacao_Geral[[#This Row],[Quantidade]] * Tabela_Movimentacao_Geral[[#This Row],[Valor Unitário]]</f>
        <v>120</v>
      </c>
      <c r="K800" t="str">
        <f ca="1">IF(
   $O$7="Desbloqueado",
   CHOOSE(RANDBETWEEN(1,3),"Pago","Pendente","Atrasado"),
   Tabela_Movimentacao_Geral[[#This Row],[Status Financeiro]]
)</f>
        <v>Atrasado</v>
      </c>
      <c r="L800" t="str">
        <f ca="1">IF(
   $O$7="Desbloqueado",
   CHOOSE(RANDBETWEEN(1,3),"Entregue","Em Rota","Aguardando"),
   Tabela_Movimentacao_Geral[[#This Row],[Status Logistico]]
)</f>
        <v>Entregue</v>
      </c>
      <c r="M80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01" spans="1:13" x14ac:dyDescent="0.3">
      <c r="A801" t="str">
        <f t="shared" si="12"/>
        <v>T0800</v>
      </c>
      <c r="B801" s="1">
        <v>46037</v>
      </c>
      <c r="C801" t="str" cm="1">
        <f t="array" aca="1" ref="C801" ca="1">IF($O$7="Desbloqueado",
  _xlfn.LET(
    _xlpm.saldo_atual, SUM(($C$2:$C800="Entrada")*($F$2:$F800=Tabela_Movimentacao_Geral[[#This Row],[ID Produto]])*($H$2:$H800) - ($C$2:$C800="Saida")*($F$2:$F800=Tabela_Movimentacao_Geral[[#This Row],[ID Produto]])*($H$2:$H800)),
    IF(_xlpm.saldo_atual &gt; 0, IF(RANDBETWEEN(0,10)&gt;3,"Saida","Entrada"), "Entrada")
  ),
  Tabela_Movimentacao_Geral[[#This Row],[Tipo Fluxo]]
)</f>
        <v>Entrada</v>
      </c>
      <c r="D8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8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801" t="str">
        <f ca="1">IF(
  $O$7="Desbloqueado",
  "PROD"&amp;TEXT(RANDBETWEEN(1,200),"000"),
  Tabela_Movimentacao_Geral[[#This Row],[ID Produto]]
)</f>
        <v>PROD079</v>
      </c>
      <c r="G801" t="str">
        <f ca="1">_xlfn.XLOOKUP(Tabela_Movimentacao_Geral[[#This Row],[ID Produto]], Tabela_Produtos[ID_Produto],Tabela_Produtos[Descricao_Produto],"Produto não encontrado")</f>
        <v>Maleta para Documentos</v>
      </c>
      <c r="H801" cm="1">
        <f t="array" aca="1" ref="H801" ca="1">IF(
   $O$7="Desbloqueado",
   _xlfn.LET(
     _xlpm.saldo_atual, SUM(($C$2:$C800="Entrada")*($F$2:$F800=Tabela_Movimentacao_Geral[[#This Row],[ID Produto]])*($H$2:$H800) - ($C$2:$C800="Saida")*($F$2:$F800=Tabela_Movimentacao_Geral[[#This Row],[ID Produto]])*($H$2:$H800)),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94</v>
      </c>
      <c r="I801" s="5">
        <f ca="1">_xlfn.XLOOKUP(Tabela_Movimentacao_Geral[[#This Row],[ID Produto]], Tabela_Produtos[ID_Produto],Tabela_Produtos[Preco_Unitario_Venda])</f>
        <v>65</v>
      </c>
      <c r="J801" s="6">
        <f ca="1">Tabela_Movimentacao_Geral[[#This Row],[Quantidade]] * Tabela_Movimentacao_Geral[[#This Row],[Valor Unitário]]</f>
        <v>6110</v>
      </c>
      <c r="K801" t="str">
        <f ca="1">IF(
   $O$7="Desbloqueado",
   CHOOSE(RANDBETWEEN(1,3),"Pago","Pendente","Atrasado"),
   Tabela_Movimentacao_Geral[[#This Row],[Status Financeiro]]
)</f>
        <v>Atrasado</v>
      </c>
      <c r="L801" t="str">
        <f ca="1">IF(
   $O$7="Desbloqueado",
   CHOOSE(RANDBETWEEN(1,3),"Entregue","Em Rota","Aguardando"),
   Tabela_Movimentacao_Geral[[#This Row],[Status Logistico]]
)</f>
        <v>Aguardando</v>
      </c>
      <c r="M8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46038</v>
      </c>
    </row>
    <row r="802" spans="1:13" x14ac:dyDescent="0.3">
      <c r="A802" t="str">
        <f t="shared" si="12"/>
        <v>T0801</v>
      </c>
      <c r="B802" s="1">
        <v>46037</v>
      </c>
      <c r="C802" t="str" cm="1">
        <f t="array" aca="1" ref="C802" ca="1">IF($O$7="Desbloqueado",
  _xlfn.LET(
    _xlpm.saldo_atual, SUM(($C$2:$C801="Entrada")*($F$2:$F801=Tabela_Movimentacao_Geral[[#This Row],[ID Produto]])*($H$2:$H801) - ($C$2:$C801="Saida")*($F$2:$F801=Tabela_Movimentacao_Geral[[#This Row],[ID Produto]])*($H$2:$H801)),
    IF(_xlpm.saldo_atual &gt; 0, IF(RANDBETWEEN(0,10)&gt;3,"Saida","Entrada"), "Entrada")
  ),
  Tabela_Movimentacao_Geral[[#This Row],[Tipo Fluxo]]
)</f>
        <v>Entrada</v>
      </c>
      <c r="D8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8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802" t="str">
        <f ca="1">IF(
  $O$7="Desbloqueado",
  "PROD"&amp;TEXT(RANDBETWEEN(1,200),"000"),
  Tabela_Movimentacao_Geral[[#This Row],[ID Produto]]
)</f>
        <v>PROD037</v>
      </c>
      <c r="G802" t="str">
        <f ca="1">_xlfn.XLOOKUP(Tabela_Movimentacao_Geral[[#This Row],[ID Produto]], Tabela_Produtos[ID_Produto],Tabela_Produtos[Descricao_Produto],"Produto não encontrado")</f>
        <v>Placa de Video 4GB</v>
      </c>
      <c r="H802" cm="1">
        <f t="array" aca="1" ref="H802" ca="1">IF(
   $O$7="Desbloqueado",
   _xlfn.LET(
     _xlpm.saldo_atual, SUM(($C$2:$C801="Entrada")*($F$2:$F801=Tabela_Movimentacao_Geral[[#This Row],[ID Produto]])*($H$2:$H801) - ($C$2:$C801="Saida")*($F$2:$F801=Tabela_Movimentacao_Geral[[#This Row],[ID Produto]])*($H$2:$H801)),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802" s="5">
        <f ca="1">_xlfn.XLOOKUP(Tabela_Movimentacao_Geral[[#This Row],[ID Produto]], Tabela_Produtos[ID_Produto],Tabela_Produtos[Preco_Unitario_Venda])</f>
        <v>1400</v>
      </c>
      <c r="J802" s="6">
        <f ca="1">Tabela_Movimentacao_Geral[[#This Row],[Quantidade]] * Tabela_Movimentacao_Geral[[#This Row],[Valor Unitário]]</f>
        <v>82600</v>
      </c>
      <c r="K802" t="str">
        <f ca="1">IF(
   $O$7="Desbloqueado",
   CHOOSE(RANDBETWEEN(1,3),"Pago","Pendente","Atrasado"),
   Tabela_Movimentacao_Geral[[#This Row],[Status Financeiro]]
)</f>
        <v>Pago</v>
      </c>
      <c r="L802" t="str">
        <f ca="1">IF(
   $O$7="Desbloqueado",
   CHOOSE(RANDBETWEEN(1,3),"Entregue","Em Rota","Aguardando"),
   Tabela_Movimentacao_Geral[[#This Row],[Status Logistico]]
)</f>
        <v>Aguardando</v>
      </c>
      <c r="M80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46052</v>
      </c>
    </row>
    <row r="803" spans="1:13" x14ac:dyDescent="0.3">
      <c r="A803" t="str">
        <f t="shared" si="12"/>
        <v>T0802</v>
      </c>
      <c r="B803" s="1">
        <v>46038</v>
      </c>
      <c r="C803" t="str" cm="1">
        <f t="array" aca="1" ref="C803" ca="1">IF($O$7="Desbloqueado",
  _xlfn.LET(
    _xlpm.saldo_atual, SUM(($C$2:$C802="Entrada")*($F$2:$F802=Tabela_Movimentacao_Geral[[#This Row],[ID Produto]])*($H$2:$H802) - ($C$2:$C802="Saida")*($F$2:$F802=Tabela_Movimentacao_Geral[[#This Row],[ID Produto]])*($H$2:$H802)),
    IF(_xlpm.saldo_atual &gt; 0, IF(RANDBETWEEN(0,10)&gt;3,"Saida","Entrada"), "Entrada")
  ),
  Tabela_Movimentacao_Geral[[#This Row],[Tipo Fluxo]]
)</f>
        <v>Saida</v>
      </c>
      <c r="D8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8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803" t="str">
        <f ca="1">IF(
  $O$7="Desbloqueado",
  "PROD"&amp;TEXT(RANDBETWEEN(1,200),"000"),
  Tabela_Movimentacao_Geral[[#This Row],[ID Produto]]
)</f>
        <v>PROD200</v>
      </c>
      <c r="G803" t="str">
        <f ca="1">_xlfn.XLOOKUP(Tabela_Movimentacao_Geral[[#This Row],[ID Produto]], Tabela_Produtos[ID_Produto],Tabela_Produtos[Descricao_Produto],"Produto não encontrado")</f>
        <v>Estacao de Solda Prof</v>
      </c>
      <c r="H803" cm="1">
        <f t="array" aca="1" ref="H803" ca="1">IF(
   $O$7="Desbloqueado",
   _xlfn.LET(
     _xlpm.saldo_atual, SUM(($C$2:$C802="Entrada")*($F$2:$F802=Tabela_Movimentacao_Geral[[#This Row],[ID Produto]])*($H$2:$H802) - ($C$2:$C802="Saida")*($F$2:$F802=Tabela_Movimentacao_Geral[[#This Row],[ID Produto]])*($H$2:$H802)),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803" s="5">
        <f ca="1">_xlfn.XLOOKUP(Tabela_Movimentacao_Geral[[#This Row],[ID Produto]], Tabela_Produtos[ID_Produto],Tabela_Produtos[Preco_Unitario_Venda])</f>
        <v>1200</v>
      </c>
      <c r="J803" s="6">
        <f ca="1">Tabela_Movimentacao_Geral[[#This Row],[Quantidade]] * Tabela_Movimentacao_Geral[[#This Row],[Valor Unitário]]</f>
        <v>22800</v>
      </c>
      <c r="K803" t="str">
        <f ca="1">IF(
   $O$7="Desbloqueado",
   CHOOSE(RANDBETWEEN(1,3),"Pago","Pendente","Atrasado"),
   Tabela_Movimentacao_Geral[[#This Row],[Status Financeiro]]
)</f>
        <v>Pago</v>
      </c>
      <c r="L803" t="str">
        <f ca="1">IF(
   $O$7="Desbloqueado",
   CHOOSE(RANDBETWEEN(1,3),"Entregue","Em Rota","Aguardando"),
   Tabela_Movimentacao_Geral[[#This Row],[Status Logistico]]
)</f>
        <v>Em Rota</v>
      </c>
      <c r="M80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04" spans="1:13" x14ac:dyDescent="0.3">
      <c r="A804" t="str">
        <f t="shared" si="12"/>
        <v>T0803</v>
      </c>
      <c r="B804" s="1">
        <v>46038</v>
      </c>
      <c r="C804" t="str" cm="1">
        <f t="array" aca="1" ref="C804" ca="1">IF($O$7="Desbloqueado",
  _xlfn.LET(
    _xlpm.saldo_atual, SUM(($C$2:$C803="Entrada")*($F$2:$F803=Tabela_Movimentacao_Geral[[#This Row],[ID Produto]])*($H$2:$H803) - ($C$2:$C803="Saida")*($F$2:$F803=Tabela_Movimentacao_Geral[[#This Row],[ID Produto]])*($H$2:$H803)),
    IF(_xlpm.saldo_atual &gt; 0, IF(RANDBETWEEN(0,10)&gt;3,"Saida","Entrada"), "Entrada")
  ),
  Tabela_Movimentacao_Geral[[#This Row],[Tipo Fluxo]]
)</f>
        <v>Entrada</v>
      </c>
      <c r="D8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8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804" t="str">
        <f ca="1">IF(
  $O$7="Desbloqueado",
  "PROD"&amp;TEXT(RANDBETWEEN(1,200),"000"),
  Tabela_Movimentacao_Geral[[#This Row],[ID Produto]]
)</f>
        <v>PROD007</v>
      </c>
      <c r="G804" t="str">
        <f ca="1">_xlfn.XLOOKUP(Tabela_Movimentacao_Geral[[#This Row],[ID Produto]], Tabela_Produtos[ID_Produto],Tabela_Produtos[Descricao_Produto],"Produto não encontrado")</f>
        <v>Impressora Laser Color</v>
      </c>
      <c r="H804" cm="1">
        <f t="array" aca="1" ref="H804" ca="1">IF(
   $O$7="Desbloqueado",
   _xlfn.LET(
     _xlpm.saldo_atual, SUM(($C$2:$C803="Entrada")*($F$2:$F803=Tabela_Movimentacao_Geral[[#This Row],[ID Produto]])*($H$2:$H803) - ($C$2:$C803="Saida")*($F$2:$F803=Tabela_Movimentacao_Geral[[#This Row],[ID Produto]])*($H$2:$H803)),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804" s="5">
        <f ca="1">_xlfn.XLOOKUP(Tabela_Movimentacao_Geral[[#This Row],[ID Produto]], Tabela_Produtos[ID_Produto],Tabela_Produtos[Preco_Unitario_Venda])</f>
        <v>1800</v>
      </c>
      <c r="J804" s="6">
        <f ca="1">Tabela_Movimentacao_Geral[[#This Row],[Quantidade]] * Tabela_Movimentacao_Geral[[#This Row],[Valor Unitário]]</f>
        <v>84600</v>
      </c>
      <c r="K804" t="str">
        <f ca="1">IF(
   $O$7="Desbloqueado",
   CHOOSE(RANDBETWEEN(1,3),"Pago","Pendente","Atrasado"),
   Tabela_Movimentacao_Geral[[#This Row],[Status Financeiro]]
)</f>
        <v>Atrasado</v>
      </c>
      <c r="L804" t="str">
        <f ca="1">IF(
   $O$7="Desbloqueado",
   CHOOSE(RANDBETWEEN(1,3),"Entregue","Em Rota","Aguardando"),
   Tabela_Movimentacao_Geral[[#This Row],[Status Logistico]]
)</f>
        <v>Entregue</v>
      </c>
      <c r="M80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46041</v>
      </c>
    </row>
    <row r="805" spans="1:13" x14ac:dyDescent="0.3">
      <c r="A805" t="str">
        <f t="shared" si="12"/>
        <v>T0804</v>
      </c>
      <c r="B805" s="1">
        <v>46038</v>
      </c>
      <c r="C805" t="str" cm="1">
        <f t="array" aca="1" ref="C805" ca="1">IF($O$7="Desbloqueado",
  _xlfn.LET(
    _xlpm.saldo_atual, SUM(($C$2:$C804="Entrada")*($F$2:$F804=Tabela_Movimentacao_Geral[[#This Row],[ID Produto]])*($H$2:$H804) - ($C$2:$C804="Saida")*($F$2:$F804=Tabela_Movimentacao_Geral[[#This Row],[ID Produto]])*($H$2:$H804)),
    IF(_xlpm.saldo_atual &gt; 0, IF(RANDBETWEEN(0,10)&gt;3,"Saida","Entrada"), "Entrada")
  ),
  Tabela_Movimentacao_Geral[[#This Row],[Tipo Fluxo]]
)</f>
        <v>Saida</v>
      </c>
      <c r="D8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05" t="str">
        <f ca="1">IF(
  $O$7="Desbloqueado",
  "PROD"&amp;TEXT(RANDBETWEEN(1,200),"000"),
  Tabela_Movimentacao_Geral[[#This Row],[ID Produto]]
)</f>
        <v>PROD130</v>
      </c>
      <c r="G805" t="str">
        <f ca="1">_xlfn.XLOOKUP(Tabela_Movimentacao_Geral[[#This Row],[ID Produto]], Tabela_Produtos[ID_Produto],Tabela_Produtos[Descricao_Produto],"Produto não encontrado")</f>
        <v>Maleta Rigida Notebook</v>
      </c>
      <c r="H805" cm="1">
        <f t="array" aca="1" ref="H805" ca="1">IF(
   $O$7="Desbloqueado",
   _xlfn.LET(
     _xlpm.saldo_atual, SUM(($C$2:$C804="Entrada")*($F$2:$F804=Tabela_Movimentacao_Geral[[#This Row],[ID Produto]])*($H$2:$H804) - ($C$2:$C804="Saida")*($F$2:$F804=Tabela_Movimentacao_Geral[[#This Row],[ID Produto]])*($H$2:$H804)),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805" s="5">
        <f ca="1">_xlfn.XLOOKUP(Tabela_Movimentacao_Geral[[#This Row],[ID Produto]], Tabela_Produtos[ID_Produto],Tabela_Produtos[Preco_Unitario_Venda])</f>
        <v>380</v>
      </c>
      <c r="J805" s="6">
        <f ca="1">Tabela_Movimentacao_Geral[[#This Row],[Quantidade]] * Tabela_Movimentacao_Geral[[#This Row],[Valor Unitário]]</f>
        <v>3800</v>
      </c>
      <c r="K805" t="str">
        <f ca="1">IF(
   $O$7="Desbloqueado",
   CHOOSE(RANDBETWEEN(1,3),"Pago","Pendente","Atrasado"),
   Tabela_Movimentacao_Geral[[#This Row],[Status Financeiro]]
)</f>
        <v>Pago</v>
      </c>
      <c r="L805" t="str">
        <f ca="1">IF(
   $O$7="Desbloqueado",
   CHOOSE(RANDBETWEEN(1,3),"Entregue","Em Rota","Aguardando"),
   Tabela_Movimentacao_Geral[[#This Row],[Status Logistico]]
)</f>
        <v>Em Rota</v>
      </c>
      <c r="M80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06" spans="1:13" x14ac:dyDescent="0.3">
      <c r="A806" t="str">
        <f t="shared" si="12"/>
        <v>T0805</v>
      </c>
      <c r="B806" s="1">
        <v>46038</v>
      </c>
      <c r="C806" t="str" cm="1">
        <f t="array" aca="1" ref="C806" ca="1">IF($O$7="Desbloqueado",
  _xlfn.LET(
    _xlpm.saldo_atual, SUM(($C$2:$C805="Entrada")*($F$2:$F805=Tabela_Movimentacao_Geral[[#This Row],[ID Produto]])*($H$2:$H805) - ($C$2:$C805="Saida")*($F$2:$F805=Tabela_Movimentacao_Geral[[#This Row],[ID Produto]])*($H$2:$H805)),
    IF(_xlpm.saldo_atual &gt; 0, IF(RANDBETWEEN(0,10)&gt;3,"Saida","Entrada"), "Entrada")
  ),
  Tabela_Movimentacao_Geral[[#This Row],[Tipo Fluxo]]
)</f>
        <v>Entrada</v>
      </c>
      <c r="D8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8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806" t="str">
        <f ca="1">IF(
  $O$7="Desbloqueado",
  "PROD"&amp;TEXT(RANDBETWEEN(1,200),"000"),
  Tabela_Movimentacao_Geral[[#This Row],[ID Produto]]
)</f>
        <v>PROD041</v>
      </c>
      <c r="G806" t="str">
        <f ca="1">_xlfn.XLOOKUP(Tabela_Movimentacao_Geral[[#This Row],[ID Produto]], Tabela_Produtos[ID_Produto],Tabela_Produtos[Descricao_Produto],"Produto não encontrado")</f>
        <v>Cartao de Memoria 128GB</v>
      </c>
      <c r="H806" cm="1">
        <f t="array" aca="1" ref="H806" ca="1">IF(
   $O$7="Desbloqueado",
   _xlfn.LET(
     _xlpm.saldo_atual, SUM(($C$2:$C805="Entrada")*($F$2:$F805=Tabela_Movimentacao_Geral[[#This Row],[ID Produto]])*($H$2:$H805) - ($C$2:$C805="Saida")*($F$2:$F805=Tabela_Movimentacao_Geral[[#This Row],[ID Produto]])*($H$2:$H805)),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73</v>
      </c>
      <c r="I806" s="5">
        <f ca="1">_xlfn.XLOOKUP(Tabela_Movimentacao_Geral[[#This Row],[ID Produto]], Tabela_Produtos[ID_Produto],Tabela_Produtos[Preco_Unitario_Venda])</f>
        <v>140</v>
      </c>
      <c r="J806" s="6">
        <f ca="1">Tabela_Movimentacao_Geral[[#This Row],[Quantidade]] * Tabela_Movimentacao_Geral[[#This Row],[Valor Unitário]]</f>
        <v>10220</v>
      </c>
      <c r="K806" t="str">
        <f ca="1">IF(
   $O$7="Desbloqueado",
   CHOOSE(RANDBETWEEN(1,3),"Pago","Pendente","Atrasado"),
   Tabela_Movimentacao_Geral[[#This Row],[Status Financeiro]]
)</f>
        <v>Atrasado</v>
      </c>
      <c r="L806" t="str">
        <f ca="1">IF(
   $O$7="Desbloqueado",
   CHOOSE(RANDBETWEEN(1,3),"Entregue","Em Rota","Aguardando"),
   Tabela_Movimentacao_Geral[[#This Row],[Status Logistico]]
)</f>
        <v>Em Rota</v>
      </c>
      <c r="M80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46045</v>
      </c>
    </row>
    <row r="807" spans="1:13" x14ac:dyDescent="0.3">
      <c r="A807" t="str">
        <f t="shared" si="12"/>
        <v>T0806</v>
      </c>
      <c r="B807" s="1">
        <v>46038</v>
      </c>
      <c r="C807" t="str" cm="1">
        <f t="array" aca="1" ref="C807" ca="1">IF($O$7="Desbloqueado",
  _xlfn.LET(
    _xlpm.saldo_atual, SUM(($C$2:$C806="Entrada")*($F$2:$F806=Tabela_Movimentacao_Geral[[#This Row],[ID Produto]])*($H$2:$H806) - ($C$2:$C806="Saida")*($F$2:$F806=Tabela_Movimentacao_Geral[[#This Row],[ID Produto]])*($H$2:$H806)),
    IF(_xlpm.saldo_atual &gt; 0, IF(RANDBETWEEN(0,10)&gt;3,"Saida","Entrada"), "Entrada")
  ),
  Tabela_Movimentacao_Geral[[#This Row],[Tipo Fluxo]]
)</f>
        <v>Entrada</v>
      </c>
      <c r="D8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8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807" t="str">
        <f ca="1">IF(
  $O$7="Desbloqueado",
  "PROD"&amp;TEXT(RANDBETWEEN(1,200),"000"),
  Tabela_Movimentacao_Geral[[#This Row],[ID Produto]]
)</f>
        <v>PROD095</v>
      </c>
      <c r="G807" t="str">
        <f ca="1">_xlfn.XLOOKUP(Tabela_Movimentacao_Geral[[#This Row],[ID Produto]], Tabela_Produtos[ID_Produto],Tabela_Produtos[Descricao_Produto],"Produto não encontrado")</f>
        <v>Controladora RAID PCIe</v>
      </c>
      <c r="H807" cm="1">
        <f t="array" aca="1" ref="H807" ca="1">IF(
   $O$7="Desbloqueado",
   _xlfn.LET(
     _xlpm.saldo_atual, SUM(($C$2:$C806="Entrada")*($F$2:$F806=Tabela_Movimentacao_Geral[[#This Row],[ID Produto]])*($H$2:$H806) - ($C$2:$C806="Saida")*($F$2:$F806=Tabela_Movimentacao_Geral[[#This Row],[ID Produto]])*($H$2:$H806)),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94</v>
      </c>
      <c r="I807" s="5">
        <f ca="1">_xlfn.XLOOKUP(Tabela_Movimentacao_Geral[[#This Row],[ID Produto]], Tabela_Produtos[ID_Produto],Tabela_Produtos[Preco_Unitario_Venda])</f>
        <v>2100</v>
      </c>
      <c r="J807" s="6">
        <f ca="1">Tabela_Movimentacao_Geral[[#This Row],[Quantidade]] * Tabela_Movimentacao_Geral[[#This Row],[Valor Unitário]]</f>
        <v>197400</v>
      </c>
      <c r="K807" t="str">
        <f ca="1">IF(
   $O$7="Desbloqueado",
   CHOOSE(RANDBETWEEN(1,3),"Pago","Pendente","Atrasado"),
   Tabela_Movimentacao_Geral[[#This Row],[Status Financeiro]]
)</f>
        <v>Pendente</v>
      </c>
      <c r="L807" t="str">
        <f ca="1">IF(
   $O$7="Desbloqueado",
   CHOOSE(RANDBETWEEN(1,3),"Entregue","Em Rota","Aguardando"),
   Tabela_Movimentacao_Geral[[#This Row],[Status Logistico]]
)</f>
        <v>Aguardando</v>
      </c>
      <c r="M80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46039</v>
      </c>
    </row>
    <row r="808" spans="1:13" x14ac:dyDescent="0.3">
      <c r="A808" t="str">
        <f t="shared" si="12"/>
        <v>T0807</v>
      </c>
      <c r="B808" s="1">
        <v>46039</v>
      </c>
      <c r="C808" t="str" cm="1">
        <f t="array" aca="1" ref="C808" ca="1">IF($O$7="Desbloqueado",
  _xlfn.LET(
    _xlpm.saldo_atual, SUM(($C$2:$C807="Entrada")*($F$2:$F807=Tabela_Movimentacao_Geral[[#This Row],[ID Produto]])*($H$2:$H807) - ($C$2:$C807="Saida")*($F$2:$F807=Tabela_Movimentacao_Geral[[#This Row],[ID Produto]])*($H$2:$H807)),
    IF(_xlpm.saldo_atual &gt; 0, IF(RANDBETWEEN(0,10)&gt;3,"Saida","Entrada"), "Entrada")
  ),
  Tabela_Movimentacao_Geral[[#This Row],[Tipo Fluxo]]
)</f>
        <v>Entrada</v>
      </c>
      <c r="D8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8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808" t="str">
        <f ca="1">IF(
  $O$7="Desbloqueado",
  "PROD"&amp;TEXT(RANDBETWEEN(1,200),"000"),
  Tabela_Movimentacao_Geral[[#This Row],[ID Produto]]
)</f>
        <v>PROD155</v>
      </c>
      <c r="G808" t="str">
        <f ca="1">_xlfn.XLOOKUP(Tabela_Movimentacao_Geral[[#This Row],[ID Produto]], Tabela_Produtos[ID_Produto],Tabela_Produtos[Descricao_Produto],"Produto não encontrado")</f>
        <v>Lâmina Estilete 10un</v>
      </c>
      <c r="H808" cm="1">
        <f t="array" aca="1" ref="H808" ca="1">IF(
   $O$7="Desbloqueado",
   _xlfn.LET(
     _xlpm.saldo_atual, SUM(($C$2:$C807="Entrada")*($F$2:$F807=Tabela_Movimentacao_Geral[[#This Row],[ID Produto]])*($H$2:$H807) - ($C$2:$C807="Saida")*($F$2:$F807=Tabela_Movimentacao_Geral[[#This Row],[ID Produto]])*($H$2:$H807)),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88</v>
      </c>
      <c r="I808" s="5">
        <f ca="1">_xlfn.XLOOKUP(Tabela_Movimentacao_Geral[[#This Row],[ID Produto]], Tabela_Produtos[ID_Produto],Tabela_Produtos[Preco_Unitario_Venda])</f>
        <v>12</v>
      </c>
      <c r="J808" s="6">
        <f ca="1">Tabela_Movimentacao_Geral[[#This Row],[Quantidade]] * Tabela_Movimentacao_Geral[[#This Row],[Valor Unitário]]</f>
        <v>1056</v>
      </c>
      <c r="K808" t="str">
        <f ca="1">IF(
   $O$7="Desbloqueado",
   CHOOSE(RANDBETWEEN(1,3),"Pago","Pendente","Atrasado"),
   Tabela_Movimentacao_Geral[[#This Row],[Status Financeiro]]
)</f>
        <v>Pago</v>
      </c>
      <c r="L808" t="str">
        <f ca="1">IF(
   $O$7="Desbloqueado",
   CHOOSE(RANDBETWEEN(1,3),"Entregue","Em Rota","Aguardando"),
   Tabela_Movimentacao_Geral[[#This Row],[Status Logistico]]
)</f>
        <v>Aguardando</v>
      </c>
      <c r="M80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46041</v>
      </c>
    </row>
    <row r="809" spans="1:13" x14ac:dyDescent="0.3">
      <c r="A809" t="str">
        <f t="shared" si="12"/>
        <v>T0808</v>
      </c>
      <c r="B809" s="1">
        <v>46039</v>
      </c>
      <c r="C809" t="str" cm="1">
        <f t="array" aca="1" ref="C809" ca="1">IF($O$7="Desbloqueado",
  _xlfn.LET(
    _xlpm.saldo_atual, SUM(($C$2:$C808="Entrada")*($F$2:$F808=Tabela_Movimentacao_Geral[[#This Row],[ID Produto]])*($H$2:$H808) - ($C$2:$C808="Saida")*($F$2:$F808=Tabela_Movimentacao_Geral[[#This Row],[ID Produto]])*($H$2:$H808)),
    IF(_xlpm.saldo_atual &gt; 0, IF(RANDBETWEEN(0,10)&gt;3,"Saida","Entrada"), "Entrada")
  ),
  Tabela_Movimentacao_Geral[[#This Row],[Tipo Fluxo]]
)</f>
        <v>Entrada</v>
      </c>
      <c r="D8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8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809" t="str">
        <f ca="1">IF(
  $O$7="Desbloqueado",
  "PROD"&amp;TEXT(RANDBETWEEN(1,200),"000"),
  Tabela_Movimentacao_Geral[[#This Row],[ID Produto]]
)</f>
        <v>PROD192</v>
      </c>
      <c r="G809" t="str">
        <f ca="1">_xlfn.XLOOKUP(Tabela_Movimentacao_Geral[[#This Row],[ID Produto]], Tabela_Produtos[ID_Produto],Tabela_Produtos[Descricao_Produto],"Produto não encontrado")</f>
        <v>Protetor Surto Coaxial</v>
      </c>
      <c r="H809" cm="1">
        <f t="array" aca="1" ref="H809" ca="1">IF(
   $O$7="Desbloqueado",
   _xlfn.LET(
     _xlpm.saldo_atual, SUM(($C$2:$C808="Entrada")*($F$2:$F808=Tabela_Movimentacao_Geral[[#This Row],[ID Produto]])*($H$2:$H808) - ($C$2:$C808="Saida")*($F$2:$F808=Tabela_Movimentacao_Geral[[#This Row],[ID Produto]])*($H$2:$H808)),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809" s="5">
        <f ca="1">_xlfn.XLOOKUP(Tabela_Movimentacao_Geral[[#This Row],[ID Produto]], Tabela_Produtos[ID_Produto],Tabela_Produtos[Preco_Unitario_Venda])</f>
        <v>85</v>
      </c>
      <c r="J809" s="6">
        <f ca="1">Tabela_Movimentacao_Geral[[#This Row],[Quantidade]] * Tabela_Movimentacao_Geral[[#This Row],[Valor Unitário]]</f>
        <v>7395</v>
      </c>
      <c r="K809" t="str">
        <f ca="1">IF(
   $O$7="Desbloqueado",
   CHOOSE(RANDBETWEEN(1,3),"Pago","Pendente","Atrasado"),
   Tabela_Movimentacao_Geral[[#This Row],[Status Financeiro]]
)</f>
        <v>Pendente</v>
      </c>
      <c r="L809" t="str">
        <f ca="1">IF(
   $O$7="Desbloqueado",
   CHOOSE(RANDBETWEEN(1,3),"Entregue","Em Rota","Aguardando"),
   Tabela_Movimentacao_Geral[[#This Row],[Status Logistico]]
)</f>
        <v>Entregue</v>
      </c>
      <c r="M80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46044</v>
      </c>
    </row>
    <row r="810" spans="1:13" x14ac:dyDescent="0.3">
      <c r="A810" t="str">
        <f t="shared" si="12"/>
        <v>T0809</v>
      </c>
      <c r="B810" s="1">
        <v>46039</v>
      </c>
      <c r="C810" t="str" cm="1">
        <f t="array" aca="1" ref="C810" ca="1">IF($O$7="Desbloqueado",
  _xlfn.LET(
    _xlpm.saldo_atual, SUM(($C$2:$C809="Entrada")*($F$2:$F809=Tabela_Movimentacao_Geral[[#This Row],[ID Produto]])*($H$2:$H809) - ($C$2:$C809="Saida")*($F$2:$F809=Tabela_Movimentacao_Geral[[#This Row],[ID Produto]])*($H$2:$H809)),
    IF(_xlpm.saldo_atual &gt; 0, IF(RANDBETWEEN(0,10)&gt;3,"Saida","Entrada"), "Entrada")
  ),
  Tabela_Movimentacao_Geral[[#This Row],[Tipo Fluxo]]
)</f>
        <v>Saida</v>
      </c>
      <c r="D8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8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810" t="str">
        <f ca="1">IF(
  $O$7="Desbloqueado",
  "PROD"&amp;TEXT(RANDBETWEEN(1,200),"000"),
  Tabela_Movimentacao_Geral[[#This Row],[ID Produto]]
)</f>
        <v>PROD092</v>
      </c>
      <c r="G810" t="str">
        <f ca="1">_xlfn.XLOOKUP(Tabela_Movimentacao_Geral[[#This Row],[ID Produto]], Tabela_Produtos[ID_Produto],Tabela_Produtos[Descricao_Produto],"Produto não encontrado")</f>
        <v>Fita LTO-8 Ultrium</v>
      </c>
      <c r="H810" cm="1">
        <f t="array" aca="1" ref="H810" ca="1">IF(
   $O$7="Desbloqueado",
   _xlfn.LET(
     _xlpm.saldo_atual, SUM(($C$2:$C809="Entrada")*($F$2:$F809=Tabela_Movimentacao_Geral[[#This Row],[ID Produto]])*($H$2:$H809) - ($C$2:$C809="Saida")*($F$2:$F809=Tabela_Movimentacao_Geral[[#This Row],[ID Produto]])*($H$2:$H809)),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182</v>
      </c>
      <c r="I810" s="5">
        <f ca="1">_xlfn.XLOOKUP(Tabela_Movimentacao_Geral[[#This Row],[ID Produto]], Tabela_Produtos[ID_Produto],Tabela_Produtos[Preco_Unitario_Venda])</f>
        <v>950</v>
      </c>
      <c r="J810" s="6">
        <f ca="1">Tabela_Movimentacao_Geral[[#This Row],[Quantidade]] * Tabela_Movimentacao_Geral[[#This Row],[Valor Unitário]]</f>
        <v>172900</v>
      </c>
      <c r="K810" t="str">
        <f ca="1">IF(
   $O$7="Desbloqueado",
   CHOOSE(RANDBETWEEN(1,3),"Pago","Pendente","Atrasado"),
   Tabela_Movimentacao_Geral[[#This Row],[Status Financeiro]]
)</f>
        <v>Pago</v>
      </c>
      <c r="L810" t="str">
        <f ca="1">IF(
   $O$7="Desbloqueado",
   CHOOSE(RANDBETWEEN(1,3),"Entregue","Em Rota","Aguardando"),
   Tabela_Movimentacao_Geral[[#This Row],[Status Logistico]]
)</f>
        <v>Entregue</v>
      </c>
      <c r="M81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11" spans="1:13" x14ac:dyDescent="0.3">
      <c r="A811" t="str">
        <f t="shared" si="12"/>
        <v>T0810</v>
      </c>
      <c r="B811" s="1">
        <v>46039</v>
      </c>
      <c r="C811" t="str" cm="1">
        <f t="array" aca="1" ref="C811" ca="1">IF($O$7="Desbloqueado",
  _xlfn.LET(
    _xlpm.saldo_atual, SUM(($C$2:$C810="Entrada")*($F$2:$F810=Tabela_Movimentacao_Geral[[#This Row],[ID Produto]])*($H$2:$H810) - ($C$2:$C810="Saida")*($F$2:$F810=Tabela_Movimentacao_Geral[[#This Row],[ID Produto]])*($H$2:$H810)),
    IF(_xlpm.saldo_atual &gt; 0, IF(RANDBETWEEN(0,10)&gt;3,"Saida","Entrada"), "Entrada")
  ),
  Tabela_Movimentacao_Geral[[#This Row],[Tipo Fluxo]]
)</f>
        <v>Saida</v>
      </c>
      <c r="D8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8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811" t="str">
        <f ca="1">IF(
  $O$7="Desbloqueado",
  "PROD"&amp;TEXT(RANDBETWEEN(1,200),"000"),
  Tabela_Movimentacao_Geral[[#This Row],[ID Produto]]
)</f>
        <v>PROD028</v>
      </c>
      <c r="G811" t="str">
        <f ca="1">_xlfn.XLOOKUP(Tabela_Movimentacao_Geral[[#This Row],[ID Produto]], Tabela_Produtos[ID_Produto],Tabela_Produtos[Descricao_Produto],"Produto não encontrado")</f>
        <v>Cabo de Rede Cat6 3m</v>
      </c>
      <c r="H811" cm="1">
        <f t="array" aca="1" ref="H811" ca="1">IF(
   $O$7="Desbloqueado",
   _xlfn.LET(
     _xlpm.saldo_atual, SUM(($C$2:$C810="Entrada")*($F$2:$F810=Tabela_Movimentacao_Geral[[#This Row],[ID Produto]])*($H$2:$H810) - ($C$2:$C810="Saida")*($F$2:$F810=Tabela_Movimentacao_Geral[[#This Row],[ID Produto]])*($H$2:$H810)),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811" s="5">
        <f ca="1">_xlfn.XLOOKUP(Tabela_Movimentacao_Geral[[#This Row],[ID Produto]], Tabela_Produtos[ID_Produto],Tabela_Produtos[Preco_Unitario_Venda])</f>
        <v>25</v>
      </c>
      <c r="J811" s="6">
        <f ca="1">Tabela_Movimentacao_Geral[[#This Row],[Quantidade]] * Tabela_Movimentacao_Geral[[#This Row],[Valor Unitário]]</f>
        <v>150</v>
      </c>
      <c r="K811" t="str">
        <f ca="1">IF(
   $O$7="Desbloqueado",
   CHOOSE(RANDBETWEEN(1,3),"Pago","Pendente","Atrasado"),
   Tabela_Movimentacao_Geral[[#This Row],[Status Financeiro]]
)</f>
        <v>Pendente</v>
      </c>
      <c r="L811" t="str">
        <f ca="1">IF(
   $O$7="Desbloqueado",
   CHOOSE(RANDBETWEEN(1,3),"Entregue","Em Rota","Aguardando"),
   Tabela_Movimentacao_Geral[[#This Row],[Status Logistico]]
)</f>
        <v>Em Rota</v>
      </c>
      <c r="M81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12" spans="1:13" x14ac:dyDescent="0.3">
      <c r="A812" t="str">
        <f t="shared" si="12"/>
        <v>T0811</v>
      </c>
      <c r="B812" s="1">
        <v>46040</v>
      </c>
      <c r="C812" t="str" cm="1">
        <f t="array" aca="1" ref="C812" ca="1">IF($O$7="Desbloqueado",
  _xlfn.LET(
    _xlpm.saldo_atual, SUM(($C$2:$C811="Entrada")*($F$2:$F811=Tabela_Movimentacao_Geral[[#This Row],[ID Produto]])*($H$2:$H811) - ($C$2:$C811="Saida")*($F$2:$F811=Tabela_Movimentacao_Geral[[#This Row],[ID Produto]])*($H$2:$H811)),
    IF(_xlpm.saldo_atual &gt; 0, IF(RANDBETWEEN(0,10)&gt;3,"Saida","Entrada"), "Entrada")
  ),
  Tabela_Movimentacao_Geral[[#This Row],[Tipo Fluxo]]
)</f>
        <v>Saida</v>
      </c>
      <c r="D8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8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812" t="str">
        <f ca="1">IF(
  $O$7="Desbloqueado",
  "PROD"&amp;TEXT(RANDBETWEEN(1,200),"000"),
  Tabela_Movimentacao_Geral[[#This Row],[ID Produto]]
)</f>
        <v>PROD061</v>
      </c>
      <c r="G812" t="str">
        <f ca="1">_xlfn.XLOOKUP(Tabela_Movimentacao_Geral[[#This Row],[ID Produto]], Tabela_Produtos[ID_Produto],Tabela_Produtos[Descricao_Produto],"Produto não encontrado")</f>
        <v>Borracha Branca Escolar</v>
      </c>
      <c r="H812" cm="1">
        <f t="array" aca="1" ref="H812" ca="1">IF(
   $O$7="Desbloqueado",
   _xlfn.LET(
     _xlpm.saldo_atual, SUM(($C$2:$C811="Entrada")*($F$2:$F811=Tabela_Movimentacao_Geral[[#This Row],[ID Produto]])*($H$2:$H811) - ($C$2:$C811="Saida")*($F$2:$F811=Tabela_Movimentacao_Geral[[#This Row],[ID Produto]])*($H$2:$H811)),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812" s="5">
        <f ca="1">_xlfn.XLOOKUP(Tabela_Movimentacao_Geral[[#This Row],[ID Produto]], Tabela_Produtos[ID_Produto],Tabela_Produtos[Preco_Unitario_Venda])</f>
        <v>2.5</v>
      </c>
      <c r="J812" s="6">
        <f ca="1">Tabela_Movimentacao_Geral[[#This Row],[Quantidade]] * Tabela_Movimentacao_Geral[[#This Row],[Valor Unitário]]</f>
        <v>2.5</v>
      </c>
      <c r="K812" t="str">
        <f ca="1">IF(
   $O$7="Desbloqueado",
   CHOOSE(RANDBETWEEN(1,3),"Pago","Pendente","Atrasado"),
   Tabela_Movimentacao_Geral[[#This Row],[Status Financeiro]]
)</f>
        <v>Atrasado</v>
      </c>
      <c r="L812" t="str">
        <f ca="1">IF(
   $O$7="Desbloqueado",
   CHOOSE(RANDBETWEEN(1,3),"Entregue","Em Rota","Aguardando"),
   Tabela_Movimentacao_Geral[[#This Row],[Status Logistico]]
)</f>
        <v>Em Rota</v>
      </c>
      <c r="M81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13" spans="1:13" x14ac:dyDescent="0.3">
      <c r="A813" t="str">
        <f t="shared" si="12"/>
        <v>T0812</v>
      </c>
      <c r="B813" s="1">
        <v>46040</v>
      </c>
      <c r="C813" t="str" cm="1">
        <f t="array" aca="1" ref="C813" ca="1">IF($O$7="Desbloqueado",
  _xlfn.LET(
    _xlpm.saldo_atual, SUM(($C$2:$C812="Entrada")*($F$2:$F812=Tabela_Movimentacao_Geral[[#This Row],[ID Produto]])*($H$2:$H812) - ($C$2:$C812="Saida")*($F$2:$F812=Tabela_Movimentacao_Geral[[#This Row],[ID Produto]])*($H$2:$H812)),
    IF(_xlpm.saldo_atual &gt; 0, IF(RANDBETWEEN(0,10)&gt;3,"Saida","Entrada"), "Entrada")
  ),
  Tabela_Movimentacao_Geral[[#This Row],[Tipo Fluxo]]
)</f>
        <v>Entrada</v>
      </c>
      <c r="D8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8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813" t="str">
        <f ca="1">IF(
  $O$7="Desbloqueado",
  "PROD"&amp;TEXT(RANDBETWEEN(1,200),"000"),
  Tabela_Movimentacao_Geral[[#This Row],[ID Produto]]
)</f>
        <v>PROD124</v>
      </c>
      <c r="G813" t="str">
        <f ca="1">_xlfn.XLOOKUP(Tabela_Movimentacao_Geral[[#This Row],[ID Produto]], Tabela_Produtos[ID_Produto],Tabela_Produtos[Descricao_Produto],"Produto não encontrado")</f>
        <v>Ferramenta BI Assinatura</v>
      </c>
      <c r="H813" cm="1">
        <f t="array" aca="1" ref="H813" ca="1">IF(
   $O$7="Desbloqueado",
   _xlfn.LET(
     _xlpm.saldo_atual, SUM(($C$2:$C812="Entrada")*($F$2:$F812=Tabela_Movimentacao_Geral[[#This Row],[ID Produto]])*($H$2:$H812) - ($C$2:$C812="Saida")*($F$2:$F812=Tabela_Movimentacao_Geral[[#This Row],[ID Produto]])*($H$2:$H812)),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813" s="5">
        <f ca="1">_xlfn.XLOOKUP(Tabela_Movimentacao_Geral[[#This Row],[ID Produto]], Tabela_Produtos[ID_Produto],Tabela_Produtos[Preco_Unitario_Venda])</f>
        <v>250</v>
      </c>
      <c r="J813" s="6">
        <f ca="1">Tabela_Movimentacao_Geral[[#This Row],[Quantidade]] * Tabela_Movimentacao_Geral[[#This Row],[Valor Unitário]]</f>
        <v>10750</v>
      </c>
      <c r="K813" t="str">
        <f ca="1">IF(
   $O$7="Desbloqueado",
   CHOOSE(RANDBETWEEN(1,3),"Pago","Pendente","Atrasado"),
   Tabela_Movimentacao_Geral[[#This Row],[Status Financeiro]]
)</f>
        <v>Atrasado</v>
      </c>
      <c r="L813" t="str">
        <f ca="1">IF(
   $O$7="Desbloqueado",
   CHOOSE(RANDBETWEEN(1,3),"Entregue","Em Rota","Aguardando"),
   Tabela_Movimentacao_Geral[[#This Row],[Status Logistico]]
)</f>
        <v>Aguardando</v>
      </c>
      <c r="M81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46043</v>
      </c>
    </row>
    <row r="814" spans="1:13" x14ac:dyDescent="0.3">
      <c r="A814" t="str">
        <f t="shared" si="12"/>
        <v>T0813</v>
      </c>
      <c r="B814" s="1">
        <v>46040</v>
      </c>
      <c r="C814" t="str" cm="1">
        <f t="array" aca="1" ref="C814" ca="1">IF($O$7="Desbloqueado",
  _xlfn.LET(
    _xlpm.saldo_atual, SUM(($C$2:$C813="Entrada")*($F$2:$F813=Tabela_Movimentacao_Geral[[#This Row],[ID Produto]])*($H$2:$H813) - ($C$2:$C813="Saida")*($F$2:$F813=Tabela_Movimentacao_Geral[[#This Row],[ID Produto]])*($H$2:$H813)),
    IF(_xlpm.saldo_atual &gt; 0, IF(RANDBETWEEN(0,10)&gt;3,"Saida","Entrada"), "Entrada")
  ),
  Tabela_Movimentacao_Geral[[#This Row],[Tipo Fluxo]]
)</f>
        <v>Saida</v>
      </c>
      <c r="D8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8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814" t="str">
        <f ca="1">IF(
  $O$7="Desbloqueado",
  "PROD"&amp;TEXT(RANDBETWEEN(1,200),"000"),
  Tabela_Movimentacao_Geral[[#This Row],[ID Produto]]
)</f>
        <v>PROD156</v>
      </c>
      <c r="G814" t="str">
        <f ca="1">_xlfn.XLOOKUP(Tabela_Movimentacao_Geral[[#This Row],[ID Produto]], Tabela_Produtos[ID_Produto],Tabela_Produtos[Descricao_Produto],"Produto não encontrado")</f>
        <v>Perfurador 2 Furos 40fls</v>
      </c>
      <c r="H814" cm="1">
        <f t="array" aca="1" ref="H814" ca="1">IF(
   $O$7="Desbloqueado",
   _xlfn.LET(
     _xlpm.saldo_atual, SUM(($C$2:$C813="Entrada")*($F$2:$F813=Tabela_Movimentacao_Geral[[#This Row],[ID Produto]])*($H$2:$H813) - ($C$2:$C813="Saida")*($F$2:$F813=Tabela_Movimentacao_Geral[[#This Row],[ID Produto]])*($H$2:$H813)),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814" s="5">
        <f ca="1">_xlfn.XLOOKUP(Tabela_Movimentacao_Geral[[#This Row],[ID Produto]], Tabela_Produtos[ID_Produto],Tabela_Produtos[Preco_Unitario_Venda])</f>
        <v>85</v>
      </c>
      <c r="J814" s="6">
        <f ca="1">Tabela_Movimentacao_Geral[[#This Row],[Quantidade]] * Tabela_Movimentacao_Geral[[#This Row],[Valor Unitário]]</f>
        <v>3570</v>
      </c>
      <c r="K814" t="str">
        <f ca="1">IF(
   $O$7="Desbloqueado",
   CHOOSE(RANDBETWEEN(1,3),"Pago","Pendente","Atrasado"),
   Tabela_Movimentacao_Geral[[#This Row],[Status Financeiro]]
)</f>
        <v>Pago</v>
      </c>
      <c r="L814" t="str">
        <f ca="1">IF(
   $O$7="Desbloqueado",
   CHOOSE(RANDBETWEEN(1,3),"Entregue","Em Rota","Aguardando"),
   Tabela_Movimentacao_Geral[[#This Row],[Status Logistico]]
)</f>
        <v>Em Rota</v>
      </c>
      <c r="M81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15" spans="1:13" x14ac:dyDescent="0.3">
      <c r="A815" t="str">
        <f t="shared" si="12"/>
        <v>T0814</v>
      </c>
      <c r="B815" s="1">
        <v>46040</v>
      </c>
      <c r="C815" t="str" cm="1">
        <f t="array" aca="1" ref="C815" ca="1">IF($O$7="Desbloqueado",
  _xlfn.LET(
    _xlpm.saldo_atual, SUM(($C$2:$C814="Entrada")*($F$2:$F814=Tabela_Movimentacao_Geral[[#This Row],[ID Produto]])*($H$2:$H814) - ($C$2:$C814="Saida")*($F$2:$F814=Tabela_Movimentacao_Geral[[#This Row],[ID Produto]])*($H$2:$H814)),
    IF(_xlpm.saldo_atual &gt; 0, IF(RANDBETWEEN(0,10)&gt;3,"Saida","Entrada"), "Entrada")
  ),
  Tabela_Movimentacao_Geral[[#This Row],[Tipo Fluxo]]
)</f>
        <v>Entrada</v>
      </c>
      <c r="D8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8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815" t="str">
        <f ca="1">IF(
  $O$7="Desbloqueado",
  "PROD"&amp;TEXT(RANDBETWEEN(1,200),"000"),
  Tabela_Movimentacao_Geral[[#This Row],[ID Produto]]
)</f>
        <v>PROD199</v>
      </c>
      <c r="G815" t="str">
        <f ca="1">_xlfn.XLOOKUP(Tabela_Movimentacao_Geral[[#This Row],[ID Produto]], Tabela_Produtos[ID_Produto],Tabela_Produtos[Descricao_Produto],"Produto não encontrado")</f>
        <v>Sugador de Solda</v>
      </c>
      <c r="H815" cm="1">
        <f t="array" aca="1" ref="H815" ca="1">IF(
   $O$7="Desbloqueado",
   _xlfn.LET(
     _xlpm.saldo_atual, SUM(($C$2:$C814="Entrada")*($F$2:$F814=Tabela_Movimentacao_Geral[[#This Row],[ID Produto]])*($H$2:$H814) - ($C$2:$C814="Saida")*($F$2:$F814=Tabela_Movimentacao_Geral[[#This Row],[ID Produto]])*($H$2:$H814)),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815" s="5">
        <f ca="1">_xlfn.XLOOKUP(Tabela_Movimentacao_Geral[[#This Row],[ID Produto]], Tabela_Produtos[ID_Produto],Tabela_Produtos[Preco_Unitario_Venda])</f>
        <v>25</v>
      </c>
      <c r="J815" s="6">
        <f ca="1">Tabela_Movimentacao_Geral[[#This Row],[Quantidade]] * Tabela_Movimentacao_Geral[[#This Row],[Valor Unitário]]</f>
        <v>150</v>
      </c>
      <c r="K815" t="str">
        <f ca="1">IF(
   $O$7="Desbloqueado",
   CHOOSE(RANDBETWEEN(1,3),"Pago","Pendente","Atrasado"),
   Tabela_Movimentacao_Geral[[#This Row],[Status Financeiro]]
)</f>
        <v>Atrasado</v>
      </c>
      <c r="L815" t="str">
        <f ca="1">IF(
   $O$7="Desbloqueado",
   CHOOSE(RANDBETWEEN(1,3),"Entregue","Em Rota","Aguardando"),
   Tabela_Movimentacao_Geral[[#This Row],[Status Logistico]]
)</f>
        <v>Entregue</v>
      </c>
      <c r="M81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46041</v>
      </c>
    </row>
    <row r="816" spans="1:13" x14ac:dyDescent="0.3">
      <c r="A816" t="str">
        <f t="shared" si="12"/>
        <v>T0815</v>
      </c>
      <c r="B816" s="1">
        <v>46040</v>
      </c>
      <c r="C816" t="str" cm="1">
        <f t="array" aca="1" ref="C816" ca="1">IF($O$7="Desbloqueado",
  _xlfn.LET(
    _xlpm.saldo_atual, SUM(($C$2:$C815="Entrada")*($F$2:$F815=Tabela_Movimentacao_Geral[[#This Row],[ID Produto]])*($H$2:$H815) - ($C$2:$C815="Saida")*($F$2:$F815=Tabela_Movimentacao_Geral[[#This Row],[ID Produto]])*($H$2:$H815)),
    IF(_xlpm.saldo_atual &gt; 0, IF(RANDBETWEEN(0,10)&gt;3,"Saida","Entrada"), "Entrada")
  ),
  Tabela_Movimentacao_Geral[[#This Row],[Tipo Fluxo]]
)</f>
        <v>Entrada</v>
      </c>
      <c r="D8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8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816" t="str">
        <f ca="1">IF(
  $O$7="Desbloqueado",
  "PROD"&amp;TEXT(RANDBETWEEN(1,200),"000"),
  Tabela_Movimentacao_Geral[[#This Row],[ID Produto]]
)</f>
        <v>PROD038</v>
      </c>
      <c r="G816" t="str">
        <f ca="1">_xlfn.XLOOKUP(Tabela_Movimentacao_Geral[[#This Row],[ID Produto]], Tabela_Produtos[ID_Produto],Tabela_Produtos[Descricao_Produto],"Produto não encontrado")</f>
        <v>Cooler Processador Universal</v>
      </c>
      <c r="H816" cm="1">
        <f t="array" aca="1" ref="H816" ca="1">IF(
   $O$7="Desbloqueado",
   _xlfn.LET(
     _xlpm.saldo_atual, SUM(($C$2:$C815="Entrada")*($F$2:$F815=Tabela_Movimentacao_Geral[[#This Row],[ID Produto]])*($H$2:$H815) - ($C$2:$C815="Saida")*($F$2:$F815=Tabela_Movimentacao_Geral[[#This Row],[ID Produto]])*($H$2:$H815)),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816" s="5">
        <f ca="1">_xlfn.XLOOKUP(Tabela_Movimentacao_Geral[[#This Row],[ID Produto]], Tabela_Produtos[ID_Produto],Tabela_Produtos[Preco_Unitario_Venda])</f>
        <v>145</v>
      </c>
      <c r="J816" s="6">
        <f ca="1">Tabela_Movimentacao_Geral[[#This Row],[Quantidade]] * Tabela_Movimentacao_Geral[[#This Row],[Valor Unitário]]</f>
        <v>4350</v>
      </c>
      <c r="K816" t="str">
        <f ca="1">IF(
   $O$7="Desbloqueado",
   CHOOSE(RANDBETWEEN(1,3),"Pago","Pendente","Atrasado"),
   Tabela_Movimentacao_Geral[[#This Row],[Status Financeiro]]
)</f>
        <v>Pendente</v>
      </c>
      <c r="L816" t="str">
        <f ca="1">IF(
   $O$7="Desbloqueado",
   CHOOSE(RANDBETWEEN(1,3),"Entregue","Em Rota","Aguardando"),
   Tabela_Movimentacao_Geral[[#This Row],[Status Logistico]]
)</f>
        <v>Aguardando</v>
      </c>
      <c r="M81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46050</v>
      </c>
    </row>
    <row r="817" spans="1:13" x14ac:dyDescent="0.3">
      <c r="A817" t="str">
        <f t="shared" si="12"/>
        <v>T0816</v>
      </c>
      <c r="B817" s="1">
        <v>46040</v>
      </c>
      <c r="C817" t="str" cm="1">
        <f t="array" aca="1" ref="C817" ca="1">IF($O$7="Desbloqueado",
  _xlfn.LET(
    _xlpm.saldo_atual, SUM(($C$2:$C816="Entrada")*($F$2:$F816=Tabela_Movimentacao_Geral[[#This Row],[ID Produto]])*($H$2:$H816) - ($C$2:$C816="Saida")*($F$2:$F816=Tabela_Movimentacao_Geral[[#This Row],[ID Produto]])*($H$2:$H816)),
    IF(_xlpm.saldo_atual &gt; 0, IF(RANDBETWEEN(0,10)&gt;3,"Saida","Entrada"), "Entrada")
  ),
  Tabela_Movimentacao_Geral[[#This Row],[Tipo Fluxo]]
)</f>
        <v>Saida</v>
      </c>
      <c r="D8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8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817" t="str">
        <f ca="1">IF(
  $O$7="Desbloqueado",
  "PROD"&amp;TEXT(RANDBETWEEN(1,200),"000"),
  Tabela_Movimentacao_Geral[[#This Row],[ID Produto]]
)</f>
        <v>PROD069</v>
      </c>
      <c r="G817" t="str">
        <f ca="1">_xlfn.XLOOKUP(Tabela_Movimentacao_Geral[[#This Row],[ID Produto]], Tabela_Produtos[ID_Produto],Tabela_Produtos[Descricao_Produto],"Produto não encontrado")</f>
        <v>Apagador para Quadro</v>
      </c>
      <c r="H817" cm="1">
        <f t="array" aca="1" ref="H817" ca="1">IF(
   $O$7="Desbloqueado",
   _xlfn.LET(
     _xlpm.saldo_atual, SUM(($C$2:$C816="Entrada")*($F$2:$F816=Tabela_Movimentacao_Geral[[#This Row],[ID Produto]])*($H$2:$H816) - ($C$2:$C816="Saida")*($F$2:$F816=Tabela_Movimentacao_Geral[[#This Row],[ID Produto]])*($H$2:$H816)),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101</v>
      </c>
      <c r="I817" s="5">
        <f ca="1">_xlfn.XLOOKUP(Tabela_Movimentacao_Geral[[#This Row],[ID Produto]], Tabela_Produtos[ID_Produto],Tabela_Produtos[Preco_Unitario_Venda])</f>
        <v>15</v>
      </c>
      <c r="J817" s="6">
        <f ca="1">Tabela_Movimentacao_Geral[[#This Row],[Quantidade]] * Tabela_Movimentacao_Geral[[#This Row],[Valor Unitário]]</f>
        <v>1515</v>
      </c>
      <c r="K817" t="str">
        <f ca="1">IF(
   $O$7="Desbloqueado",
   CHOOSE(RANDBETWEEN(1,3),"Pago","Pendente","Atrasado"),
   Tabela_Movimentacao_Geral[[#This Row],[Status Financeiro]]
)</f>
        <v>Pendente</v>
      </c>
      <c r="L817" t="str">
        <f ca="1">IF(
   $O$7="Desbloqueado",
   CHOOSE(RANDBETWEEN(1,3),"Entregue","Em Rota","Aguardando"),
   Tabela_Movimentacao_Geral[[#This Row],[Status Logistico]]
)</f>
        <v>Entregue</v>
      </c>
      <c r="M81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18" spans="1:13" x14ac:dyDescent="0.3">
      <c r="A818" t="str">
        <f t="shared" si="12"/>
        <v>T0817</v>
      </c>
      <c r="B818" s="1">
        <v>46041</v>
      </c>
      <c r="C818" t="str" cm="1">
        <f t="array" aca="1" ref="C818" ca="1">IF($O$7="Desbloqueado",
  _xlfn.LET(
    _xlpm.saldo_atual, SUM(($C$2:$C817="Entrada")*($F$2:$F817=Tabela_Movimentacao_Geral[[#This Row],[ID Produto]])*($H$2:$H817) - ($C$2:$C817="Saida")*($F$2:$F817=Tabela_Movimentacao_Geral[[#This Row],[ID Produto]])*($H$2:$H817)),
    IF(_xlpm.saldo_atual &gt; 0, IF(RANDBETWEEN(0,10)&gt;3,"Saida","Entrada"), "Entrada")
  ),
  Tabela_Movimentacao_Geral[[#This Row],[Tipo Fluxo]]
)</f>
        <v>Entrada</v>
      </c>
      <c r="D8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8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818" t="str">
        <f ca="1">IF(
  $O$7="Desbloqueado",
  "PROD"&amp;TEXT(RANDBETWEEN(1,200),"000"),
  Tabela_Movimentacao_Geral[[#This Row],[ID Produto]]
)</f>
        <v>PROD122</v>
      </c>
      <c r="G818" t="str">
        <f ca="1">_xlfn.XLOOKUP(Tabela_Movimentacao_Geral[[#This Row],[ID Produto]], Tabela_Produtos[ID_Produto],Tabela_Produtos[Descricao_Produto],"Produto não encontrado")</f>
        <v>Windows Server 2022 CAL</v>
      </c>
      <c r="H818" cm="1">
        <f t="array" aca="1" ref="H818" ca="1">IF(
   $O$7="Desbloqueado",
   _xlfn.LET(
     _xlpm.saldo_atual, SUM(($C$2:$C817="Entrada")*($F$2:$F817=Tabela_Movimentacao_Geral[[#This Row],[ID Produto]])*($H$2:$H817) - ($C$2:$C817="Saida")*($F$2:$F817=Tabela_Movimentacao_Geral[[#This Row],[ID Produto]])*($H$2:$H817)),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818" s="5">
        <f ca="1">_xlfn.XLOOKUP(Tabela_Movimentacao_Geral[[#This Row],[ID Produto]], Tabela_Produtos[ID_Produto],Tabela_Produtos[Preco_Unitario_Venda])</f>
        <v>180</v>
      </c>
      <c r="J818" s="6">
        <f ca="1">Tabela_Movimentacao_Geral[[#This Row],[Quantidade]] * Tabela_Movimentacao_Geral[[#This Row],[Valor Unitário]]</f>
        <v>15660</v>
      </c>
      <c r="K818" t="str">
        <f ca="1">IF(
   $O$7="Desbloqueado",
   CHOOSE(RANDBETWEEN(1,3),"Pago","Pendente","Atrasado"),
   Tabela_Movimentacao_Geral[[#This Row],[Status Financeiro]]
)</f>
        <v>Pendente</v>
      </c>
      <c r="L818" t="str">
        <f ca="1">IF(
   $O$7="Desbloqueado",
   CHOOSE(RANDBETWEEN(1,3),"Entregue","Em Rota","Aguardando"),
   Tabela_Movimentacao_Geral[[#This Row],[Status Logistico]]
)</f>
        <v>Em Rota</v>
      </c>
      <c r="M81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46042</v>
      </c>
    </row>
    <row r="819" spans="1:13" x14ac:dyDescent="0.3">
      <c r="A819" t="str">
        <f t="shared" si="12"/>
        <v>T0818</v>
      </c>
      <c r="B819" s="1">
        <v>46041</v>
      </c>
      <c r="C819" t="str" cm="1">
        <f t="array" aca="1" ref="C819" ca="1">IF($O$7="Desbloqueado",
  _xlfn.LET(
    _xlpm.saldo_atual, SUM(($C$2:$C818="Entrada")*($F$2:$F818=Tabela_Movimentacao_Geral[[#This Row],[ID Produto]])*($H$2:$H818) - ($C$2:$C818="Saida")*($F$2:$F818=Tabela_Movimentacao_Geral[[#This Row],[ID Produto]])*($H$2:$H818)),
    IF(_xlpm.saldo_atual &gt; 0, IF(RANDBETWEEN(0,10)&gt;3,"Saida","Entrada"), "Entrada")
  ),
  Tabela_Movimentacao_Geral[[#This Row],[Tipo Fluxo]]
)</f>
        <v>Saida</v>
      </c>
      <c r="D8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8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819" t="str">
        <f ca="1">IF(
  $O$7="Desbloqueado",
  "PROD"&amp;TEXT(RANDBETWEEN(1,200),"000"),
  Tabela_Movimentacao_Geral[[#This Row],[ID Produto]]
)</f>
        <v>PROD187</v>
      </c>
      <c r="G819" t="str">
        <f ca="1">_xlfn.XLOOKUP(Tabela_Movimentacao_Geral[[#This Row],[ID Produto]], Tabela_Produtos[ID_Produto],Tabela_Produtos[Descricao_Produto],"Produto não encontrado")</f>
        <v>Trilho para Servidor Univ</v>
      </c>
      <c r="H819" cm="1">
        <f t="array" aca="1" ref="H819" ca="1">IF(
   $O$7="Desbloqueado",
   _xlfn.LET(
     _xlpm.saldo_atual, SUM(($C$2:$C818="Entrada")*($F$2:$F818=Tabela_Movimentacao_Geral[[#This Row],[ID Produto]])*($H$2:$H818) - ($C$2:$C818="Saida")*($F$2:$F818=Tabela_Movimentacao_Geral[[#This Row],[ID Produto]])*($H$2:$H818)),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819" s="5">
        <f ca="1">_xlfn.XLOOKUP(Tabela_Movimentacao_Geral[[#This Row],[ID Produto]], Tabela_Produtos[ID_Produto],Tabela_Produtos[Preco_Unitario_Venda])</f>
        <v>250</v>
      </c>
      <c r="J819" s="6">
        <f ca="1">Tabela_Movimentacao_Geral[[#This Row],[Quantidade]] * Tabela_Movimentacao_Geral[[#This Row],[Valor Unitário]]</f>
        <v>2000</v>
      </c>
      <c r="K819" t="str">
        <f ca="1">IF(
   $O$7="Desbloqueado",
   CHOOSE(RANDBETWEEN(1,3),"Pago","Pendente","Atrasado"),
   Tabela_Movimentacao_Geral[[#This Row],[Status Financeiro]]
)</f>
        <v>Atrasado</v>
      </c>
      <c r="L819" t="str">
        <f ca="1">IF(
   $O$7="Desbloqueado",
   CHOOSE(RANDBETWEEN(1,3),"Entregue","Em Rota","Aguardando"),
   Tabela_Movimentacao_Geral[[#This Row],[Status Logistico]]
)</f>
        <v>Aguardando</v>
      </c>
      <c r="M81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0" spans="1:13" x14ac:dyDescent="0.3">
      <c r="A820" t="str">
        <f t="shared" si="12"/>
        <v>T0819</v>
      </c>
      <c r="B820" s="1">
        <v>46043</v>
      </c>
      <c r="C820" t="str" cm="1">
        <f t="array" aca="1" ref="C820" ca="1">IF($O$7="Desbloqueado",
  _xlfn.LET(
    _xlpm.saldo_atual, SUM(($C$2:$C819="Entrada")*($F$2:$F819=Tabela_Movimentacao_Geral[[#This Row],[ID Produto]])*($H$2:$H819) - ($C$2:$C819="Saida")*($F$2:$F819=Tabela_Movimentacao_Geral[[#This Row],[ID Produto]])*($H$2:$H819)),
    IF(_xlpm.saldo_atual &gt; 0, IF(RANDBETWEEN(0,10)&gt;3,"Saida","Entrada"), "Entrada")
  ),
  Tabela_Movimentacao_Geral[[#This Row],[Tipo Fluxo]]
)</f>
        <v>Saida</v>
      </c>
      <c r="D8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8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820" t="str">
        <f ca="1">IF(
  $O$7="Desbloqueado",
  "PROD"&amp;TEXT(RANDBETWEEN(1,200),"000"),
  Tabela_Movimentacao_Geral[[#This Row],[ID Produto]]
)</f>
        <v>PROD118</v>
      </c>
      <c r="G820" t="str">
        <f ca="1">_xlfn.XLOOKUP(Tabela_Movimentacao_Geral[[#This Row],[ID Produto]], Tabela_Produtos[ID_Produto],Tabela_Produtos[Descricao_Produto],"Produto não encontrado")</f>
        <v>Case para HD Externo 2.5</v>
      </c>
      <c r="H820" cm="1">
        <f t="array" aca="1" ref="H820" ca="1">IF(
   $O$7="Desbloqueado",
   _xlfn.LET(
     _xlpm.saldo_atual, SUM(($C$2:$C819="Entrada")*($F$2:$F819=Tabela_Movimentacao_Geral[[#This Row],[ID Produto]])*($H$2:$H819) - ($C$2:$C819="Saida")*($F$2:$F819=Tabela_Movimentacao_Geral[[#This Row],[ID Produto]])*($H$2:$H819)),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24</v>
      </c>
      <c r="I820" s="5">
        <f ca="1">_xlfn.XLOOKUP(Tabela_Movimentacao_Geral[[#This Row],[ID Produto]], Tabela_Produtos[ID_Produto],Tabela_Produtos[Preco_Unitario_Venda])</f>
        <v>55</v>
      </c>
      <c r="J820" s="6">
        <f ca="1">Tabela_Movimentacao_Geral[[#This Row],[Quantidade]] * Tabela_Movimentacao_Geral[[#This Row],[Valor Unitário]]</f>
        <v>1320</v>
      </c>
      <c r="K820" t="str">
        <f ca="1">IF(
   $O$7="Desbloqueado",
   CHOOSE(RANDBETWEEN(1,3),"Pago","Pendente","Atrasado"),
   Tabela_Movimentacao_Geral[[#This Row],[Status Financeiro]]
)</f>
        <v>Pendente</v>
      </c>
      <c r="L820" t="str">
        <f ca="1">IF(
   $O$7="Desbloqueado",
   CHOOSE(RANDBETWEEN(1,3),"Entregue","Em Rota","Aguardando"),
   Tabela_Movimentacao_Geral[[#This Row],[Status Logistico]]
)</f>
        <v>Aguardando</v>
      </c>
      <c r="M82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1" spans="1:13" x14ac:dyDescent="0.3">
      <c r="A821" t="str">
        <f t="shared" si="12"/>
        <v>T0820</v>
      </c>
      <c r="B821" s="1">
        <v>46043</v>
      </c>
      <c r="C821" t="str" cm="1">
        <f t="array" aca="1" ref="C821" ca="1">IF($O$7="Desbloqueado",
  _xlfn.LET(
    _xlpm.saldo_atual, SUM(($C$2:$C820="Entrada")*($F$2:$F820=Tabela_Movimentacao_Geral[[#This Row],[ID Produto]])*($H$2:$H820) - ($C$2:$C820="Saida")*($F$2:$F820=Tabela_Movimentacao_Geral[[#This Row],[ID Produto]])*($H$2:$H820)),
    IF(_xlpm.saldo_atual &gt; 0, IF(RANDBETWEEN(0,10)&gt;3,"Saida","Entrada"), "Entrada")
  ),
  Tabela_Movimentacao_Geral[[#This Row],[Tipo Fluxo]]
)</f>
        <v>Saida</v>
      </c>
      <c r="D8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8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821" t="str">
        <f ca="1">IF(
  $O$7="Desbloqueado",
  "PROD"&amp;TEXT(RANDBETWEEN(1,200),"000"),
  Tabela_Movimentacao_Geral[[#This Row],[ID Produto]]
)</f>
        <v>PROD075</v>
      </c>
      <c r="G821" t="str">
        <f ca="1">_xlfn.XLOOKUP(Tabela_Movimentacao_Geral[[#This Row],[ID Produto]], Tabela_Produtos[ID_Produto],Tabela_Produtos[Descricao_Produto],"Produto não encontrado")</f>
        <v>Suporte de Pasta Acrilico</v>
      </c>
      <c r="H821" cm="1">
        <f t="array" aca="1" ref="H821" ca="1">IF(
   $O$7="Desbloqueado",
   _xlfn.LET(
     _xlpm.saldo_atual, SUM(($C$2:$C820="Entrada")*($F$2:$F820=Tabela_Movimentacao_Geral[[#This Row],[ID Produto]])*($H$2:$H820) - ($C$2:$C820="Saida")*($F$2:$F820=Tabela_Movimentacao_Geral[[#This Row],[ID Produto]])*($H$2:$H820)),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47</v>
      </c>
      <c r="I821" s="5">
        <f ca="1">_xlfn.XLOOKUP(Tabela_Movimentacao_Geral[[#This Row],[ID Produto]], Tabela_Produtos[ID_Produto],Tabela_Produtos[Preco_Unitario_Venda])</f>
        <v>38</v>
      </c>
      <c r="J821" s="6">
        <f ca="1">Tabela_Movimentacao_Geral[[#This Row],[Quantidade]] * Tabela_Movimentacao_Geral[[#This Row],[Valor Unitário]]</f>
        <v>1786</v>
      </c>
      <c r="K821" t="str">
        <f ca="1">IF(
   $O$7="Desbloqueado",
   CHOOSE(RANDBETWEEN(1,3),"Pago","Pendente","Atrasado"),
   Tabela_Movimentacao_Geral[[#This Row],[Status Financeiro]]
)</f>
        <v>Atrasado</v>
      </c>
      <c r="L821" t="str">
        <f ca="1">IF(
   $O$7="Desbloqueado",
   CHOOSE(RANDBETWEEN(1,3),"Entregue","Em Rota","Aguardando"),
   Tabela_Movimentacao_Geral[[#This Row],[Status Logistico]]
)</f>
        <v>Aguardando</v>
      </c>
      <c r="M82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2" spans="1:13" x14ac:dyDescent="0.3">
      <c r="A822" t="str">
        <f t="shared" si="12"/>
        <v>T0821</v>
      </c>
      <c r="B822" s="1">
        <v>46044</v>
      </c>
      <c r="C822" t="str" cm="1">
        <f t="array" aca="1" ref="C822" ca="1">IF($O$7="Desbloqueado",
  _xlfn.LET(
    _xlpm.saldo_atual, SUM(($C$2:$C821="Entrada")*($F$2:$F821=Tabela_Movimentacao_Geral[[#This Row],[ID Produto]])*($H$2:$H821) - ($C$2:$C821="Saida")*($F$2:$F821=Tabela_Movimentacao_Geral[[#This Row],[ID Produto]])*($H$2:$H821)),
    IF(_xlpm.saldo_atual &gt; 0, IF(RANDBETWEEN(0,10)&gt;3,"Saida","Entrada"), "Entrada")
  ),
  Tabela_Movimentacao_Geral[[#This Row],[Tipo Fluxo]]
)</f>
        <v>Saida</v>
      </c>
      <c r="D8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8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822" t="str">
        <f ca="1">IF(
  $O$7="Desbloqueado",
  "PROD"&amp;TEXT(RANDBETWEEN(1,200),"000"),
  Tabela_Movimentacao_Geral[[#This Row],[ID Produto]]
)</f>
        <v>PROD173</v>
      </c>
      <c r="G822" t="str">
        <f ca="1">_xlfn.XLOOKUP(Tabela_Movimentacao_Geral[[#This Row],[ID Produto]], Tabela_Produtos[ID_Produto],Tabela_Produtos[Descricao_Produto],"Produto não encontrado")</f>
        <v>Fita para Empacotamento</v>
      </c>
      <c r="H822" cm="1">
        <f t="array" aca="1" ref="H822" ca="1">IF(
   $O$7="Desbloqueado",
   _xlfn.LET(
     _xlpm.saldo_atual, SUM(($C$2:$C821="Entrada")*($F$2:$F821=Tabela_Movimentacao_Geral[[#This Row],[ID Produto]])*($H$2:$H821) - ($C$2:$C821="Saida")*($F$2:$F821=Tabela_Movimentacao_Geral[[#This Row],[ID Produto]])*($H$2:$H821)),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822" s="5">
        <f ca="1">_xlfn.XLOOKUP(Tabela_Movimentacao_Geral[[#This Row],[ID Produto]], Tabela_Produtos[ID_Produto],Tabela_Produtos[Preco_Unitario_Venda])</f>
        <v>15</v>
      </c>
      <c r="J822" s="6">
        <f ca="1">Tabela_Movimentacao_Geral[[#This Row],[Quantidade]] * Tabela_Movimentacao_Geral[[#This Row],[Valor Unitário]]</f>
        <v>390</v>
      </c>
      <c r="K822" t="str">
        <f ca="1">IF(
   $O$7="Desbloqueado",
   CHOOSE(RANDBETWEEN(1,3),"Pago","Pendente","Atrasado"),
   Tabela_Movimentacao_Geral[[#This Row],[Status Financeiro]]
)</f>
        <v>Pago</v>
      </c>
      <c r="L822" t="str">
        <f ca="1">IF(
   $O$7="Desbloqueado",
   CHOOSE(RANDBETWEEN(1,3),"Entregue","Em Rota","Aguardando"),
   Tabela_Movimentacao_Geral[[#This Row],[Status Logistico]]
)</f>
        <v>Em Rota</v>
      </c>
      <c r="M82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3" spans="1:13" x14ac:dyDescent="0.3">
      <c r="A823" t="str">
        <f t="shared" si="12"/>
        <v>T0822</v>
      </c>
      <c r="B823" s="1">
        <v>46045</v>
      </c>
      <c r="C823" t="str" cm="1">
        <f t="array" aca="1" ref="C823" ca="1">IF($O$7="Desbloqueado",
  _xlfn.LET(
    _xlpm.saldo_atual, SUM(($C$2:$C822="Entrada")*($F$2:$F822=Tabela_Movimentacao_Geral[[#This Row],[ID Produto]])*($H$2:$H822) - ($C$2:$C822="Saida")*($F$2:$F822=Tabela_Movimentacao_Geral[[#This Row],[ID Produto]])*($H$2:$H822)),
    IF(_xlpm.saldo_atual &gt; 0, IF(RANDBETWEEN(0,10)&gt;3,"Saida","Entrada"), "Entrada")
  ),
  Tabela_Movimentacao_Geral[[#This Row],[Tipo Fluxo]]
)</f>
        <v>Saida</v>
      </c>
      <c r="D8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8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823" t="str">
        <f ca="1">IF(
  $O$7="Desbloqueado",
  "PROD"&amp;TEXT(RANDBETWEEN(1,200),"000"),
  Tabela_Movimentacao_Geral[[#This Row],[ID Produto]]
)</f>
        <v>PROD150</v>
      </c>
      <c r="G823" t="str">
        <f ca="1">_xlfn.XLOOKUP(Tabela_Movimentacao_Geral[[#This Row],[ID Produto]], Tabela_Produtos[ID_Produto],Tabela_Produtos[Descricao_Produto],"Produto não encontrado")</f>
        <v>Lanterna de Led Inspeção</v>
      </c>
      <c r="H823" cm="1">
        <f t="array" aca="1" ref="H823" ca="1">IF(
   $O$7="Desbloqueado",
   _xlfn.LET(
     _xlpm.saldo_atual, SUM(($C$2:$C822="Entrada")*($F$2:$F822=Tabela_Movimentacao_Geral[[#This Row],[ID Produto]])*($H$2:$H822) - ($C$2:$C822="Saida")*($F$2:$F822=Tabela_Movimentacao_Geral[[#This Row],[ID Produto]])*($H$2:$H822)),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823" s="5">
        <f ca="1">_xlfn.XLOOKUP(Tabela_Movimentacao_Geral[[#This Row],[ID Produto]], Tabela_Produtos[ID_Produto],Tabela_Produtos[Preco_Unitario_Venda])</f>
        <v>55</v>
      </c>
      <c r="J823" s="6">
        <f ca="1">Tabela_Movimentacao_Geral[[#This Row],[Quantidade]] * Tabela_Movimentacao_Geral[[#This Row],[Valor Unitário]]</f>
        <v>770</v>
      </c>
      <c r="K823" t="str">
        <f ca="1">IF(
   $O$7="Desbloqueado",
   CHOOSE(RANDBETWEEN(1,3),"Pago","Pendente","Atrasado"),
   Tabela_Movimentacao_Geral[[#This Row],[Status Financeiro]]
)</f>
        <v>Pendente</v>
      </c>
      <c r="L823" t="str">
        <f ca="1">IF(
   $O$7="Desbloqueado",
   CHOOSE(RANDBETWEEN(1,3),"Entregue","Em Rota","Aguardando"),
   Tabela_Movimentacao_Geral[[#This Row],[Status Logistico]]
)</f>
        <v>Entregue</v>
      </c>
      <c r="M82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4" spans="1:13" x14ac:dyDescent="0.3">
      <c r="A824" t="str">
        <f t="shared" si="12"/>
        <v>T0823</v>
      </c>
      <c r="B824" s="1">
        <v>46047</v>
      </c>
      <c r="C824" t="str" cm="1">
        <f t="array" aca="1" ref="C824" ca="1">IF($O$7="Desbloqueado",
  _xlfn.LET(
    _xlpm.saldo_atual, SUM(($C$2:$C823="Entrada")*($F$2:$F823=Tabela_Movimentacao_Geral[[#This Row],[ID Produto]])*($H$2:$H823) - ($C$2:$C823="Saida")*($F$2:$F823=Tabela_Movimentacao_Geral[[#This Row],[ID Produto]])*($H$2:$H823)),
    IF(_xlpm.saldo_atual &gt; 0, IF(RANDBETWEEN(0,10)&gt;3,"Saida","Entrada"), "Entrada")
  ),
  Tabela_Movimentacao_Geral[[#This Row],[Tipo Fluxo]]
)</f>
        <v>Saida</v>
      </c>
      <c r="D8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8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824" t="str">
        <f ca="1">IF(
  $O$7="Desbloqueado",
  "PROD"&amp;TEXT(RANDBETWEEN(1,200),"000"),
  Tabela_Movimentacao_Geral[[#This Row],[ID Produto]]
)</f>
        <v>PROD089</v>
      </c>
      <c r="G824" t="str">
        <f ca="1">_xlfn.XLOOKUP(Tabela_Movimentacao_Geral[[#This Row],[ID Produto]], Tabela_Produtos[ID_Produto],Tabela_Produtos[Descricao_Produto],"Produto não encontrado")</f>
        <v>Rack de Parede 9U</v>
      </c>
      <c r="H824" cm="1">
        <f t="array" aca="1" ref="H824" ca="1">IF(
   $O$7="Desbloqueado",
   _xlfn.LET(
     _xlpm.saldo_atual, SUM(($C$2:$C823="Entrada")*($F$2:$F823=Tabela_Movimentacao_Geral[[#This Row],[ID Produto]])*($H$2:$H823) - ($C$2:$C823="Saida")*($F$2:$F823=Tabela_Movimentacao_Geral[[#This Row],[ID Produto]])*($H$2:$H823)),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824" s="5">
        <f ca="1">_xlfn.XLOOKUP(Tabela_Movimentacao_Geral[[#This Row],[ID Produto]], Tabela_Produtos[ID_Produto],Tabela_Produtos[Preco_Unitario_Venda])</f>
        <v>850</v>
      </c>
      <c r="J824" s="6">
        <f ca="1">Tabela_Movimentacao_Geral[[#This Row],[Quantidade]] * Tabela_Movimentacao_Geral[[#This Row],[Valor Unitário]]</f>
        <v>61200</v>
      </c>
      <c r="K824" t="str">
        <f ca="1">IF(
   $O$7="Desbloqueado",
   CHOOSE(RANDBETWEEN(1,3),"Pago","Pendente","Atrasado"),
   Tabela_Movimentacao_Geral[[#This Row],[Status Financeiro]]
)</f>
        <v>Atrasado</v>
      </c>
      <c r="L824" t="str">
        <f ca="1">IF(
   $O$7="Desbloqueado",
   CHOOSE(RANDBETWEEN(1,3),"Entregue","Em Rota","Aguardando"),
   Tabela_Movimentacao_Geral[[#This Row],[Status Logistico]]
)</f>
        <v>Em Rota</v>
      </c>
      <c r="M82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5" spans="1:13" x14ac:dyDescent="0.3">
      <c r="A825" t="str">
        <f t="shared" si="12"/>
        <v>T0824</v>
      </c>
      <c r="B825" s="1">
        <v>46047</v>
      </c>
      <c r="C825" t="str" cm="1">
        <f t="array" aca="1" ref="C825" ca="1">IF($O$7="Desbloqueado",
  _xlfn.LET(
    _xlpm.saldo_atual, SUM(($C$2:$C824="Entrada")*($F$2:$F824=Tabela_Movimentacao_Geral[[#This Row],[ID Produto]])*($H$2:$H824) - ($C$2:$C824="Saida")*($F$2:$F824=Tabela_Movimentacao_Geral[[#This Row],[ID Produto]])*($H$2:$H824)),
    IF(_xlpm.saldo_atual &gt; 0, IF(RANDBETWEEN(0,10)&gt;3,"Saida","Entrada"), "Entrada")
  ),
  Tabela_Movimentacao_Geral[[#This Row],[Tipo Fluxo]]
)</f>
        <v>Saida</v>
      </c>
      <c r="D8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8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825" t="str">
        <f ca="1">IF(
  $O$7="Desbloqueado",
  "PROD"&amp;TEXT(RANDBETWEEN(1,200),"000"),
  Tabela_Movimentacao_Geral[[#This Row],[ID Produto]]
)</f>
        <v>PROD095</v>
      </c>
      <c r="G825" t="str">
        <f ca="1">_xlfn.XLOOKUP(Tabela_Movimentacao_Geral[[#This Row],[ID Produto]], Tabela_Produtos[ID_Produto],Tabela_Produtos[Descricao_Produto],"Produto não encontrado")</f>
        <v>Controladora RAID PCIe</v>
      </c>
      <c r="H825" cm="1">
        <f t="array" aca="1" ref="H825" ca="1">IF(
   $O$7="Desbloqueado",
   _xlfn.LET(
     _xlpm.saldo_atual, SUM(($C$2:$C824="Entrada")*($F$2:$F824=Tabela_Movimentacao_Geral[[#This Row],[ID Produto]])*($H$2:$H824) - ($C$2:$C824="Saida")*($F$2:$F824=Tabela_Movimentacao_Geral[[#This Row],[ID Produto]])*($H$2:$H824)),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54</v>
      </c>
      <c r="I825" s="5">
        <f ca="1">_xlfn.XLOOKUP(Tabela_Movimentacao_Geral[[#This Row],[ID Produto]], Tabela_Produtos[ID_Produto],Tabela_Produtos[Preco_Unitario_Venda])</f>
        <v>2100</v>
      </c>
      <c r="J825" s="6">
        <f ca="1">Tabela_Movimentacao_Geral[[#This Row],[Quantidade]] * Tabela_Movimentacao_Geral[[#This Row],[Valor Unitário]]</f>
        <v>113400</v>
      </c>
      <c r="K825" t="str">
        <f ca="1">IF(
   $O$7="Desbloqueado",
   CHOOSE(RANDBETWEEN(1,3),"Pago","Pendente","Atrasado"),
   Tabela_Movimentacao_Geral[[#This Row],[Status Financeiro]]
)</f>
        <v>Pago</v>
      </c>
      <c r="L825" t="str">
        <f ca="1">IF(
   $O$7="Desbloqueado",
   CHOOSE(RANDBETWEEN(1,3),"Entregue","Em Rota","Aguardando"),
   Tabela_Movimentacao_Geral[[#This Row],[Status Logistico]]
)</f>
        <v>Entregue</v>
      </c>
      <c r="M82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6" spans="1:13" x14ac:dyDescent="0.3">
      <c r="A826" t="str">
        <f t="shared" si="12"/>
        <v>T0825</v>
      </c>
      <c r="B826" s="1">
        <v>46047</v>
      </c>
      <c r="C826" t="str" cm="1">
        <f t="array" aca="1" ref="C826" ca="1">IF($O$7="Desbloqueado",
  _xlfn.LET(
    _xlpm.saldo_atual, SUM(($C$2:$C825="Entrada")*($F$2:$F825=Tabela_Movimentacao_Geral[[#This Row],[ID Produto]])*($H$2:$H825) - ($C$2:$C825="Saida")*($F$2:$F825=Tabela_Movimentacao_Geral[[#This Row],[ID Produto]])*($H$2:$H825)),
    IF(_xlpm.saldo_atual &gt; 0, IF(RANDBETWEEN(0,10)&gt;3,"Saida","Entrada"), "Entrada")
  ),
  Tabela_Movimentacao_Geral[[#This Row],[Tipo Fluxo]]
)</f>
        <v>Saida</v>
      </c>
      <c r="D8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8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826" t="str">
        <f ca="1">IF(
  $O$7="Desbloqueado",
  "PROD"&amp;TEXT(RANDBETWEEN(1,200),"000"),
  Tabela_Movimentacao_Geral[[#This Row],[ID Produto]]
)</f>
        <v>PROD024</v>
      </c>
      <c r="G826" t="str">
        <f ca="1">_xlfn.XLOOKUP(Tabela_Movimentacao_Geral[[#This Row],[ID Produto]], Tabela_Produtos[ID_Produto],Tabela_Produtos[Descricao_Produto],"Produto não encontrado")</f>
        <v>Assinatura Adobe CC Anual</v>
      </c>
      <c r="H826" cm="1">
        <f t="array" aca="1" ref="H826" ca="1">IF(
   $O$7="Desbloqueado",
   _xlfn.LET(
     _xlpm.saldo_atual, SUM(($C$2:$C825="Entrada")*($F$2:$F825=Tabela_Movimentacao_Geral[[#This Row],[ID Produto]])*($H$2:$H825) - ($C$2:$C825="Saida")*($F$2:$F825=Tabela_Movimentacao_Geral[[#This Row],[ID Produto]])*($H$2:$H825)),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29</v>
      </c>
      <c r="I826" s="5">
        <f ca="1">_xlfn.XLOOKUP(Tabela_Movimentacao_Geral[[#This Row],[ID Produto]], Tabela_Produtos[ID_Produto],Tabela_Produtos[Preco_Unitario_Venda])</f>
        <v>2400</v>
      </c>
      <c r="J826" s="6">
        <f ca="1">Tabela_Movimentacao_Geral[[#This Row],[Quantidade]] * Tabela_Movimentacao_Geral[[#This Row],[Valor Unitário]]</f>
        <v>69600</v>
      </c>
      <c r="K826" t="str">
        <f ca="1">IF(
   $O$7="Desbloqueado",
   CHOOSE(RANDBETWEEN(1,3),"Pago","Pendente","Atrasado"),
   Tabela_Movimentacao_Geral[[#This Row],[Status Financeiro]]
)</f>
        <v>Pendente</v>
      </c>
      <c r="L826" t="str">
        <f ca="1">IF(
   $O$7="Desbloqueado",
   CHOOSE(RANDBETWEEN(1,3),"Entregue","Em Rota","Aguardando"),
   Tabela_Movimentacao_Geral[[#This Row],[Status Logistico]]
)</f>
        <v>Em Rota</v>
      </c>
      <c r="M82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7" spans="1:13" x14ac:dyDescent="0.3">
      <c r="A827" t="str">
        <f t="shared" si="12"/>
        <v>T0826</v>
      </c>
      <c r="B827" s="1">
        <v>46048</v>
      </c>
      <c r="C827" t="str" cm="1">
        <f t="array" aca="1" ref="C827" ca="1">IF($O$7="Desbloqueado",
  _xlfn.LET(
    _xlpm.saldo_atual, SUM(($C$2:$C826="Entrada")*($F$2:$F826=Tabela_Movimentacao_Geral[[#This Row],[ID Produto]])*($H$2:$H826) - ($C$2:$C826="Saida")*($F$2:$F826=Tabela_Movimentacao_Geral[[#This Row],[ID Produto]])*($H$2:$H826)),
    IF(_xlpm.saldo_atual &gt; 0, IF(RANDBETWEEN(0,10)&gt;3,"Saida","Entrada"), "Entrada")
  ),
  Tabela_Movimentacao_Geral[[#This Row],[Tipo Fluxo]]
)</f>
        <v>Saida</v>
      </c>
      <c r="D8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27" t="str">
        <f ca="1">IF(
  $O$7="Desbloqueado",
  "PROD"&amp;TEXT(RANDBETWEEN(1,200),"000"),
  Tabela_Movimentacao_Geral[[#This Row],[ID Produto]]
)</f>
        <v>PROD063</v>
      </c>
      <c r="G827" t="str">
        <f ca="1">_xlfn.XLOOKUP(Tabela_Movimentacao_Geral[[#This Row],[ID Produto]], Tabela_Produtos[ID_Produto],Tabela_Produtos[Descricao_Produto],"Produto não encontrado")</f>
        <v>Tesoura Multiuso</v>
      </c>
      <c r="H827" cm="1">
        <f t="array" aca="1" ref="H827" ca="1">IF(
   $O$7="Desbloqueado",
   _xlfn.LET(
     _xlpm.saldo_atual, SUM(($C$2:$C826="Entrada")*($F$2:$F826=Tabela_Movimentacao_Geral[[#This Row],[ID Produto]])*($H$2:$H826) - ($C$2:$C826="Saida")*($F$2:$F826=Tabela_Movimentacao_Geral[[#This Row],[ID Produto]])*($H$2:$H826)),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827" s="5">
        <f ca="1">_xlfn.XLOOKUP(Tabela_Movimentacao_Geral[[#This Row],[ID Produto]], Tabela_Produtos[ID_Produto],Tabela_Produtos[Preco_Unitario_Venda])</f>
        <v>18</v>
      </c>
      <c r="J827" s="6">
        <f ca="1">Tabela_Movimentacao_Geral[[#This Row],[Quantidade]] * Tabela_Movimentacao_Geral[[#This Row],[Valor Unitário]]</f>
        <v>18</v>
      </c>
      <c r="K827" t="str">
        <f ca="1">IF(
   $O$7="Desbloqueado",
   CHOOSE(RANDBETWEEN(1,3),"Pago","Pendente","Atrasado"),
   Tabela_Movimentacao_Geral[[#This Row],[Status Financeiro]]
)</f>
        <v>Pago</v>
      </c>
      <c r="L827" t="str">
        <f ca="1">IF(
   $O$7="Desbloqueado",
   CHOOSE(RANDBETWEEN(1,3),"Entregue","Em Rota","Aguardando"),
   Tabela_Movimentacao_Geral[[#This Row],[Status Logistico]]
)</f>
        <v>Em Rota</v>
      </c>
      <c r="M82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8" spans="1:13" x14ac:dyDescent="0.3">
      <c r="A828" t="str">
        <f t="shared" si="12"/>
        <v>T0827</v>
      </c>
      <c r="B828" s="1">
        <v>46048</v>
      </c>
      <c r="C828" t="str" cm="1">
        <f t="array" aca="1" ref="C828" ca="1">IF($O$7="Desbloqueado",
  _xlfn.LET(
    _xlpm.saldo_atual, SUM(($C$2:$C827="Entrada")*($F$2:$F827=Tabela_Movimentacao_Geral[[#This Row],[ID Produto]])*($H$2:$H827) - ($C$2:$C827="Saida")*($F$2:$F827=Tabela_Movimentacao_Geral[[#This Row],[ID Produto]])*($H$2:$H827)),
    IF(_xlpm.saldo_atual &gt; 0, IF(RANDBETWEEN(0,10)&gt;3,"Saida","Entrada"), "Entrada")
  ),
  Tabela_Movimentacao_Geral[[#This Row],[Tipo Fluxo]]
)</f>
        <v>Saida</v>
      </c>
      <c r="D8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8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828" t="str">
        <f ca="1">IF(
  $O$7="Desbloqueado",
  "PROD"&amp;TEXT(RANDBETWEEN(1,200),"000"),
  Tabela_Movimentacao_Geral[[#This Row],[ID Produto]]
)</f>
        <v>PROD069</v>
      </c>
      <c r="G828" t="str">
        <f ca="1">_xlfn.XLOOKUP(Tabela_Movimentacao_Geral[[#This Row],[ID Produto]], Tabela_Produtos[ID_Produto],Tabela_Produtos[Descricao_Produto],"Produto não encontrado")</f>
        <v>Apagador para Quadro</v>
      </c>
      <c r="H828" cm="1">
        <f t="array" aca="1" ref="H828" ca="1">IF(
   $O$7="Desbloqueado",
   _xlfn.LET(
     _xlpm.saldo_atual, SUM(($C$2:$C827="Entrada")*($F$2:$F827=Tabela_Movimentacao_Geral[[#This Row],[ID Produto]])*($H$2:$H827) - ($C$2:$C827="Saida")*($F$2:$F827=Tabela_Movimentacao_Geral[[#This Row],[ID Produto]])*($H$2:$H827)),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828" s="5">
        <f ca="1">_xlfn.XLOOKUP(Tabela_Movimentacao_Geral[[#This Row],[ID Produto]], Tabela_Produtos[ID_Produto],Tabela_Produtos[Preco_Unitario_Venda])</f>
        <v>15</v>
      </c>
      <c r="J828" s="6">
        <f ca="1">Tabela_Movimentacao_Geral[[#This Row],[Quantidade]] * Tabela_Movimentacao_Geral[[#This Row],[Valor Unitário]]</f>
        <v>225</v>
      </c>
      <c r="K828" t="str">
        <f ca="1">IF(
   $O$7="Desbloqueado",
   CHOOSE(RANDBETWEEN(1,3),"Pago","Pendente","Atrasado"),
   Tabela_Movimentacao_Geral[[#This Row],[Status Financeiro]]
)</f>
        <v>Pago</v>
      </c>
      <c r="L828" t="str">
        <f ca="1">IF(
   $O$7="Desbloqueado",
   CHOOSE(RANDBETWEEN(1,3),"Entregue","Em Rota","Aguardando"),
   Tabela_Movimentacao_Geral[[#This Row],[Status Logistico]]
)</f>
        <v>Aguardando</v>
      </c>
      <c r="M82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29" spans="1:13" x14ac:dyDescent="0.3">
      <c r="A829" t="str">
        <f t="shared" si="12"/>
        <v>T0828</v>
      </c>
      <c r="B829" s="1">
        <v>46049</v>
      </c>
      <c r="C829" t="str" cm="1">
        <f t="array" aca="1" ref="C829" ca="1">IF($O$7="Desbloqueado",
  _xlfn.LET(
    _xlpm.saldo_atual, SUM(($C$2:$C828="Entrada")*($F$2:$F828=Tabela_Movimentacao_Geral[[#This Row],[ID Produto]])*($H$2:$H828) - ($C$2:$C828="Saida")*($F$2:$F828=Tabela_Movimentacao_Geral[[#This Row],[ID Produto]])*($H$2:$H828)),
    IF(_xlpm.saldo_atual &gt; 0, IF(RANDBETWEEN(0,10)&gt;3,"Saida","Entrada"), "Entrada")
  ),
  Tabela_Movimentacao_Geral[[#This Row],[Tipo Fluxo]]
)</f>
        <v>Entrada</v>
      </c>
      <c r="D8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8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829" t="str">
        <f ca="1">IF(
  $O$7="Desbloqueado",
  "PROD"&amp;TEXT(RANDBETWEEN(1,200),"000"),
  Tabela_Movimentacao_Geral[[#This Row],[ID Produto]]
)</f>
        <v>PROD194</v>
      </c>
      <c r="G829" t="str">
        <f ca="1">_xlfn.XLOOKUP(Tabela_Movimentacao_Geral[[#This Row],[ID Produto]], Tabela_Produtos[ID_Produto],Tabela_Produtos[Descricao_Produto],"Produto não encontrado")</f>
        <v>Patch Cord Cat6a 2m</v>
      </c>
      <c r="H829" cm="1">
        <f t="array" aca="1" ref="H829" ca="1">IF(
   $O$7="Desbloqueado",
   _xlfn.LET(
     _xlpm.saldo_atual, SUM(($C$2:$C828="Entrada")*($F$2:$F828=Tabela_Movimentacao_Geral[[#This Row],[ID Produto]])*($H$2:$H828) - ($C$2:$C828="Saida")*($F$2:$F828=Tabela_Movimentacao_Geral[[#This Row],[ID Produto]])*($H$2:$H828)),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71</v>
      </c>
      <c r="I829" s="5">
        <f ca="1">_xlfn.XLOOKUP(Tabela_Movimentacao_Geral[[#This Row],[ID Produto]], Tabela_Produtos[ID_Produto],Tabela_Produtos[Preco_Unitario_Venda])</f>
        <v>35</v>
      </c>
      <c r="J829" s="6">
        <f ca="1">Tabela_Movimentacao_Geral[[#This Row],[Quantidade]] * Tabela_Movimentacao_Geral[[#This Row],[Valor Unitário]]</f>
        <v>2485</v>
      </c>
      <c r="K829" t="str">
        <f ca="1">IF(
   $O$7="Desbloqueado",
   CHOOSE(RANDBETWEEN(1,3),"Pago","Pendente","Atrasado"),
   Tabela_Movimentacao_Geral[[#This Row],[Status Financeiro]]
)</f>
        <v>Pago</v>
      </c>
      <c r="L829" t="str">
        <f ca="1">IF(
   $O$7="Desbloqueado",
   CHOOSE(RANDBETWEEN(1,3),"Entregue","Em Rota","Aguardando"),
   Tabela_Movimentacao_Geral[[#This Row],[Status Logistico]]
)</f>
        <v>Aguardando</v>
      </c>
      <c r="M82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46050</v>
      </c>
    </row>
    <row r="830" spans="1:13" x14ac:dyDescent="0.3">
      <c r="A830" t="str">
        <f t="shared" si="12"/>
        <v>T0829</v>
      </c>
      <c r="B830" s="1">
        <v>46050</v>
      </c>
      <c r="C830" t="str" cm="1">
        <f t="array" aca="1" ref="C830" ca="1">IF($O$7="Desbloqueado",
  _xlfn.LET(
    _xlpm.saldo_atual, SUM(($C$2:$C829="Entrada")*($F$2:$F829=Tabela_Movimentacao_Geral[[#This Row],[ID Produto]])*($H$2:$H829) - ($C$2:$C829="Saida")*($F$2:$F829=Tabela_Movimentacao_Geral[[#This Row],[ID Produto]])*($H$2:$H829)),
    IF(_xlpm.saldo_atual &gt; 0, IF(RANDBETWEEN(0,10)&gt;3,"Saida","Entrada"), "Entrada")
  ),
  Tabela_Movimentacao_Geral[[#This Row],[Tipo Fluxo]]
)</f>
        <v>Saida</v>
      </c>
      <c r="D8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8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830" t="str">
        <f ca="1">IF(
  $O$7="Desbloqueado",
  "PROD"&amp;TEXT(RANDBETWEEN(1,200),"000"),
  Tabela_Movimentacao_Geral[[#This Row],[ID Produto]]
)</f>
        <v>PROD155</v>
      </c>
      <c r="G830" t="str">
        <f ca="1">_xlfn.XLOOKUP(Tabela_Movimentacao_Geral[[#This Row],[ID Produto]], Tabela_Produtos[ID_Produto],Tabela_Produtos[Descricao_Produto],"Produto não encontrado")</f>
        <v>Lâmina Estilete 10un</v>
      </c>
      <c r="H830" cm="1">
        <f t="array" aca="1" ref="H830" ca="1">IF(
   $O$7="Desbloqueado",
   _xlfn.LET(
     _xlpm.saldo_atual, SUM(($C$2:$C829="Entrada")*($F$2:$F829=Tabela_Movimentacao_Geral[[#This Row],[ID Produto]])*($H$2:$H829) - ($C$2:$C829="Saida")*($F$2:$F829=Tabela_Movimentacao_Geral[[#This Row],[ID Produto]])*($H$2:$H829)),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96</v>
      </c>
      <c r="I830" s="5">
        <f ca="1">_xlfn.XLOOKUP(Tabela_Movimentacao_Geral[[#This Row],[ID Produto]], Tabela_Produtos[ID_Produto],Tabela_Produtos[Preco_Unitario_Venda])</f>
        <v>12</v>
      </c>
      <c r="J830" s="6">
        <f ca="1">Tabela_Movimentacao_Geral[[#This Row],[Quantidade]] * Tabela_Movimentacao_Geral[[#This Row],[Valor Unitário]]</f>
        <v>1152</v>
      </c>
      <c r="K830" t="str">
        <f ca="1">IF(
   $O$7="Desbloqueado",
   CHOOSE(RANDBETWEEN(1,3),"Pago","Pendente","Atrasado"),
   Tabela_Movimentacao_Geral[[#This Row],[Status Financeiro]]
)</f>
        <v>Atrasado</v>
      </c>
      <c r="L830" t="str">
        <f ca="1">IF(
   $O$7="Desbloqueado",
   CHOOSE(RANDBETWEEN(1,3),"Entregue","Em Rota","Aguardando"),
   Tabela_Movimentacao_Geral[[#This Row],[Status Logistico]]
)</f>
        <v>Entregue</v>
      </c>
      <c r="M83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31" spans="1:13" x14ac:dyDescent="0.3">
      <c r="A831" t="str">
        <f t="shared" si="12"/>
        <v>T0830</v>
      </c>
      <c r="B831" s="1">
        <v>46051</v>
      </c>
      <c r="C831" t="str" cm="1">
        <f t="array" aca="1" ref="C831" ca="1">IF($O$7="Desbloqueado",
  _xlfn.LET(
    _xlpm.saldo_atual, SUM(($C$2:$C830="Entrada")*($F$2:$F830=Tabela_Movimentacao_Geral[[#This Row],[ID Produto]])*($H$2:$H830) - ($C$2:$C830="Saida")*($F$2:$F830=Tabela_Movimentacao_Geral[[#This Row],[ID Produto]])*($H$2:$H830)),
    IF(_xlpm.saldo_atual &gt; 0, IF(RANDBETWEEN(0,10)&gt;3,"Saida","Entrada"), "Entrada")
  ),
  Tabela_Movimentacao_Geral[[#This Row],[Tipo Fluxo]]
)</f>
        <v>Entrada</v>
      </c>
      <c r="D8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8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831" t="str">
        <f ca="1">IF(
  $O$7="Desbloqueado",
  "PROD"&amp;TEXT(RANDBETWEEN(1,200),"000"),
  Tabela_Movimentacao_Geral[[#This Row],[ID Produto]]
)</f>
        <v>PROD065</v>
      </c>
      <c r="G831" t="str">
        <f ca="1">_xlfn.XLOOKUP(Tabela_Movimentacao_Geral[[#This Row],[ID Produto]], Tabela_Produtos[ID_Produto],Tabela_Produtos[Descricao_Produto],"Produto não encontrado")</f>
        <v>Fita Adesiva Transp 45x40</v>
      </c>
      <c r="H831" cm="1">
        <f t="array" aca="1" ref="H831" ca="1">IF(
   $O$7="Desbloqueado",
   _xlfn.LET(
     _xlpm.saldo_atual, SUM(($C$2:$C830="Entrada")*($F$2:$F830=Tabela_Movimentacao_Geral[[#This Row],[ID Produto]])*($H$2:$H830) - ($C$2:$C830="Saida")*($F$2:$F830=Tabela_Movimentacao_Geral[[#This Row],[ID Produto]])*($H$2:$H830)),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831" s="5">
        <f ca="1">_xlfn.XLOOKUP(Tabela_Movimentacao_Geral[[#This Row],[ID Produto]], Tabela_Produtos[ID_Produto],Tabela_Produtos[Preco_Unitario_Venda])</f>
        <v>12</v>
      </c>
      <c r="J831" s="6">
        <f ca="1">Tabela_Movimentacao_Geral[[#This Row],[Quantidade]] * Tabela_Movimentacao_Geral[[#This Row],[Valor Unitário]]</f>
        <v>120</v>
      </c>
      <c r="K831" t="str">
        <f ca="1">IF(
   $O$7="Desbloqueado",
   CHOOSE(RANDBETWEEN(1,3),"Pago","Pendente","Atrasado"),
   Tabela_Movimentacao_Geral[[#This Row],[Status Financeiro]]
)</f>
        <v>Atrasado</v>
      </c>
      <c r="L831" t="str">
        <f ca="1">IF(
   $O$7="Desbloqueado",
   CHOOSE(RANDBETWEEN(1,3),"Entregue","Em Rota","Aguardando"),
   Tabela_Movimentacao_Geral[[#This Row],[Status Logistico]]
)</f>
        <v>Em Rota</v>
      </c>
      <c r="M83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46052</v>
      </c>
    </row>
    <row r="832" spans="1:13" x14ac:dyDescent="0.3">
      <c r="A832" t="str">
        <f t="shared" si="12"/>
        <v>T0831</v>
      </c>
      <c r="B832" s="1">
        <v>46051</v>
      </c>
      <c r="C832" t="str" cm="1">
        <f t="array" aca="1" ref="C832" ca="1">IF($O$7="Desbloqueado",
  _xlfn.LET(
    _xlpm.saldo_atual, SUM(($C$2:$C831="Entrada")*($F$2:$F831=Tabela_Movimentacao_Geral[[#This Row],[ID Produto]])*($H$2:$H831) - ($C$2:$C831="Saida")*($F$2:$F831=Tabela_Movimentacao_Geral[[#This Row],[ID Produto]])*($H$2:$H831)),
    IF(_xlpm.saldo_atual &gt; 0, IF(RANDBETWEEN(0,10)&gt;3,"Saida","Entrada"), "Entrada")
  ),
  Tabela_Movimentacao_Geral[[#This Row],[Tipo Fluxo]]
)</f>
        <v>Saida</v>
      </c>
      <c r="D8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8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832" t="str">
        <f ca="1">IF(
  $O$7="Desbloqueado",
  "PROD"&amp;TEXT(RANDBETWEEN(1,200),"000"),
  Tabela_Movimentacao_Geral[[#This Row],[ID Produto]]
)</f>
        <v>PROD144</v>
      </c>
      <c r="G832" t="str">
        <f ca="1">_xlfn.XLOOKUP(Tabela_Movimentacao_Geral[[#This Row],[ID Produto]], Tabela_Produtos[ID_Produto],Tabela_Produtos[Descricao_Produto],"Produto não encontrado")</f>
        <v>Ar Comprimido Limpeza</v>
      </c>
      <c r="H832" cm="1">
        <f t="array" aca="1" ref="H832" ca="1">IF(
   $O$7="Desbloqueado",
   _xlfn.LET(
     _xlpm.saldo_atual, SUM(($C$2:$C831="Entrada")*($F$2:$F831=Tabela_Movimentacao_Geral[[#This Row],[ID Produto]])*($H$2:$H831) - ($C$2:$C831="Saida")*($F$2:$F831=Tabela_Movimentacao_Geral[[#This Row],[ID Produto]])*($H$2:$H831)),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37</v>
      </c>
      <c r="I832" s="5">
        <f ca="1">_xlfn.XLOOKUP(Tabela_Movimentacao_Geral[[#This Row],[ID Produto]], Tabela_Produtos[ID_Produto],Tabela_Produtos[Preco_Unitario_Venda])</f>
        <v>55</v>
      </c>
      <c r="J832" s="6">
        <f ca="1">Tabela_Movimentacao_Geral[[#This Row],[Quantidade]] * Tabela_Movimentacao_Geral[[#This Row],[Valor Unitário]]</f>
        <v>2035</v>
      </c>
      <c r="K832" t="str">
        <f ca="1">IF(
   $O$7="Desbloqueado",
   CHOOSE(RANDBETWEEN(1,3),"Pago","Pendente","Atrasado"),
   Tabela_Movimentacao_Geral[[#This Row],[Status Financeiro]]
)</f>
        <v>Atrasado</v>
      </c>
      <c r="L832" t="str">
        <f ca="1">IF(
   $O$7="Desbloqueado",
   CHOOSE(RANDBETWEEN(1,3),"Entregue","Em Rota","Aguardando"),
   Tabela_Movimentacao_Geral[[#This Row],[Status Logistico]]
)</f>
        <v>Entregue</v>
      </c>
      <c r="M83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33" spans="1:13" x14ac:dyDescent="0.3">
      <c r="A833" t="str">
        <f t="shared" si="12"/>
        <v>T0832</v>
      </c>
      <c r="B833" s="1">
        <v>46051</v>
      </c>
      <c r="C833" t="str" cm="1">
        <f t="array" aca="1" ref="C833" ca="1">IF($O$7="Desbloqueado",
  _xlfn.LET(
    _xlpm.saldo_atual, SUM(($C$2:$C832="Entrada")*($F$2:$F832=Tabela_Movimentacao_Geral[[#This Row],[ID Produto]])*($H$2:$H832) - ($C$2:$C832="Saida")*($F$2:$F832=Tabela_Movimentacao_Geral[[#This Row],[ID Produto]])*($H$2:$H832)),
    IF(_xlpm.saldo_atual &gt; 0, IF(RANDBETWEEN(0,10)&gt;3,"Saida","Entrada"), "Entrada")
  ),
  Tabela_Movimentacao_Geral[[#This Row],[Tipo Fluxo]]
)</f>
        <v>Entrada</v>
      </c>
      <c r="D8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FORN003</v>
      </c>
      <c r="E8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Office Express</v>
      </c>
      <c r="F833" t="str">
        <f ca="1">IF(
  $O$7="Desbloqueado",
  "PROD"&amp;TEXT(RANDBETWEEN(1,200),"000"),
  Tabela_Movimentacao_Geral[[#This Row],[ID Produto]]
)</f>
        <v>PROD002</v>
      </c>
      <c r="G833" t="str">
        <f ca="1">_xlfn.XLOOKUP(Tabela_Movimentacao_Geral[[#This Row],[ID Produto]], Tabela_Produtos[ID_Produto],Tabela_Produtos[Descricao_Produto],"Produto não encontrado")</f>
        <v>Teclado Mecanico RGB</v>
      </c>
      <c r="H833" cm="1">
        <f t="array" aca="1" ref="H833" ca="1">IF(
   $O$7="Desbloqueado",
   _xlfn.LET(
     _xlpm.saldo_atual, SUM(($C$2:$C832="Entrada")*($F$2:$F832=Tabela_Movimentacao_Geral[[#This Row],[ID Produto]])*($H$2:$H832) - ($C$2:$C832="Saida")*($F$2:$F832=Tabela_Movimentacao_Geral[[#This Row],[ID Produto]])*($H$2:$H832)),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833" s="5">
        <f ca="1">_xlfn.XLOOKUP(Tabela_Movimentacao_Geral[[#This Row],[ID Produto]], Tabela_Produtos[ID_Produto],Tabela_Produtos[Preco_Unitario_Venda])</f>
        <v>350</v>
      </c>
      <c r="J833" s="6">
        <f ca="1">Tabela_Movimentacao_Geral[[#This Row],[Quantidade]] * Tabela_Movimentacao_Geral[[#This Row],[Valor Unitário]]</f>
        <v>6300</v>
      </c>
      <c r="K833" t="str">
        <f ca="1">IF(
   $O$7="Desbloqueado",
   CHOOSE(RANDBETWEEN(1,3),"Pago","Pendente","Atrasado"),
   Tabela_Movimentacao_Geral[[#This Row],[Status Financeiro]]
)</f>
        <v>Atrasado</v>
      </c>
      <c r="L833" t="str">
        <f ca="1">IF(
   $O$7="Desbloqueado",
   CHOOSE(RANDBETWEEN(1,3),"Entregue","Em Rota","Aguardando"),
   Tabela_Movimentacao_Geral[[#This Row],[Status Logistico]]
)</f>
        <v>Aguardando</v>
      </c>
      <c r="M83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46053</v>
      </c>
    </row>
    <row r="834" spans="1:13" x14ac:dyDescent="0.3">
      <c r="A834" t="str">
        <f t="shared" si="12"/>
        <v>T0833</v>
      </c>
      <c r="B834" s="1">
        <v>46051</v>
      </c>
      <c r="C834" t="str" cm="1">
        <f t="array" aca="1" ref="C834" ca="1">IF($O$7="Desbloqueado",
  _xlfn.LET(
    _xlpm.saldo_atual, SUM(($C$2:$C833="Entrada")*($F$2:$F833=Tabela_Movimentacao_Geral[[#This Row],[ID Produto]])*($H$2:$H833) - ($C$2:$C833="Saida")*($F$2:$F833=Tabela_Movimentacao_Geral[[#This Row],[ID Produto]])*($H$2:$H833)),
    IF(_xlpm.saldo_atual &gt; 0, IF(RANDBETWEEN(0,10)&gt;3,"Saida","Entrada"), "Entrada")
  ),
  Tabela_Movimentacao_Geral[[#This Row],[Tipo Fluxo]]
)</f>
        <v>Saida</v>
      </c>
      <c r="D8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8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834" t="str">
        <f ca="1">IF(
  $O$7="Desbloqueado",
  "PROD"&amp;TEXT(RANDBETWEEN(1,200),"000"),
  Tabela_Movimentacao_Geral[[#This Row],[ID Produto]]
)</f>
        <v>PROD015</v>
      </c>
      <c r="G834" t="str">
        <f ca="1">_xlfn.XLOOKUP(Tabela_Movimentacao_Geral[[#This Row],[ID Produto]], Tabela_Produtos[ID_Produto],Tabela_Produtos[Descricao_Produto],"Produto não encontrado")</f>
        <v>Switch 24 Portas Giga</v>
      </c>
      <c r="H834" cm="1">
        <f t="array" aca="1" ref="H834" ca="1">IF(
   $O$7="Desbloqueado",
   _xlfn.LET(
     _xlpm.saldo_atual, SUM(($C$2:$C833="Entrada")*($F$2:$F833=Tabela_Movimentacao_Geral[[#This Row],[ID Produto]])*($H$2:$H833) - ($C$2:$C833="Saida")*($F$2:$F833=Tabela_Movimentacao_Geral[[#This Row],[ID Produto]])*($H$2:$H833)),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834" s="5">
        <f ca="1">_xlfn.XLOOKUP(Tabela_Movimentacao_Geral[[#This Row],[ID Produto]], Tabela_Produtos[ID_Produto],Tabela_Produtos[Preco_Unitario_Venda])</f>
        <v>1200</v>
      </c>
      <c r="J834" s="6">
        <f ca="1">Tabela_Movimentacao_Geral[[#This Row],[Quantidade]] * Tabela_Movimentacao_Geral[[#This Row],[Valor Unitário]]</f>
        <v>88800</v>
      </c>
      <c r="K834" t="str">
        <f ca="1">IF(
   $O$7="Desbloqueado",
   CHOOSE(RANDBETWEEN(1,3),"Pago","Pendente","Atrasado"),
   Tabela_Movimentacao_Geral[[#This Row],[Status Financeiro]]
)</f>
        <v>Pendente</v>
      </c>
      <c r="L834" t="str">
        <f ca="1">IF(
   $O$7="Desbloqueado",
   CHOOSE(RANDBETWEEN(1,3),"Entregue","Em Rota","Aguardando"),
   Tabela_Movimentacao_Geral[[#This Row],[Status Logistico]]
)</f>
        <v>Aguardando</v>
      </c>
      <c r="M83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35" spans="1:13" x14ac:dyDescent="0.3">
      <c r="A835" t="str">
        <f t="shared" si="12"/>
        <v>T0834</v>
      </c>
      <c r="B835" s="1">
        <v>46052</v>
      </c>
      <c r="C835" t="str" cm="1">
        <f t="array" aca="1" ref="C835" ca="1">IF($O$7="Desbloqueado",
  _xlfn.LET(
    _xlpm.saldo_atual, SUM(($C$2:$C834="Entrada")*($F$2:$F834=Tabela_Movimentacao_Geral[[#This Row],[ID Produto]])*($H$2:$H834) - ($C$2:$C834="Saida")*($F$2:$F834=Tabela_Movimentacao_Geral[[#This Row],[ID Produto]])*($H$2:$H834)),
    IF(_xlpm.saldo_atual &gt; 0, IF(RANDBETWEEN(0,10)&gt;3,"Saida","Entrada"), "Entrada")
  ),
  Tabela_Movimentacao_Geral[[#This Row],[Tipo Fluxo]]
)</f>
        <v>Saida</v>
      </c>
      <c r="D8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8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835" t="str">
        <f ca="1">IF(
  $O$7="Desbloqueado",
  "PROD"&amp;TEXT(RANDBETWEEN(1,200),"000"),
  Tabela_Movimentacao_Geral[[#This Row],[ID Produto]]
)</f>
        <v>PROD164</v>
      </c>
      <c r="G835" t="str">
        <f ca="1">_xlfn.XLOOKUP(Tabela_Movimentacao_Geral[[#This Row],[ID Produto]], Tabela_Produtos[ID_Produto],Tabela_Produtos[Descricao_Produto],"Produto não encontrado")</f>
        <v>Carimbo Datador Autom</v>
      </c>
      <c r="H835" cm="1">
        <f t="array" aca="1" ref="H835" ca="1">IF(
   $O$7="Desbloqueado",
   _xlfn.LET(
     _xlpm.saldo_atual, SUM(($C$2:$C834="Entrada")*($F$2:$F834=Tabela_Movimentacao_Geral[[#This Row],[ID Produto]])*($H$2:$H834) - ($C$2:$C834="Saida")*($F$2:$F834=Tabela_Movimentacao_Geral[[#This Row],[ID Produto]])*($H$2:$H834)),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835" s="5">
        <f ca="1">_xlfn.XLOOKUP(Tabela_Movimentacao_Geral[[#This Row],[ID Produto]], Tabela_Produtos[ID_Produto],Tabela_Produtos[Preco_Unitario_Venda])</f>
        <v>65</v>
      </c>
      <c r="J835" s="6">
        <f ca="1">Tabela_Movimentacao_Geral[[#This Row],[Quantidade]] * Tabela_Movimentacao_Geral[[#This Row],[Valor Unitário]]</f>
        <v>585</v>
      </c>
      <c r="K835" t="str">
        <f ca="1">IF(
   $O$7="Desbloqueado",
   CHOOSE(RANDBETWEEN(1,3),"Pago","Pendente","Atrasado"),
   Tabela_Movimentacao_Geral[[#This Row],[Status Financeiro]]
)</f>
        <v>Pago</v>
      </c>
      <c r="L835" t="str">
        <f ca="1">IF(
   $O$7="Desbloqueado",
   CHOOSE(RANDBETWEEN(1,3),"Entregue","Em Rota","Aguardando"),
   Tabela_Movimentacao_Geral[[#This Row],[Status Logistico]]
)</f>
        <v>Aguardando</v>
      </c>
      <c r="M83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36" spans="1:13" x14ac:dyDescent="0.3">
      <c r="A836" t="str">
        <f t="shared" si="12"/>
        <v>T0835</v>
      </c>
      <c r="B836" s="1">
        <v>46052</v>
      </c>
      <c r="C836" t="str" cm="1">
        <f t="array" aca="1" ref="C836" ca="1">IF($O$7="Desbloqueado",
  _xlfn.LET(
    _xlpm.saldo_atual, SUM(($C$2:$C835="Entrada")*($F$2:$F835=Tabela_Movimentacao_Geral[[#This Row],[ID Produto]])*($H$2:$H835) - ($C$2:$C835="Saida")*($F$2:$F835=Tabela_Movimentacao_Geral[[#This Row],[ID Produto]])*($H$2:$H835)),
    IF(_xlpm.saldo_atual &gt; 0, IF(RANDBETWEEN(0,10)&gt;3,"Saida","Entrada"), "Entrada")
  ),
  Tabela_Movimentacao_Geral[[#This Row],[Tipo Fluxo]]
)</f>
        <v>Saida</v>
      </c>
      <c r="D8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8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836" t="str">
        <f ca="1">IF(
  $O$7="Desbloqueado",
  "PROD"&amp;TEXT(RANDBETWEEN(1,200),"000"),
  Tabela_Movimentacao_Geral[[#This Row],[ID Produto]]
)</f>
        <v>PROD176</v>
      </c>
      <c r="G836" t="str">
        <f ca="1">_xlfn.XLOOKUP(Tabela_Movimentacao_Geral[[#This Row],[ID Produto]], Tabela_Produtos[ID_Produto],Tabela_Produtos[Descricao_Produto],"Produto não encontrado")</f>
        <v>Envelope Bolha A4 10un</v>
      </c>
      <c r="H836" cm="1">
        <f t="array" aca="1" ref="H836" ca="1">IF(
   $O$7="Desbloqueado",
   _xlfn.LET(
     _xlpm.saldo_atual, SUM(($C$2:$C835="Entrada")*($F$2:$F835=Tabela_Movimentacao_Geral[[#This Row],[ID Produto]])*($H$2:$H835) - ($C$2:$C835="Saida")*($F$2:$F835=Tabela_Movimentacao_Geral[[#This Row],[ID Produto]])*($H$2:$H835)),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836" s="5">
        <f ca="1">_xlfn.XLOOKUP(Tabela_Movimentacao_Geral[[#This Row],[ID Produto]], Tabela_Produtos[ID_Produto],Tabela_Produtos[Preco_Unitario_Venda])</f>
        <v>35</v>
      </c>
      <c r="J836" s="6">
        <f ca="1">Tabela_Movimentacao_Geral[[#This Row],[Quantidade]] * Tabela_Movimentacao_Geral[[#This Row],[Valor Unitário]]</f>
        <v>315</v>
      </c>
      <c r="K836" t="str">
        <f ca="1">IF(
   $O$7="Desbloqueado",
   CHOOSE(RANDBETWEEN(1,3),"Pago","Pendente","Atrasado"),
   Tabela_Movimentacao_Geral[[#This Row],[Status Financeiro]]
)</f>
        <v>Pago</v>
      </c>
      <c r="L836" t="str">
        <f ca="1">IF(
   $O$7="Desbloqueado",
   CHOOSE(RANDBETWEEN(1,3),"Entregue","Em Rota","Aguardando"),
   Tabela_Movimentacao_Geral[[#This Row],[Status Logistico]]
)</f>
        <v>Entregue</v>
      </c>
      <c r="M83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37" spans="1:13" x14ac:dyDescent="0.3">
      <c r="A837" t="str">
        <f t="shared" si="12"/>
        <v>T0836</v>
      </c>
      <c r="B837" s="1">
        <v>46053</v>
      </c>
      <c r="C837" t="str" cm="1">
        <f t="array" aca="1" ref="C837" ca="1">IF($O$7="Desbloqueado",
  _xlfn.LET(
    _xlpm.saldo_atual, SUM(($C$2:$C836="Entrada")*($F$2:$F836=Tabela_Movimentacao_Geral[[#This Row],[ID Produto]])*($H$2:$H836) - ($C$2:$C836="Saida")*($F$2:$F836=Tabela_Movimentacao_Geral[[#This Row],[ID Produto]])*($H$2:$H836)),
    IF(_xlpm.saldo_atual &gt; 0, IF(RANDBETWEEN(0,10)&gt;3,"Saida","Entrada"), "Entrada")
  ),
  Tabela_Movimentacao_Geral[[#This Row],[Tipo Fluxo]]
)</f>
        <v>Saida</v>
      </c>
      <c r="D8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8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837" t="str">
        <f ca="1">IF(
  $O$7="Desbloqueado",
  "PROD"&amp;TEXT(RANDBETWEEN(1,200),"000"),
  Tabela_Movimentacao_Geral[[#This Row],[ID Produto]]
)</f>
        <v>PROD190</v>
      </c>
      <c r="G837" t="str">
        <f ca="1">_xlfn.XLOOKUP(Tabela_Movimentacao_Geral[[#This Row],[ID Produto]], Tabela_Produtos[ID_Produto],Tabela_Produtos[Descricao_Produto],"Produto não encontrado")</f>
        <v>Firewall Hardware Mid</v>
      </c>
      <c r="H837" cm="1">
        <f t="array" aca="1" ref="H837" ca="1">IF(
   $O$7="Desbloqueado",
   _xlfn.LET(
     _xlpm.saldo_atual, SUM(($C$2:$C836="Entrada")*($F$2:$F836=Tabela_Movimentacao_Geral[[#This Row],[ID Produto]])*($H$2:$H836) - ($C$2:$C836="Saida")*($F$2:$F836=Tabela_Movimentacao_Geral[[#This Row],[ID Produto]])*($H$2:$H836)),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</v>
      </c>
      <c r="I837" s="5">
        <f ca="1">_xlfn.XLOOKUP(Tabela_Movimentacao_Geral[[#This Row],[ID Produto]], Tabela_Produtos[ID_Produto],Tabela_Produtos[Preco_Unitario_Venda])</f>
        <v>8500</v>
      </c>
      <c r="J837" s="6">
        <f ca="1">Tabela_Movimentacao_Geral[[#This Row],[Quantidade]] * Tabela_Movimentacao_Geral[[#This Row],[Valor Unitário]]</f>
        <v>272000</v>
      </c>
      <c r="K837" t="str">
        <f ca="1">IF(
   $O$7="Desbloqueado",
   CHOOSE(RANDBETWEEN(1,3),"Pago","Pendente","Atrasado"),
   Tabela_Movimentacao_Geral[[#This Row],[Status Financeiro]]
)</f>
        <v>Atrasado</v>
      </c>
      <c r="L837" t="str">
        <f ca="1">IF(
   $O$7="Desbloqueado",
   CHOOSE(RANDBETWEEN(1,3),"Entregue","Em Rota","Aguardando"),
   Tabela_Movimentacao_Geral[[#This Row],[Status Logistico]]
)</f>
        <v>Entregue</v>
      </c>
      <c r="M83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38" spans="1:13" x14ac:dyDescent="0.3">
      <c r="A838" t="str">
        <f t="shared" si="12"/>
        <v>T0837</v>
      </c>
      <c r="B838" s="1">
        <v>46053</v>
      </c>
      <c r="C838" t="str" cm="1">
        <f t="array" aca="1" ref="C838" ca="1">IF($O$7="Desbloqueado",
  _xlfn.LET(
    _xlpm.saldo_atual, SUM(($C$2:$C837="Entrada")*($F$2:$F837=Tabela_Movimentacao_Geral[[#This Row],[ID Produto]])*($H$2:$H837) - ($C$2:$C837="Saida")*($F$2:$F837=Tabela_Movimentacao_Geral[[#This Row],[ID Produto]])*($H$2:$H837)),
    IF(_xlpm.saldo_atual &gt; 0, IF(RANDBETWEEN(0,10)&gt;3,"Saida","Entrada"), "Entrada")
  ),
  Tabela_Movimentacao_Geral[[#This Row],[Tipo Fluxo]]
)</f>
        <v>Saida</v>
      </c>
      <c r="D8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8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838" t="str">
        <f ca="1">IF(
  $O$7="Desbloqueado",
  "PROD"&amp;TEXT(RANDBETWEEN(1,200),"000"),
  Tabela_Movimentacao_Geral[[#This Row],[ID Produto]]
)</f>
        <v>PROD192</v>
      </c>
      <c r="G838" t="str">
        <f ca="1">_xlfn.XLOOKUP(Tabela_Movimentacao_Geral[[#This Row],[ID Produto]], Tabela_Produtos[ID_Produto],Tabela_Produtos[Descricao_Produto],"Produto não encontrado")</f>
        <v>Protetor Surto Coaxial</v>
      </c>
      <c r="H838" cm="1">
        <f t="array" aca="1" ref="H838" ca="1">IF(
   $O$7="Desbloqueado",
   _xlfn.LET(
     _xlpm.saldo_atual, SUM(($C$2:$C837="Entrada")*($F$2:$F837=Tabela_Movimentacao_Geral[[#This Row],[ID Produto]])*($H$2:$H837) - ($C$2:$C837="Saida")*($F$2:$F837=Tabela_Movimentacao_Geral[[#This Row],[ID Produto]])*($H$2:$H837)),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838" s="5">
        <f ca="1">_xlfn.XLOOKUP(Tabela_Movimentacao_Geral[[#This Row],[ID Produto]], Tabela_Produtos[ID_Produto],Tabela_Produtos[Preco_Unitario_Venda])</f>
        <v>85</v>
      </c>
      <c r="J838" s="6">
        <f ca="1">Tabela_Movimentacao_Geral[[#This Row],[Quantidade]] * Tabela_Movimentacao_Geral[[#This Row],[Valor Unitário]]</f>
        <v>2125</v>
      </c>
      <c r="K838" t="str">
        <f ca="1">IF(
   $O$7="Desbloqueado",
   CHOOSE(RANDBETWEEN(1,3),"Pago","Pendente","Atrasado"),
   Tabela_Movimentacao_Geral[[#This Row],[Status Financeiro]]
)</f>
        <v>Pago</v>
      </c>
      <c r="L838" t="str">
        <f ca="1">IF(
   $O$7="Desbloqueado",
   CHOOSE(RANDBETWEEN(1,3),"Entregue","Em Rota","Aguardando"),
   Tabela_Movimentacao_Geral[[#This Row],[Status Logistico]]
)</f>
        <v>Aguardando</v>
      </c>
      <c r="M8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39" spans="1:13" x14ac:dyDescent="0.3">
      <c r="A839" t="str">
        <f t="shared" si="12"/>
        <v>T0838</v>
      </c>
      <c r="B839" s="1">
        <v>46054</v>
      </c>
      <c r="C839" t="str" cm="1">
        <f t="array" aca="1" ref="C839" ca="1">IF($O$7="Desbloqueado",
  _xlfn.LET(
    _xlpm.saldo_atual, SUM(($C$2:$C838="Entrada")*($F$2:$F838=Tabela_Movimentacao_Geral[[#This Row],[ID Produto]])*($H$2:$H838) - ($C$2:$C838="Saida")*($F$2:$F838=Tabela_Movimentacao_Geral[[#This Row],[ID Produto]])*($H$2:$H838)),
    IF(_xlpm.saldo_atual &gt; 0, IF(RANDBETWEEN(0,10)&gt;3,"Saida","Entrada"), "Entrada")
  ),
  Tabela_Movimentacao_Geral[[#This Row],[Tipo Fluxo]]
)</f>
        <v>Saida</v>
      </c>
      <c r="D8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8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839" t="str">
        <f ca="1">IF(
  $O$7="Desbloqueado",
  "PROD"&amp;TEXT(RANDBETWEEN(1,200),"000"),
  Tabela_Movimentacao_Geral[[#This Row],[ID Produto]]
)</f>
        <v>PROD142</v>
      </c>
      <c r="G839" t="str">
        <f ca="1">_xlfn.XLOOKUP(Tabela_Movimentacao_Geral[[#This Row],[ID Produto]], Tabela_Produtos[ID_Produto],Tabela_Produtos[Descricao_Produto],"Produto não encontrado")</f>
        <v>Trava de Seguranca Note</v>
      </c>
      <c r="H839" cm="1">
        <f t="array" aca="1" ref="H839" ca="1">IF(
   $O$7="Desbloqueado",
   _xlfn.LET(
     _xlpm.saldo_atual, SUM(($C$2:$C838="Entrada")*($F$2:$F838=Tabela_Movimentacao_Geral[[#This Row],[ID Produto]])*($H$2:$H838) - ($C$2:$C838="Saida")*($F$2:$F838=Tabela_Movimentacao_Geral[[#This Row],[ID Produto]])*($H$2:$H838)),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839" s="5">
        <f ca="1">_xlfn.XLOOKUP(Tabela_Movimentacao_Geral[[#This Row],[ID Produto]], Tabela_Produtos[ID_Produto],Tabela_Produtos[Preco_Unitario_Venda])</f>
        <v>85</v>
      </c>
      <c r="J839" s="6">
        <f ca="1">Tabela_Movimentacao_Geral[[#This Row],[Quantidade]] * Tabela_Movimentacao_Geral[[#This Row],[Valor Unitário]]</f>
        <v>510</v>
      </c>
      <c r="K839" t="str">
        <f ca="1">IF(
   $O$7="Desbloqueado",
   CHOOSE(RANDBETWEEN(1,3),"Pago","Pendente","Atrasado"),
   Tabela_Movimentacao_Geral[[#This Row],[Status Financeiro]]
)</f>
        <v>Pendente</v>
      </c>
      <c r="L839" t="str">
        <f ca="1">IF(
   $O$7="Desbloqueado",
   CHOOSE(RANDBETWEEN(1,3),"Entregue","Em Rota","Aguardando"),
   Tabela_Movimentacao_Geral[[#This Row],[Status Logistico]]
)</f>
        <v>Entregue</v>
      </c>
      <c r="M83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0" spans="1:13" x14ac:dyDescent="0.3">
      <c r="A840" t="str">
        <f t="shared" si="12"/>
        <v>T0839</v>
      </c>
      <c r="B840" s="1">
        <v>46054</v>
      </c>
      <c r="C840" t="str" cm="1">
        <f t="array" aca="1" ref="C840" ca="1">IF($O$7="Desbloqueado",
  _xlfn.LET(
    _xlpm.saldo_atual, SUM(($C$2:$C839="Entrada")*($F$2:$F839=Tabela_Movimentacao_Geral[[#This Row],[ID Produto]])*($H$2:$H839) - ($C$2:$C839="Saida")*($F$2:$F839=Tabela_Movimentacao_Geral[[#This Row],[ID Produto]])*($H$2:$H839)),
    IF(_xlpm.saldo_atual &gt; 0, IF(RANDBETWEEN(0,10)&gt;3,"Saida","Entrada"), "Entrada")
  ),
  Tabela_Movimentacao_Geral[[#This Row],[Tipo Fluxo]]
)</f>
        <v>Saida</v>
      </c>
      <c r="D8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8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840" t="str">
        <f ca="1">IF(
  $O$7="Desbloqueado",
  "PROD"&amp;TEXT(RANDBETWEEN(1,200),"000"),
  Tabela_Movimentacao_Geral[[#This Row],[ID Produto]]
)</f>
        <v>PROD078</v>
      </c>
      <c r="G840" t="str">
        <f ca="1">_xlfn.XLOOKUP(Tabela_Movimentacao_Geral[[#This Row],[ID Produto]], Tabela_Produtos[ID_Produto],Tabela_Produtos[Descricao_Produto],"Produto não encontrado")</f>
        <v>Porta Canetas Telado</v>
      </c>
      <c r="H840" cm="1">
        <f t="array" aca="1" ref="H840" ca="1">IF(
   $O$7="Desbloqueado",
   _xlfn.LET(
     _xlpm.saldo_atual, SUM(($C$2:$C839="Entrada")*($F$2:$F839=Tabela_Movimentacao_Geral[[#This Row],[ID Produto]])*($H$2:$H839) - ($C$2:$C839="Saida")*($F$2:$F839=Tabela_Movimentacao_Geral[[#This Row],[ID Produto]])*($H$2:$H839)),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134</v>
      </c>
      <c r="I840" s="5">
        <f ca="1">_xlfn.XLOOKUP(Tabela_Movimentacao_Geral[[#This Row],[ID Produto]], Tabela_Produtos[ID_Produto],Tabela_Produtos[Preco_Unitario_Venda])</f>
        <v>15</v>
      </c>
      <c r="J840" s="6">
        <f ca="1">Tabela_Movimentacao_Geral[[#This Row],[Quantidade]] * Tabela_Movimentacao_Geral[[#This Row],[Valor Unitário]]</f>
        <v>2010</v>
      </c>
      <c r="K840" t="str">
        <f ca="1">IF(
   $O$7="Desbloqueado",
   CHOOSE(RANDBETWEEN(1,3),"Pago","Pendente","Atrasado"),
   Tabela_Movimentacao_Geral[[#This Row],[Status Financeiro]]
)</f>
        <v>Pago</v>
      </c>
      <c r="L840" t="str">
        <f ca="1">IF(
   $O$7="Desbloqueado",
   CHOOSE(RANDBETWEEN(1,3),"Entregue","Em Rota","Aguardando"),
   Tabela_Movimentacao_Geral[[#This Row],[Status Logistico]]
)</f>
        <v>Aguardando</v>
      </c>
      <c r="M84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1" spans="1:13" x14ac:dyDescent="0.3">
      <c r="A841" t="str">
        <f t="shared" si="12"/>
        <v>T0840</v>
      </c>
      <c r="B841" s="1">
        <v>46054</v>
      </c>
      <c r="C841" t="str" cm="1">
        <f t="array" aca="1" ref="C841" ca="1">IF($O$7="Desbloqueado",
  _xlfn.LET(
    _xlpm.saldo_atual, SUM(($C$2:$C840="Entrada")*($F$2:$F840=Tabela_Movimentacao_Geral[[#This Row],[ID Produto]])*($H$2:$H840) - ($C$2:$C840="Saida")*($F$2:$F840=Tabela_Movimentacao_Geral[[#This Row],[ID Produto]])*($H$2:$H840)),
    IF(_xlpm.saldo_atual &gt; 0, IF(RANDBETWEEN(0,10)&gt;3,"Saida","Entrada"), "Entrada")
  ),
  Tabela_Movimentacao_Geral[[#This Row],[Tipo Fluxo]]
)</f>
        <v>Saida</v>
      </c>
      <c r="D8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8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841" t="str">
        <f ca="1">IF(
  $O$7="Desbloqueado",
  "PROD"&amp;TEXT(RANDBETWEEN(1,200),"000"),
  Tabela_Movimentacao_Geral[[#This Row],[ID Produto]]
)</f>
        <v>PROD045</v>
      </c>
      <c r="G841" t="str">
        <f ca="1">_xlfn.XLOOKUP(Tabela_Movimentacao_Geral[[#This Row],[ID Produto]], Tabela_Produtos[ID_Produto],Tabela_Produtos[Descricao_Produto],"Produto não encontrado")</f>
        <v>Microfone de Mesa USB</v>
      </c>
      <c r="H841" cm="1">
        <f t="array" aca="1" ref="H841" ca="1">IF(
   $O$7="Desbloqueado",
   _xlfn.LET(
     _xlpm.saldo_atual, SUM(($C$2:$C840="Entrada")*($F$2:$F840=Tabela_Movimentacao_Geral[[#This Row],[ID Produto]])*($H$2:$H840) - ($C$2:$C840="Saida")*($F$2:$F840=Tabela_Movimentacao_Geral[[#This Row],[ID Produto]])*($H$2:$H840)),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841" s="5">
        <f ca="1">_xlfn.XLOOKUP(Tabela_Movimentacao_Geral[[#This Row],[ID Produto]], Tabela_Produtos[ID_Produto],Tabela_Produtos[Preco_Unitario_Venda])</f>
        <v>280</v>
      </c>
      <c r="J841" s="6">
        <f ca="1">Tabela_Movimentacao_Geral[[#This Row],[Quantidade]] * Tabela_Movimentacao_Geral[[#This Row],[Valor Unitário]]</f>
        <v>4480</v>
      </c>
      <c r="K841" t="str">
        <f ca="1">IF(
   $O$7="Desbloqueado",
   CHOOSE(RANDBETWEEN(1,3),"Pago","Pendente","Atrasado"),
   Tabela_Movimentacao_Geral[[#This Row],[Status Financeiro]]
)</f>
        <v>Pago</v>
      </c>
      <c r="L841" t="str">
        <f ca="1">IF(
   $O$7="Desbloqueado",
   CHOOSE(RANDBETWEEN(1,3),"Entregue","Em Rota","Aguardando"),
   Tabela_Movimentacao_Geral[[#This Row],[Status Logistico]]
)</f>
        <v>Aguardando</v>
      </c>
      <c r="M84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2" spans="1:13" x14ac:dyDescent="0.3">
      <c r="A842" t="str">
        <f t="shared" si="12"/>
        <v>T0841</v>
      </c>
      <c r="B842" s="1">
        <v>46054</v>
      </c>
      <c r="C842" t="str" cm="1">
        <f t="array" aca="1" ref="C842" ca="1">IF($O$7="Desbloqueado",
  _xlfn.LET(
    _xlpm.saldo_atual, SUM(($C$2:$C841="Entrada")*($F$2:$F841=Tabela_Movimentacao_Geral[[#This Row],[ID Produto]])*($H$2:$H841) - ($C$2:$C841="Saida")*($F$2:$F841=Tabela_Movimentacao_Geral[[#This Row],[ID Produto]])*($H$2:$H841)),
    IF(_xlpm.saldo_atual &gt; 0, IF(RANDBETWEEN(0,10)&gt;3,"Saida","Entrada"), "Entrada")
  ),
  Tabela_Movimentacao_Geral[[#This Row],[Tipo Fluxo]]
)</f>
        <v>Saida</v>
      </c>
      <c r="D8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8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842" t="str">
        <f ca="1">IF(
  $O$7="Desbloqueado",
  "PROD"&amp;TEXT(RANDBETWEEN(1,200),"000"),
  Tabela_Movimentacao_Geral[[#This Row],[ID Produto]]
)</f>
        <v>PROD030</v>
      </c>
      <c r="G842" t="str">
        <f ca="1">_xlfn.XLOOKUP(Tabela_Movimentacao_Geral[[#This Row],[ID Produto]], Tabela_Produtos[ID_Produto],Tabela_Produtos[Descricao_Produto],"Produto não encontrado")</f>
        <v>Mochila para Notebook 15.6</v>
      </c>
      <c r="H842" cm="1">
        <f t="array" aca="1" ref="H842" ca="1">IF(
   $O$7="Desbloqueado",
   _xlfn.LET(
     _xlpm.saldo_atual, SUM(($C$2:$C841="Entrada")*($F$2:$F841=Tabela_Movimentacao_Geral[[#This Row],[ID Produto]])*($H$2:$H841) - ($C$2:$C841="Saida")*($F$2:$F841=Tabela_Movimentacao_Geral[[#This Row],[ID Produto]])*($H$2:$H841)),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842" s="5">
        <f ca="1">_xlfn.XLOOKUP(Tabela_Movimentacao_Geral[[#This Row],[ID Produto]], Tabela_Produtos[ID_Produto],Tabela_Produtos[Preco_Unitario_Venda])</f>
        <v>250</v>
      </c>
      <c r="J842" s="6">
        <f ca="1">Tabela_Movimentacao_Geral[[#This Row],[Quantidade]] * Tabela_Movimentacao_Geral[[#This Row],[Valor Unitário]]</f>
        <v>250</v>
      </c>
      <c r="K842" t="str">
        <f ca="1">IF(
   $O$7="Desbloqueado",
   CHOOSE(RANDBETWEEN(1,3),"Pago","Pendente","Atrasado"),
   Tabela_Movimentacao_Geral[[#This Row],[Status Financeiro]]
)</f>
        <v>Pago</v>
      </c>
      <c r="L842" t="str">
        <f ca="1">IF(
   $O$7="Desbloqueado",
   CHOOSE(RANDBETWEEN(1,3),"Entregue","Em Rota","Aguardando"),
   Tabela_Movimentacao_Geral[[#This Row],[Status Logistico]]
)</f>
        <v>Entregue</v>
      </c>
      <c r="M84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3" spans="1:13" x14ac:dyDescent="0.3">
      <c r="A843" t="str">
        <f t="shared" si="12"/>
        <v>T0842</v>
      </c>
      <c r="B843" s="1">
        <v>46055</v>
      </c>
      <c r="C843" t="str" cm="1">
        <f t="array" aca="1" ref="C843" ca="1">IF($O$7="Desbloqueado",
  _xlfn.LET(
    _xlpm.saldo_atual, SUM(($C$2:$C842="Entrada")*($F$2:$F842=Tabela_Movimentacao_Geral[[#This Row],[ID Produto]])*($H$2:$H842) - ($C$2:$C842="Saida")*($F$2:$F842=Tabela_Movimentacao_Geral[[#This Row],[ID Produto]])*($H$2:$H842)),
    IF(_xlpm.saldo_atual &gt; 0, IF(RANDBETWEEN(0,10)&gt;3,"Saida","Entrada"), "Entrada")
  ),
  Tabela_Movimentacao_Geral[[#This Row],[Tipo Fluxo]]
)</f>
        <v>Saida</v>
      </c>
      <c r="D8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8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843" t="str">
        <f ca="1">IF(
  $O$7="Desbloqueado",
  "PROD"&amp;TEXT(RANDBETWEEN(1,200),"000"),
  Tabela_Movimentacao_Geral[[#This Row],[ID Produto]]
)</f>
        <v>PROD163</v>
      </c>
      <c r="G843" t="str">
        <f ca="1">_xlfn.XLOOKUP(Tabela_Movimentacao_Geral[[#This Row],[ID Produto]], Tabela_Produtos[ID_Produto],Tabela_Produtos[Descricao_Produto],"Produto não encontrado")</f>
        <v>Porta Recados Aramado</v>
      </c>
      <c r="H843" cm="1">
        <f t="array" aca="1" ref="H843" ca="1">IF(
   $O$7="Desbloqueado",
   _xlfn.LET(
     _xlpm.saldo_atual, SUM(($C$2:$C842="Entrada")*($F$2:$F842=Tabela_Movimentacao_Geral[[#This Row],[ID Produto]])*($H$2:$H842) - ($C$2:$C842="Saida")*($F$2:$F842=Tabela_Movimentacao_Geral[[#This Row],[ID Produto]])*($H$2:$H842)),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843" s="5">
        <f ca="1">_xlfn.XLOOKUP(Tabela_Movimentacao_Geral[[#This Row],[ID Produto]], Tabela_Produtos[ID_Produto],Tabela_Produtos[Preco_Unitario_Venda])</f>
        <v>18</v>
      </c>
      <c r="J843" s="6">
        <f ca="1">Tabela_Movimentacao_Geral[[#This Row],[Quantidade]] * Tabela_Movimentacao_Geral[[#This Row],[Valor Unitário]]</f>
        <v>180</v>
      </c>
      <c r="K843" t="str">
        <f ca="1">IF(
   $O$7="Desbloqueado",
   CHOOSE(RANDBETWEEN(1,3),"Pago","Pendente","Atrasado"),
   Tabela_Movimentacao_Geral[[#This Row],[Status Financeiro]]
)</f>
        <v>Atrasado</v>
      </c>
      <c r="L843" t="str">
        <f ca="1">IF(
   $O$7="Desbloqueado",
   CHOOSE(RANDBETWEEN(1,3),"Entregue","Em Rota","Aguardando"),
   Tabela_Movimentacao_Geral[[#This Row],[Status Logistico]]
)</f>
        <v>Entregue</v>
      </c>
      <c r="M8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4" spans="1:13" x14ac:dyDescent="0.3">
      <c r="A844" t="str">
        <f t="shared" si="12"/>
        <v>T0843</v>
      </c>
      <c r="B844" s="1">
        <v>46055</v>
      </c>
      <c r="C844" t="str" cm="1">
        <f t="array" aca="1" ref="C844" ca="1">IF($O$7="Desbloqueado",
  _xlfn.LET(
    _xlpm.saldo_atual, SUM(($C$2:$C843="Entrada")*($F$2:$F843=Tabela_Movimentacao_Geral[[#This Row],[ID Produto]])*($H$2:$H843) - ($C$2:$C843="Saida")*($F$2:$F843=Tabela_Movimentacao_Geral[[#This Row],[ID Produto]])*($H$2:$H843)),
    IF(_xlpm.saldo_atual &gt; 0, IF(RANDBETWEEN(0,10)&gt;3,"Saida","Entrada"), "Entrada")
  ),
  Tabela_Movimentacao_Geral[[#This Row],[Tipo Fluxo]]
)</f>
        <v>Saida</v>
      </c>
      <c r="D8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8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844" t="str">
        <f ca="1">IF(
  $O$7="Desbloqueado",
  "PROD"&amp;TEXT(RANDBETWEEN(1,200),"000"),
  Tabela_Movimentacao_Geral[[#This Row],[ID Produto]]
)</f>
        <v>PROD071</v>
      </c>
      <c r="G844" t="str">
        <f ca="1">_xlfn.XLOOKUP(Tabela_Movimentacao_Geral[[#This Row],[ID Produto]], Tabela_Produtos[ID_Produto],Tabela_Produtos[Descricao_Produto],"Produto não encontrado")</f>
        <v>Bloco Auto-Adesivo 76x76</v>
      </c>
      <c r="H844" cm="1">
        <f t="array" aca="1" ref="H844" ca="1">IF(
   $O$7="Desbloqueado",
   _xlfn.LET(
     _xlpm.saldo_atual, SUM(($C$2:$C843="Entrada")*($F$2:$F843=Tabela_Movimentacao_Geral[[#This Row],[ID Produto]])*($H$2:$H843) - ($C$2:$C843="Saida")*($F$2:$F843=Tabela_Movimentacao_Geral[[#This Row],[ID Produto]])*($H$2:$H843)),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844" s="5">
        <f ca="1">_xlfn.XLOOKUP(Tabela_Movimentacao_Geral[[#This Row],[ID Produto]], Tabela_Produtos[ID_Produto],Tabela_Produtos[Preco_Unitario_Venda])</f>
        <v>8.5</v>
      </c>
      <c r="J844" s="6">
        <f ca="1">Tabela_Movimentacao_Geral[[#This Row],[Quantidade]] * Tabela_Movimentacao_Geral[[#This Row],[Valor Unitário]]</f>
        <v>255</v>
      </c>
      <c r="K844" t="str">
        <f ca="1">IF(
   $O$7="Desbloqueado",
   CHOOSE(RANDBETWEEN(1,3),"Pago","Pendente","Atrasado"),
   Tabela_Movimentacao_Geral[[#This Row],[Status Financeiro]]
)</f>
        <v>Atrasado</v>
      </c>
      <c r="L844" t="str">
        <f ca="1">IF(
   $O$7="Desbloqueado",
   CHOOSE(RANDBETWEEN(1,3),"Entregue","Em Rota","Aguardando"),
   Tabela_Movimentacao_Geral[[#This Row],[Status Logistico]]
)</f>
        <v>Aguardando</v>
      </c>
      <c r="M8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5" spans="1:13" x14ac:dyDescent="0.3">
      <c r="A845" t="str">
        <f t="shared" si="12"/>
        <v>T0844</v>
      </c>
      <c r="B845" s="1">
        <v>46056</v>
      </c>
      <c r="C845" t="str" cm="1">
        <f t="array" aca="1" ref="C845" ca="1">IF($O$7="Desbloqueado",
  _xlfn.LET(
    _xlpm.saldo_atual, SUM(($C$2:$C844="Entrada")*($F$2:$F844=Tabela_Movimentacao_Geral[[#This Row],[ID Produto]])*($H$2:$H844) - ($C$2:$C844="Saida")*($F$2:$F844=Tabela_Movimentacao_Geral[[#This Row],[ID Produto]])*($H$2:$H844)),
    IF(_xlpm.saldo_atual &gt; 0, IF(RANDBETWEEN(0,10)&gt;3,"Saida","Entrada"), "Entrada")
  ),
  Tabela_Movimentacao_Geral[[#This Row],[Tipo Fluxo]]
)</f>
        <v>Saida</v>
      </c>
      <c r="D8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8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845" t="str">
        <f ca="1">IF(
  $O$7="Desbloqueado",
  "PROD"&amp;TEXT(RANDBETWEEN(1,200),"000"),
  Tabela_Movimentacao_Geral[[#This Row],[ID Produto]]
)</f>
        <v>PROD096</v>
      </c>
      <c r="G845" t="str">
        <f ca="1">_xlfn.XLOOKUP(Tabela_Movimentacao_Geral[[#This Row],[ID Produto]], Tabela_Produtos[ID_Produto],Tabela_Produtos[Descricao_Produto],"Produto não encontrado")</f>
        <v>Sensor de Temperatura IP</v>
      </c>
      <c r="H845" cm="1">
        <f t="array" aca="1" ref="H845" ca="1">IF(
   $O$7="Desbloqueado",
   _xlfn.LET(
     _xlpm.saldo_atual, SUM(($C$2:$C844="Entrada")*($F$2:$F844=Tabela_Movimentacao_Geral[[#This Row],[ID Produto]])*($H$2:$H844) - ($C$2:$C844="Saida")*($F$2:$F844=Tabela_Movimentacao_Geral[[#This Row],[ID Produto]])*($H$2:$H844)),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24</v>
      </c>
      <c r="I845" s="5">
        <f ca="1">_xlfn.XLOOKUP(Tabela_Movimentacao_Geral[[#This Row],[ID Produto]], Tabela_Produtos[ID_Produto],Tabela_Produtos[Preco_Unitario_Venda])</f>
        <v>650</v>
      </c>
      <c r="J845" s="6">
        <f ca="1">Tabela_Movimentacao_Geral[[#This Row],[Quantidade]] * Tabela_Movimentacao_Geral[[#This Row],[Valor Unitário]]</f>
        <v>15600</v>
      </c>
      <c r="K845" t="str">
        <f ca="1">IF(
   $O$7="Desbloqueado",
   CHOOSE(RANDBETWEEN(1,3),"Pago","Pendente","Atrasado"),
   Tabela_Movimentacao_Geral[[#This Row],[Status Financeiro]]
)</f>
        <v>Pago</v>
      </c>
      <c r="L845" t="str">
        <f ca="1">IF(
   $O$7="Desbloqueado",
   CHOOSE(RANDBETWEEN(1,3),"Entregue","Em Rota","Aguardando"),
   Tabela_Movimentacao_Geral[[#This Row],[Status Logistico]]
)</f>
        <v>Aguardando</v>
      </c>
      <c r="M84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6" spans="1:13" x14ac:dyDescent="0.3">
      <c r="A846" t="str">
        <f t="shared" si="12"/>
        <v>T0845</v>
      </c>
      <c r="B846" s="1">
        <v>46056</v>
      </c>
      <c r="C846" t="str" cm="1">
        <f t="array" aca="1" ref="C846" ca="1">IF($O$7="Desbloqueado",
  _xlfn.LET(
    _xlpm.saldo_atual, SUM(($C$2:$C845="Entrada")*($F$2:$F845=Tabela_Movimentacao_Geral[[#This Row],[ID Produto]])*($H$2:$H845) - ($C$2:$C845="Saida")*($F$2:$F845=Tabela_Movimentacao_Geral[[#This Row],[ID Produto]])*($H$2:$H845)),
    IF(_xlpm.saldo_atual &gt; 0, IF(RANDBETWEEN(0,10)&gt;3,"Saida","Entrada"), "Entrada")
  ),
  Tabela_Movimentacao_Geral[[#This Row],[Tipo Fluxo]]
)</f>
        <v>Entrada</v>
      </c>
      <c r="D8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8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846" t="str">
        <f ca="1">IF(
  $O$7="Desbloqueado",
  "PROD"&amp;TEXT(RANDBETWEEN(1,200),"000"),
  Tabela_Movimentacao_Geral[[#This Row],[ID Produto]]
)</f>
        <v>PROD001</v>
      </c>
      <c r="G846" t="str">
        <f ca="1">_xlfn.XLOOKUP(Tabela_Movimentacao_Geral[[#This Row],[ID Produto]], Tabela_Produtos[ID_Produto],Tabela_Produtos[Descricao_Produto],"Produto não encontrado")</f>
        <v>Monitor 24 pol Full HD</v>
      </c>
      <c r="H846" cm="1">
        <f t="array" aca="1" ref="H846" ca="1">IF(
   $O$7="Desbloqueado",
   _xlfn.LET(
     _xlpm.saldo_atual, SUM(($C$2:$C845="Entrada")*($F$2:$F845=Tabela_Movimentacao_Geral[[#This Row],[ID Produto]])*($H$2:$H845) - ($C$2:$C845="Saida")*($F$2:$F845=Tabela_Movimentacao_Geral[[#This Row],[ID Produto]])*($H$2:$H845)),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75</v>
      </c>
      <c r="I846" s="5">
        <f ca="1">_xlfn.XLOOKUP(Tabela_Movimentacao_Geral[[#This Row],[ID Produto]], Tabela_Produtos[ID_Produto],Tabela_Produtos[Preco_Unitario_Venda])</f>
        <v>850</v>
      </c>
      <c r="J846" s="6">
        <f ca="1">Tabela_Movimentacao_Geral[[#This Row],[Quantidade]] * Tabela_Movimentacao_Geral[[#This Row],[Valor Unitário]]</f>
        <v>63750</v>
      </c>
      <c r="K846" t="str">
        <f ca="1">IF(
   $O$7="Desbloqueado",
   CHOOSE(RANDBETWEEN(1,3),"Pago","Pendente","Atrasado"),
   Tabela_Movimentacao_Geral[[#This Row],[Status Financeiro]]
)</f>
        <v>Pendente</v>
      </c>
      <c r="L846" t="str">
        <f ca="1">IF(
   $O$7="Desbloqueado",
   CHOOSE(RANDBETWEEN(1,3),"Entregue","Em Rota","Aguardando"),
   Tabela_Movimentacao_Geral[[#This Row],[Status Logistico]]
)</f>
        <v>Em Rota</v>
      </c>
      <c r="M8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46071</v>
      </c>
    </row>
    <row r="847" spans="1:13" x14ac:dyDescent="0.3">
      <c r="A847" t="str">
        <f t="shared" si="12"/>
        <v>T0846</v>
      </c>
      <c r="B847" s="1">
        <v>46056</v>
      </c>
      <c r="C847" t="str" cm="1">
        <f t="array" aca="1" ref="C847" ca="1">IF($O$7="Desbloqueado",
  _xlfn.LET(
    _xlpm.saldo_atual, SUM(($C$2:$C846="Entrada")*($F$2:$F846=Tabela_Movimentacao_Geral[[#This Row],[ID Produto]])*($H$2:$H846) - ($C$2:$C846="Saida")*($F$2:$F846=Tabela_Movimentacao_Geral[[#This Row],[ID Produto]])*($H$2:$H846)),
    IF(_xlpm.saldo_atual &gt; 0, IF(RANDBETWEEN(0,10)&gt;3,"Saida","Entrada"), "Entrada")
  ),
  Tabela_Movimentacao_Geral[[#This Row],[Tipo Fluxo]]
)</f>
        <v>Entrada</v>
      </c>
      <c r="D8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8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847" t="str">
        <f ca="1">IF(
  $O$7="Desbloqueado",
  "PROD"&amp;TEXT(RANDBETWEEN(1,200),"000"),
  Tabela_Movimentacao_Geral[[#This Row],[ID Produto]]
)</f>
        <v>PROD200</v>
      </c>
      <c r="G847" t="str">
        <f ca="1">_xlfn.XLOOKUP(Tabela_Movimentacao_Geral[[#This Row],[ID Produto]], Tabela_Produtos[ID_Produto],Tabela_Produtos[Descricao_Produto],"Produto não encontrado")</f>
        <v>Estacao de Solda Prof</v>
      </c>
      <c r="H847" cm="1">
        <f t="array" aca="1" ref="H847" ca="1">IF(
   $O$7="Desbloqueado",
   _xlfn.LET(
     _xlpm.saldo_atual, SUM(($C$2:$C846="Entrada")*($F$2:$F846=Tabela_Movimentacao_Geral[[#This Row],[ID Produto]])*($H$2:$H846) - ($C$2:$C846="Saida")*($F$2:$F846=Tabela_Movimentacao_Geral[[#This Row],[ID Produto]])*($H$2:$H846)),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60</v>
      </c>
      <c r="I847" s="5">
        <f ca="1">_xlfn.XLOOKUP(Tabela_Movimentacao_Geral[[#This Row],[ID Produto]], Tabela_Produtos[ID_Produto],Tabela_Produtos[Preco_Unitario_Venda])</f>
        <v>1200</v>
      </c>
      <c r="J847" s="6">
        <f ca="1">Tabela_Movimentacao_Geral[[#This Row],[Quantidade]] * Tabela_Movimentacao_Geral[[#This Row],[Valor Unitário]]</f>
        <v>72000</v>
      </c>
      <c r="K847" t="str">
        <f ca="1">IF(
   $O$7="Desbloqueado",
   CHOOSE(RANDBETWEEN(1,3),"Pago","Pendente","Atrasado"),
   Tabela_Movimentacao_Geral[[#This Row],[Status Financeiro]]
)</f>
        <v>Pago</v>
      </c>
      <c r="L847" t="str">
        <f ca="1">IF(
   $O$7="Desbloqueado",
   CHOOSE(RANDBETWEEN(1,3),"Entregue","Em Rota","Aguardando"),
   Tabela_Movimentacao_Geral[[#This Row],[Status Logistico]]
)</f>
        <v>Aguardando</v>
      </c>
      <c r="M8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46071</v>
      </c>
    </row>
    <row r="848" spans="1:13" x14ac:dyDescent="0.3">
      <c r="A848" t="str">
        <f t="shared" si="12"/>
        <v>T0847</v>
      </c>
      <c r="B848" s="1">
        <v>46057</v>
      </c>
      <c r="C848" t="str" cm="1">
        <f t="array" aca="1" ref="C848" ca="1">IF($O$7="Desbloqueado",
  _xlfn.LET(
    _xlpm.saldo_atual, SUM(($C$2:$C847="Entrada")*($F$2:$F847=Tabela_Movimentacao_Geral[[#This Row],[ID Produto]])*($H$2:$H847) - ($C$2:$C847="Saida")*($F$2:$F847=Tabela_Movimentacao_Geral[[#This Row],[ID Produto]])*($H$2:$H847)),
    IF(_xlpm.saldo_atual &gt; 0, IF(RANDBETWEEN(0,10)&gt;3,"Saida","Entrada"), "Entrada")
  ),
  Tabela_Movimentacao_Geral[[#This Row],[Tipo Fluxo]]
)</f>
        <v>Saida</v>
      </c>
      <c r="D8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8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848" t="str">
        <f ca="1">IF(
  $O$7="Desbloqueado",
  "PROD"&amp;TEXT(RANDBETWEEN(1,200),"000"),
  Tabela_Movimentacao_Geral[[#This Row],[ID Produto]]
)</f>
        <v>PROD188</v>
      </c>
      <c r="G848" t="str">
        <f ca="1">_xlfn.XLOOKUP(Tabela_Movimentacao_Geral[[#This Row],[ID Produto]], Tabela_Produtos[ID_Produto],Tabela_Produtos[Descricao_Produto],"Produto não encontrado")</f>
        <v>Chassis para Media Conv</v>
      </c>
      <c r="H848" cm="1">
        <f t="array" aca="1" ref="H848" ca="1">IF(
   $O$7="Desbloqueado",
   _xlfn.LET(
     _xlpm.saldo_atual, SUM(($C$2:$C847="Entrada")*($F$2:$F847=Tabela_Movimentacao_Geral[[#This Row],[ID Produto]])*($H$2:$H847) - ($C$2:$C847="Saida")*($F$2:$F847=Tabela_Movimentacao_Geral[[#This Row],[ID Produto]])*($H$2:$H847)),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848" s="5">
        <f ca="1">_xlfn.XLOOKUP(Tabela_Movimentacao_Geral[[#This Row],[ID Produto]], Tabela_Produtos[ID_Produto],Tabela_Produtos[Preco_Unitario_Venda])</f>
        <v>1550</v>
      </c>
      <c r="J848" s="6">
        <f ca="1">Tabela_Movimentacao_Geral[[#This Row],[Quantidade]] * Tabela_Movimentacao_Geral[[#This Row],[Valor Unitário]]</f>
        <v>10850</v>
      </c>
      <c r="K848" t="str">
        <f ca="1">IF(
   $O$7="Desbloqueado",
   CHOOSE(RANDBETWEEN(1,3),"Pago","Pendente","Atrasado"),
   Tabela_Movimentacao_Geral[[#This Row],[Status Financeiro]]
)</f>
        <v>Atrasado</v>
      </c>
      <c r="L848" t="str">
        <f ca="1">IF(
   $O$7="Desbloqueado",
   CHOOSE(RANDBETWEEN(1,3),"Entregue","Em Rota","Aguardando"),
   Tabela_Movimentacao_Geral[[#This Row],[Status Logistico]]
)</f>
        <v>Entregue</v>
      </c>
      <c r="M84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49" spans="1:13" x14ac:dyDescent="0.3">
      <c r="A849" t="str">
        <f t="shared" si="12"/>
        <v>T0848</v>
      </c>
      <c r="B849" s="1">
        <v>46057</v>
      </c>
      <c r="C849" t="str" cm="1">
        <f t="array" aca="1" ref="C849" ca="1">IF($O$7="Desbloqueado",
  _xlfn.LET(
    _xlpm.saldo_atual, SUM(($C$2:$C848="Entrada")*($F$2:$F848=Tabela_Movimentacao_Geral[[#This Row],[ID Produto]])*($H$2:$H848) - ($C$2:$C848="Saida")*($F$2:$F848=Tabela_Movimentacao_Geral[[#This Row],[ID Produto]])*($H$2:$H848)),
    IF(_xlpm.saldo_atual &gt; 0, IF(RANDBETWEEN(0,10)&gt;3,"Saida","Entrada"), "Entrada")
  ),
  Tabela_Movimentacao_Geral[[#This Row],[Tipo Fluxo]]
)</f>
        <v>Saida</v>
      </c>
      <c r="D8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8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849" t="str">
        <f ca="1">IF(
  $O$7="Desbloqueado",
  "PROD"&amp;TEXT(RANDBETWEEN(1,200),"000"),
  Tabela_Movimentacao_Geral[[#This Row],[ID Produto]]
)</f>
        <v>PROD070</v>
      </c>
      <c r="G849" t="str">
        <f ca="1">_xlfn.XLOOKUP(Tabela_Movimentacao_Geral[[#This Row],[ID Produto]], Tabela_Produtos[ID_Produto],Tabela_Produtos[Descricao_Produto],"Produto não encontrado")</f>
        <v>Marcador para Quadro Azul</v>
      </c>
      <c r="H849" cm="1">
        <f t="array" aca="1" ref="H849" ca="1">IF(
   $O$7="Desbloqueado",
   _xlfn.LET(
     _xlpm.saldo_atual, SUM(($C$2:$C848="Entrada")*($F$2:$F848=Tabela_Movimentacao_Geral[[#This Row],[ID Produto]])*($H$2:$H848) - ($C$2:$C848="Saida")*($F$2:$F848=Tabela_Movimentacao_Geral[[#This Row],[ID Produto]])*($H$2:$H848)),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92</v>
      </c>
      <c r="I849" s="5">
        <f ca="1">_xlfn.XLOOKUP(Tabela_Movimentacao_Geral[[#This Row],[ID Produto]], Tabela_Produtos[ID_Produto],Tabela_Produtos[Preco_Unitario_Venda])</f>
        <v>7.5</v>
      </c>
      <c r="J849" s="6">
        <f ca="1">Tabela_Movimentacao_Geral[[#This Row],[Quantidade]] * Tabela_Movimentacao_Geral[[#This Row],[Valor Unitário]]</f>
        <v>690</v>
      </c>
      <c r="K849" t="str">
        <f ca="1">IF(
   $O$7="Desbloqueado",
   CHOOSE(RANDBETWEEN(1,3),"Pago","Pendente","Atrasado"),
   Tabela_Movimentacao_Geral[[#This Row],[Status Financeiro]]
)</f>
        <v>Pago</v>
      </c>
      <c r="L849" t="str">
        <f ca="1">IF(
   $O$7="Desbloqueado",
   CHOOSE(RANDBETWEEN(1,3),"Entregue","Em Rota","Aguardando"),
   Tabela_Movimentacao_Geral[[#This Row],[Status Logistico]]
)</f>
        <v>Entregue</v>
      </c>
      <c r="M84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0" spans="1:13" x14ac:dyDescent="0.3">
      <c r="A850" t="str">
        <f t="shared" si="12"/>
        <v>T0849</v>
      </c>
      <c r="B850" s="1">
        <v>46058</v>
      </c>
      <c r="C850" t="str" cm="1">
        <f t="array" aca="1" ref="C850" ca="1">IF($O$7="Desbloqueado",
  _xlfn.LET(
    _xlpm.saldo_atual, SUM(($C$2:$C849="Entrada")*($F$2:$F849=Tabela_Movimentacao_Geral[[#This Row],[ID Produto]])*($H$2:$H849) - ($C$2:$C849="Saida")*($F$2:$F849=Tabela_Movimentacao_Geral[[#This Row],[ID Produto]])*($H$2:$H849)),
    IF(_xlpm.saldo_atual &gt; 0, IF(RANDBETWEEN(0,10)&gt;3,"Saida","Entrada"), "Entrada")
  ),
  Tabela_Movimentacao_Geral[[#This Row],[Tipo Fluxo]]
)</f>
        <v>Saida</v>
      </c>
      <c r="D8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50" t="str">
        <f ca="1">IF(
  $O$7="Desbloqueado",
  "PROD"&amp;TEXT(RANDBETWEEN(1,200),"000"),
  Tabela_Movimentacao_Geral[[#This Row],[ID Produto]]
)</f>
        <v>PROD164</v>
      </c>
      <c r="G850" t="str">
        <f ca="1">_xlfn.XLOOKUP(Tabela_Movimentacao_Geral[[#This Row],[ID Produto]], Tabela_Produtos[ID_Produto],Tabela_Produtos[Descricao_Produto],"Produto não encontrado")</f>
        <v>Carimbo Datador Autom</v>
      </c>
      <c r="H850" cm="1">
        <f t="array" aca="1" ref="H850" ca="1">IF(
   $O$7="Desbloqueado",
   _xlfn.LET(
     _xlpm.saldo_atual, SUM(($C$2:$C849="Entrada")*($F$2:$F849=Tabela_Movimentacao_Geral[[#This Row],[ID Produto]])*($H$2:$H849) - ($C$2:$C849="Saida")*($F$2:$F849=Tabela_Movimentacao_Geral[[#This Row],[ID Produto]])*($H$2:$H849)),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850" s="5">
        <f ca="1">_xlfn.XLOOKUP(Tabela_Movimentacao_Geral[[#This Row],[ID Produto]], Tabela_Produtos[ID_Produto],Tabela_Produtos[Preco_Unitario_Venda])</f>
        <v>65</v>
      </c>
      <c r="J850" s="6">
        <f ca="1">Tabela_Movimentacao_Geral[[#This Row],[Quantidade]] * Tabela_Movimentacao_Geral[[#This Row],[Valor Unitário]]</f>
        <v>325</v>
      </c>
      <c r="K850" t="str">
        <f ca="1">IF(
   $O$7="Desbloqueado",
   CHOOSE(RANDBETWEEN(1,3),"Pago","Pendente","Atrasado"),
   Tabela_Movimentacao_Geral[[#This Row],[Status Financeiro]]
)</f>
        <v>Pendente</v>
      </c>
      <c r="L850" t="str">
        <f ca="1">IF(
   $O$7="Desbloqueado",
   CHOOSE(RANDBETWEEN(1,3),"Entregue","Em Rota","Aguardando"),
   Tabela_Movimentacao_Geral[[#This Row],[Status Logistico]]
)</f>
        <v>Em Rota</v>
      </c>
      <c r="M85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1" spans="1:13" x14ac:dyDescent="0.3">
      <c r="A851" t="str">
        <f t="shared" si="12"/>
        <v>T0850</v>
      </c>
      <c r="B851" s="1">
        <v>46058</v>
      </c>
      <c r="C851" t="str" cm="1">
        <f t="array" aca="1" ref="C851" ca="1">IF($O$7="Desbloqueado",
  _xlfn.LET(
    _xlpm.saldo_atual, SUM(($C$2:$C850="Entrada")*($F$2:$F850=Tabela_Movimentacao_Geral[[#This Row],[ID Produto]])*($H$2:$H850) - ($C$2:$C850="Saida")*($F$2:$F850=Tabela_Movimentacao_Geral[[#This Row],[ID Produto]])*($H$2:$H850)),
    IF(_xlpm.saldo_atual &gt; 0, IF(RANDBETWEEN(0,10)&gt;3,"Saida","Entrada"), "Entrada")
  ),
  Tabela_Movimentacao_Geral[[#This Row],[Tipo Fluxo]]
)</f>
        <v>Entrada</v>
      </c>
      <c r="D8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8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851" t="str">
        <f ca="1">IF(
  $O$7="Desbloqueado",
  "PROD"&amp;TEXT(RANDBETWEEN(1,200),"000"),
  Tabela_Movimentacao_Geral[[#This Row],[ID Produto]]
)</f>
        <v>PROD175</v>
      </c>
      <c r="G851" t="str">
        <f ca="1">_xlfn.XLOOKUP(Tabela_Movimentacao_Geral[[#This Row],[ID Produto]], Tabela_Produtos[ID_Produto],Tabela_Produtos[Descricao_Produto],"Produto não encontrado")</f>
        <v>Plastico Bolha 1.2x50m</v>
      </c>
      <c r="H851" cm="1">
        <f t="array" aca="1" ref="H851" ca="1">IF(
   $O$7="Desbloqueado",
   _xlfn.LET(
     _xlpm.saldo_atual, SUM(($C$2:$C850="Entrada")*($F$2:$F850=Tabela_Movimentacao_Geral[[#This Row],[ID Produto]])*($H$2:$H850) - ($C$2:$C850="Saida")*($F$2:$F850=Tabela_Movimentacao_Geral[[#This Row],[ID Produto]])*($H$2:$H850)),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42</v>
      </c>
      <c r="I851" s="5">
        <f ca="1">_xlfn.XLOOKUP(Tabela_Movimentacao_Geral[[#This Row],[ID Produto]], Tabela_Produtos[ID_Produto],Tabela_Produtos[Preco_Unitario_Venda])</f>
        <v>110</v>
      </c>
      <c r="J851" s="6">
        <f ca="1">Tabela_Movimentacao_Geral[[#This Row],[Quantidade]] * Tabela_Movimentacao_Geral[[#This Row],[Valor Unitário]]</f>
        <v>4620</v>
      </c>
      <c r="K851" t="str">
        <f ca="1">IF(
   $O$7="Desbloqueado",
   CHOOSE(RANDBETWEEN(1,3),"Pago","Pendente","Atrasado"),
   Tabela_Movimentacao_Geral[[#This Row],[Status Financeiro]]
)</f>
        <v>Pago</v>
      </c>
      <c r="L851" t="str">
        <f ca="1">IF(
   $O$7="Desbloqueado",
   CHOOSE(RANDBETWEEN(1,3),"Entregue","Em Rota","Aguardando"),
   Tabela_Movimentacao_Geral[[#This Row],[Status Logistico]]
)</f>
        <v>Aguardando</v>
      </c>
      <c r="M85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46073</v>
      </c>
    </row>
    <row r="852" spans="1:13" x14ac:dyDescent="0.3">
      <c r="A852" t="str">
        <f t="shared" si="12"/>
        <v>T0851</v>
      </c>
      <c r="B852" s="1">
        <v>46059</v>
      </c>
      <c r="C852" t="str" cm="1">
        <f t="array" aca="1" ref="C852" ca="1">IF($O$7="Desbloqueado",
  _xlfn.LET(
    _xlpm.saldo_atual, SUM(($C$2:$C851="Entrada")*($F$2:$F851=Tabela_Movimentacao_Geral[[#This Row],[ID Produto]])*($H$2:$H851) - ($C$2:$C851="Saida")*($F$2:$F851=Tabela_Movimentacao_Geral[[#This Row],[ID Produto]])*($H$2:$H851)),
    IF(_xlpm.saldo_atual &gt; 0, IF(RANDBETWEEN(0,10)&gt;3,"Saida","Entrada"), "Entrada")
  ),
  Tabela_Movimentacao_Geral[[#This Row],[Tipo Fluxo]]
)</f>
        <v>Saida</v>
      </c>
      <c r="D8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8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852" t="str">
        <f ca="1">IF(
  $O$7="Desbloqueado",
  "PROD"&amp;TEXT(RANDBETWEEN(1,200),"000"),
  Tabela_Movimentacao_Geral[[#This Row],[ID Produto]]
)</f>
        <v>PROD105</v>
      </c>
      <c r="G852" t="str">
        <f ca="1">_xlfn.XLOOKUP(Tabela_Movimentacao_Geral[[#This Row],[ID Produto]], Tabela_Produtos[ID_Produto],Tabela_Produtos[Descricao_Produto],"Produto não encontrado")</f>
        <v>Notebook i3 8GB SSD</v>
      </c>
      <c r="H852" cm="1">
        <f t="array" aca="1" ref="H852" ca="1">IF(
   $O$7="Desbloqueado",
   _xlfn.LET(
     _xlpm.saldo_atual, SUM(($C$2:$C851="Entrada")*($F$2:$F851=Tabela_Movimentacao_Geral[[#This Row],[ID Produto]])*($H$2:$H851) - ($C$2:$C851="Saida")*($F$2:$F851=Tabela_Movimentacao_Geral[[#This Row],[ID Produto]])*($H$2:$H851)),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852" s="5">
        <f ca="1">_xlfn.XLOOKUP(Tabela_Movimentacao_Geral[[#This Row],[ID Produto]], Tabela_Produtos[ID_Produto],Tabela_Produtos[Preco_Unitario_Venda])</f>
        <v>2600</v>
      </c>
      <c r="J852" s="6">
        <f ca="1">Tabela_Movimentacao_Geral[[#This Row],[Quantidade]] * Tabela_Movimentacao_Geral[[#This Row],[Valor Unitário]]</f>
        <v>5200</v>
      </c>
      <c r="K852" t="str">
        <f ca="1">IF(
   $O$7="Desbloqueado",
   CHOOSE(RANDBETWEEN(1,3),"Pago","Pendente","Atrasado"),
   Tabela_Movimentacao_Geral[[#This Row],[Status Financeiro]]
)</f>
        <v>Atrasado</v>
      </c>
      <c r="L852" t="str">
        <f ca="1">IF(
   $O$7="Desbloqueado",
   CHOOSE(RANDBETWEEN(1,3),"Entregue","Em Rota","Aguardando"),
   Tabela_Movimentacao_Geral[[#This Row],[Status Logistico]]
)</f>
        <v>Em Rota</v>
      </c>
      <c r="M8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3" spans="1:13" x14ac:dyDescent="0.3">
      <c r="A853" t="str">
        <f t="shared" si="12"/>
        <v>T0852</v>
      </c>
      <c r="B853" s="1">
        <v>46059</v>
      </c>
      <c r="C853" t="str" cm="1">
        <f t="array" aca="1" ref="C853" ca="1">IF($O$7="Desbloqueado",
  _xlfn.LET(
    _xlpm.saldo_atual, SUM(($C$2:$C852="Entrada")*($F$2:$F852=Tabela_Movimentacao_Geral[[#This Row],[ID Produto]])*($H$2:$H852) - ($C$2:$C852="Saida")*($F$2:$F852=Tabela_Movimentacao_Geral[[#This Row],[ID Produto]])*($H$2:$H852)),
    IF(_xlpm.saldo_atual &gt; 0, IF(RANDBETWEEN(0,10)&gt;3,"Saida","Entrada"), "Entrada")
  ),
  Tabela_Movimentacao_Geral[[#This Row],[Tipo Fluxo]]
)</f>
        <v>Saida</v>
      </c>
      <c r="D8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8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853" t="str">
        <f ca="1">IF(
  $O$7="Desbloqueado",
  "PROD"&amp;TEXT(RANDBETWEEN(1,200),"000"),
  Tabela_Movimentacao_Geral[[#This Row],[ID Produto]]
)</f>
        <v>PROD184</v>
      </c>
      <c r="G853" t="str">
        <f ca="1">_xlfn.XLOOKUP(Tabela_Movimentacao_Geral[[#This Row],[ID Produto]], Tabela_Produtos[ID_Produto],Tabela_Produtos[Descricao_Produto],"Produto não encontrado")</f>
        <v>Cabo Serial Console</v>
      </c>
      <c r="H853" cm="1">
        <f t="array" aca="1" ref="H853" ca="1">IF(
   $O$7="Desbloqueado",
   _xlfn.LET(
     _xlpm.saldo_atual, SUM(($C$2:$C852="Entrada")*($F$2:$F852=Tabela_Movimentacao_Geral[[#This Row],[ID Produto]])*($H$2:$H852) - ($C$2:$C852="Saida")*($F$2:$F852=Tabela_Movimentacao_Geral[[#This Row],[ID Produto]])*($H$2:$H852)),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853" s="5">
        <f ca="1">_xlfn.XLOOKUP(Tabela_Movimentacao_Geral[[#This Row],[ID Produto]], Tabela_Produtos[ID_Produto],Tabela_Produtos[Preco_Unitario_Venda])</f>
        <v>45</v>
      </c>
      <c r="J853" s="6">
        <f ca="1">Tabela_Movimentacao_Geral[[#This Row],[Quantidade]] * Tabela_Movimentacao_Geral[[#This Row],[Valor Unitário]]</f>
        <v>180</v>
      </c>
      <c r="K853" t="str">
        <f ca="1">IF(
   $O$7="Desbloqueado",
   CHOOSE(RANDBETWEEN(1,3),"Pago","Pendente","Atrasado"),
   Tabela_Movimentacao_Geral[[#This Row],[Status Financeiro]]
)</f>
        <v>Pago</v>
      </c>
      <c r="L853" t="str">
        <f ca="1">IF(
   $O$7="Desbloqueado",
   CHOOSE(RANDBETWEEN(1,3),"Entregue","Em Rota","Aguardando"),
   Tabela_Movimentacao_Geral[[#This Row],[Status Logistico]]
)</f>
        <v>Aguardando</v>
      </c>
      <c r="M85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4" spans="1:13" x14ac:dyDescent="0.3">
      <c r="A854" t="str">
        <f t="shared" si="12"/>
        <v>T0853</v>
      </c>
      <c r="B854" s="1">
        <v>46059</v>
      </c>
      <c r="C854" t="str" cm="1">
        <f t="array" aca="1" ref="C854" ca="1">IF($O$7="Desbloqueado",
  _xlfn.LET(
    _xlpm.saldo_atual, SUM(($C$2:$C853="Entrada")*($F$2:$F853=Tabela_Movimentacao_Geral[[#This Row],[ID Produto]])*($H$2:$H853) - ($C$2:$C853="Saida")*($F$2:$F853=Tabela_Movimentacao_Geral[[#This Row],[ID Produto]])*($H$2:$H853)),
    IF(_xlpm.saldo_atual &gt; 0, IF(RANDBETWEEN(0,10)&gt;3,"Saida","Entrada"), "Entrada")
  ),
  Tabela_Movimentacao_Geral[[#This Row],[Tipo Fluxo]]
)</f>
        <v>Saida</v>
      </c>
      <c r="D8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8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854" t="str">
        <f ca="1">IF(
  $O$7="Desbloqueado",
  "PROD"&amp;TEXT(RANDBETWEEN(1,200),"000"),
  Tabela_Movimentacao_Geral[[#This Row],[ID Produto]]
)</f>
        <v>PROD102</v>
      </c>
      <c r="G854" t="str">
        <f ca="1">_xlfn.XLOOKUP(Tabela_Movimentacao_Geral[[#This Row],[ID Produto]], Tabela_Produtos[ID_Produto],Tabela_Produtos[Descricao_Produto],"Produto não encontrado")</f>
        <v>Teclado Wireless Logi</v>
      </c>
      <c r="H854" cm="1">
        <f t="array" aca="1" ref="H854" ca="1">IF(
   $O$7="Desbloqueado",
   _xlfn.LET(
     _xlpm.saldo_atual, SUM(($C$2:$C853="Entrada")*($F$2:$F853=Tabela_Movimentacao_Geral[[#This Row],[ID Produto]])*($H$2:$H853) - ($C$2:$C853="Saida")*($F$2:$F853=Tabela_Movimentacao_Geral[[#This Row],[ID Produto]])*($H$2:$H853)),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854" s="5">
        <f ca="1">_xlfn.XLOOKUP(Tabela_Movimentacao_Geral[[#This Row],[ID Produto]], Tabela_Produtos[ID_Produto],Tabela_Produtos[Preco_Unitario_Venda])</f>
        <v>290</v>
      </c>
      <c r="J854" s="6">
        <f ca="1">Tabela_Movimentacao_Geral[[#This Row],[Quantidade]] * Tabela_Movimentacao_Geral[[#This Row],[Valor Unitário]]</f>
        <v>290</v>
      </c>
      <c r="K854" t="str">
        <f ca="1">IF(
   $O$7="Desbloqueado",
   CHOOSE(RANDBETWEEN(1,3),"Pago","Pendente","Atrasado"),
   Tabela_Movimentacao_Geral[[#This Row],[Status Financeiro]]
)</f>
        <v>Atrasado</v>
      </c>
      <c r="L854" t="str">
        <f ca="1">IF(
   $O$7="Desbloqueado",
   CHOOSE(RANDBETWEEN(1,3),"Entregue","Em Rota","Aguardando"),
   Tabela_Movimentacao_Geral[[#This Row],[Status Logistico]]
)</f>
        <v>Em Rota</v>
      </c>
      <c r="M85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5" spans="1:13" x14ac:dyDescent="0.3">
      <c r="A855" t="str">
        <f t="shared" ref="A855:A918" si="13">"T"&amp;TEXT(ROW(A855)-1,"0000")</f>
        <v>T0854</v>
      </c>
      <c r="B855" s="1">
        <v>46059</v>
      </c>
      <c r="C855" t="str" cm="1">
        <f t="array" aca="1" ref="C855" ca="1">IF($O$7="Desbloqueado",
  _xlfn.LET(
    _xlpm.saldo_atual, SUM(($C$2:$C854="Entrada")*($F$2:$F854=Tabela_Movimentacao_Geral[[#This Row],[ID Produto]])*($H$2:$H854) - ($C$2:$C854="Saida")*($F$2:$F854=Tabela_Movimentacao_Geral[[#This Row],[ID Produto]])*($H$2:$H854)),
    IF(_xlpm.saldo_atual &gt; 0, IF(RANDBETWEEN(0,10)&gt;3,"Saida","Entrada"), "Entrada")
  ),
  Tabela_Movimentacao_Geral[[#This Row],[Tipo Fluxo]]
)</f>
        <v>Saida</v>
      </c>
      <c r="D8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8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855" t="str">
        <f ca="1">IF(
  $O$7="Desbloqueado",
  "PROD"&amp;TEXT(RANDBETWEEN(1,200),"000"),
  Tabela_Movimentacao_Geral[[#This Row],[ID Produto]]
)</f>
        <v>PROD187</v>
      </c>
      <c r="G855" t="str">
        <f ca="1">_xlfn.XLOOKUP(Tabela_Movimentacao_Geral[[#This Row],[ID Produto]], Tabela_Produtos[ID_Produto],Tabela_Produtos[Descricao_Produto],"Produto não encontrado")</f>
        <v>Trilho para Servidor Univ</v>
      </c>
      <c r="H855" cm="1">
        <f t="array" aca="1" ref="H855" ca="1">IF(
   $O$7="Desbloqueado",
   _xlfn.LET(
     _xlpm.saldo_atual, SUM(($C$2:$C854="Entrada")*($F$2:$F854=Tabela_Movimentacao_Geral[[#This Row],[ID Produto]])*($H$2:$H854) - ($C$2:$C854="Saida")*($F$2:$F854=Tabela_Movimentacao_Geral[[#This Row],[ID Produto]])*($H$2:$H854)),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855" s="5">
        <f ca="1">_xlfn.XLOOKUP(Tabela_Movimentacao_Geral[[#This Row],[ID Produto]], Tabela_Produtos[ID_Produto],Tabela_Produtos[Preco_Unitario_Venda])</f>
        <v>250</v>
      </c>
      <c r="J855" s="6">
        <f ca="1">Tabela_Movimentacao_Geral[[#This Row],[Quantidade]] * Tabela_Movimentacao_Geral[[#This Row],[Valor Unitário]]</f>
        <v>4500</v>
      </c>
      <c r="K855" t="str">
        <f ca="1">IF(
   $O$7="Desbloqueado",
   CHOOSE(RANDBETWEEN(1,3),"Pago","Pendente","Atrasado"),
   Tabela_Movimentacao_Geral[[#This Row],[Status Financeiro]]
)</f>
        <v>Pendente</v>
      </c>
      <c r="L855" t="str">
        <f ca="1">IF(
   $O$7="Desbloqueado",
   CHOOSE(RANDBETWEEN(1,3),"Entregue","Em Rota","Aguardando"),
   Tabela_Movimentacao_Geral[[#This Row],[Status Logistico]]
)</f>
        <v>Aguardando</v>
      </c>
      <c r="M85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6" spans="1:13" x14ac:dyDescent="0.3">
      <c r="A856" t="str">
        <f t="shared" si="13"/>
        <v>T0855</v>
      </c>
      <c r="B856" s="1">
        <v>46059</v>
      </c>
      <c r="C856" t="str" cm="1">
        <f t="array" aca="1" ref="C856" ca="1">IF($O$7="Desbloqueado",
  _xlfn.LET(
    _xlpm.saldo_atual, SUM(($C$2:$C855="Entrada")*($F$2:$F855=Tabela_Movimentacao_Geral[[#This Row],[ID Produto]])*($H$2:$H855) - ($C$2:$C855="Saida")*($F$2:$F855=Tabela_Movimentacao_Geral[[#This Row],[ID Produto]])*($H$2:$H855)),
    IF(_xlpm.saldo_atual &gt; 0, IF(RANDBETWEEN(0,10)&gt;3,"Saida","Entrada"), "Entrada")
  ),
  Tabela_Movimentacao_Geral[[#This Row],[Tipo Fluxo]]
)</f>
        <v>Entrada</v>
      </c>
      <c r="D8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8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856" t="str">
        <f ca="1">IF(
  $O$7="Desbloqueado",
  "PROD"&amp;TEXT(RANDBETWEEN(1,200),"000"),
  Tabela_Movimentacao_Geral[[#This Row],[ID Produto]]
)</f>
        <v>PROD011</v>
      </c>
      <c r="G856" t="str">
        <f ca="1">_xlfn.XLOOKUP(Tabela_Movimentacao_Geral[[#This Row],[ID Produto]], Tabela_Produtos[ID_Produto],Tabela_Produtos[Descricao_Produto],"Produto não encontrado")</f>
        <v>Memoria RAM 8GB DDR4</v>
      </c>
      <c r="H856" cm="1">
        <f t="array" aca="1" ref="H856" ca="1">IF(
   $O$7="Desbloqueado",
   _xlfn.LET(
     _xlpm.saldo_atual, SUM(($C$2:$C855="Entrada")*($F$2:$F855=Tabela_Movimentacao_Geral[[#This Row],[ID Produto]])*($H$2:$H855) - ($C$2:$C855="Saida")*($F$2:$F855=Tabela_Movimentacao_Geral[[#This Row],[ID Produto]])*($H$2:$H855)),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90</v>
      </c>
      <c r="I856" s="5">
        <f ca="1">_xlfn.XLOOKUP(Tabela_Movimentacao_Geral[[#This Row],[ID Produto]], Tabela_Produtos[ID_Produto],Tabela_Produtos[Preco_Unitario_Venda])</f>
        <v>280</v>
      </c>
      <c r="J856" s="6">
        <f ca="1">Tabela_Movimentacao_Geral[[#This Row],[Quantidade]] * Tabela_Movimentacao_Geral[[#This Row],[Valor Unitário]]</f>
        <v>25200</v>
      </c>
      <c r="K856" t="str">
        <f ca="1">IF(
   $O$7="Desbloqueado",
   CHOOSE(RANDBETWEEN(1,3),"Pago","Pendente","Atrasado"),
   Tabela_Movimentacao_Geral[[#This Row],[Status Financeiro]]
)</f>
        <v>Pendente</v>
      </c>
      <c r="L856" t="str">
        <f ca="1">IF(
   $O$7="Desbloqueado",
   CHOOSE(RANDBETWEEN(1,3),"Entregue","Em Rota","Aguardando"),
   Tabela_Movimentacao_Geral[[#This Row],[Status Logistico]]
)</f>
        <v>Aguardando</v>
      </c>
      <c r="M85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46060</v>
      </c>
    </row>
    <row r="857" spans="1:13" x14ac:dyDescent="0.3">
      <c r="A857" t="str">
        <f t="shared" si="13"/>
        <v>T0856</v>
      </c>
      <c r="B857" s="1">
        <v>46060</v>
      </c>
      <c r="C857" t="str" cm="1">
        <f t="array" aca="1" ref="C857" ca="1">IF($O$7="Desbloqueado",
  _xlfn.LET(
    _xlpm.saldo_atual, SUM(($C$2:$C856="Entrada")*($F$2:$F856=Tabela_Movimentacao_Geral[[#This Row],[ID Produto]])*($H$2:$H856) - ($C$2:$C856="Saida")*($F$2:$F856=Tabela_Movimentacao_Geral[[#This Row],[ID Produto]])*($H$2:$H856)),
    IF(_xlpm.saldo_atual &gt; 0, IF(RANDBETWEEN(0,10)&gt;3,"Saida","Entrada"), "Entrada")
  ),
  Tabela_Movimentacao_Geral[[#This Row],[Tipo Fluxo]]
)</f>
        <v>Saida</v>
      </c>
      <c r="D8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8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857" t="str">
        <f ca="1">IF(
  $O$7="Desbloqueado",
  "PROD"&amp;TEXT(RANDBETWEEN(1,200),"000"),
  Tabela_Movimentacao_Geral[[#This Row],[ID Produto]]
)</f>
        <v>PROD087</v>
      </c>
      <c r="G857" t="str">
        <f ca="1">_xlfn.XLOOKUP(Tabela_Movimentacao_Geral[[#This Row],[ID Produto]], Tabela_Produtos[ID_Produto],Tabela_Produtos[Descricao_Produto],"Produto não encontrado")</f>
        <v>Patch Panel 24 Portas</v>
      </c>
      <c r="H857" cm="1">
        <f t="array" aca="1" ref="H857" ca="1">IF(
   $O$7="Desbloqueado",
   _xlfn.LET(
     _xlpm.saldo_atual, SUM(($C$2:$C856="Entrada")*($F$2:$F856=Tabela_Movimentacao_Geral[[#This Row],[ID Produto]])*($H$2:$H856) - ($C$2:$C856="Saida")*($F$2:$F856=Tabela_Movimentacao_Geral[[#This Row],[ID Produto]])*($H$2:$H856)),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857" s="5">
        <f ca="1">_xlfn.XLOOKUP(Tabela_Movimentacao_Geral[[#This Row],[ID Produto]], Tabela_Produtos[ID_Produto],Tabela_Produtos[Preco_Unitario_Venda])</f>
        <v>450</v>
      </c>
      <c r="J857" s="6">
        <f ca="1">Tabela_Movimentacao_Geral[[#This Row],[Quantidade]] * Tabela_Movimentacao_Geral[[#This Row],[Valor Unitário]]</f>
        <v>1800</v>
      </c>
      <c r="K857" t="str">
        <f ca="1">IF(
   $O$7="Desbloqueado",
   CHOOSE(RANDBETWEEN(1,3),"Pago","Pendente","Atrasado"),
   Tabela_Movimentacao_Geral[[#This Row],[Status Financeiro]]
)</f>
        <v>Pago</v>
      </c>
      <c r="L857" t="str">
        <f ca="1">IF(
   $O$7="Desbloqueado",
   CHOOSE(RANDBETWEEN(1,3),"Entregue","Em Rota","Aguardando"),
   Tabela_Movimentacao_Geral[[#This Row],[Status Logistico]]
)</f>
        <v>Entregue</v>
      </c>
      <c r="M85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8" spans="1:13" x14ac:dyDescent="0.3">
      <c r="A858" t="str">
        <f t="shared" si="13"/>
        <v>T0857</v>
      </c>
      <c r="B858" s="1">
        <v>46061</v>
      </c>
      <c r="C858" t="str" cm="1">
        <f t="array" aca="1" ref="C858" ca="1">IF($O$7="Desbloqueado",
  _xlfn.LET(
    _xlpm.saldo_atual, SUM(($C$2:$C857="Entrada")*($F$2:$F857=Tabela_Movimentacao_Geral[[#This Row],[ID Produto]])*($H$2:$H857) - ($C$2:$C857="Saida")*($F$2:$F857=Tabela_Movimentacao_Geral[[#This Row],[ID Produto]])*($H$2:$H857)),
    IF(_xlpm.saldo_atual &gt; 0, IF(RANDBETWEEN(0,10)&gt;3,"Saida","Entrada"), "Entrada")
  ),
  Tabela_Movimentacao_Geral[[#This Row],[Tipo Fluxo]]
)</f>
        <v>Saida</v>
      </c>
      <c r="D8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8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858" t="str">
        <f ca="1">IF(
  $O$7="Desbloqueado",
  "PROD"&amp;TEXT(RANDBETWEEN(1,200),"000"),
  Tabela_Movimentacao_Geral[[#This Row],[ID Produto]]
)</f>
        <v>PROD030</v>
      </c>
      <c r="G858" t="str">
        <f ca="1">_xlfn.XLOOKUP(Tabela_Movimentacao_Geral[[#This Row],[ID Produto]], Tabela_Produtos[ID_Produto],Tabela_Produtos[Descricao_Produto],"Produto não encontrado")</f>
        <v>Mochila para Notebook 15.6</v>
      </c>
      <c r="H858" cm="1">
        <f t="array" aca="1" ref="H858" ca="1">IF(
   $O$7="Desbloqueado",
   _xlfn.LET(
     _xlpm.saldo_atual, SUM(($C$2:$C857="Entrada")*($F$2:$F857=Tabela_Movimentacao_Geral[[#This Row],[ID Produto]])*($H$2:$H857) - ($C$2:$C857="Saida")*($F$2:$F857=Tabela_Movimentacao_Geral[[#This Row],[ID Produto]])*($H$2:$H857)),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858" s="5">
        <f ca="1">_xlfn.XLOOKUP(Tabela_Movimentacao_Geral[[#This Row],[ID Produto]], Tabela_Produtos[ID_Produto],Tabela_Produtos[Preco_Unitario_Venda])</f>
        <v>250</v>
      </c>
      <c r="J858" s="6">
        <f ca="1">Tabela_Movimentacao_Geral[[#This Row],[Quantidade]] * Tabela_Movimentacao_Geral[[#This Row],[Valor Unitário]]</f>
        <v>500</v>
      </c>
      <c r="K858" t="str">
        <f ca="1">IF(
   $O$7="Desbloqueado",
   CHOOSE(RANDBETWEEN(1,3),"Pago","Pendente","Atrasado"),
   Tabela_Movimentacao_Geral[[#This Row],[Status Financeiro]]
)</f>
        <v>Pendente</v>
      </c>
      <c r="L858" t="str">
        <f ca="1">IF(
   $O$7="Desbloqueado",
   CHOOSE(RANDBETWEEN(1,3),"Entregue","Em Rota","Aguardando"),
   Tabela_Movimentacao_Geral[[#This Row],[Status Logistico]]
)</f>
        <v>Aguardando</v>
      </c>
      <c r="M85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59" spans="1:13" x14ac:dyDescent="0.3">
      <c r="A859" t="str">
        <f t="shared" si="13"/>
        <v>T0858</v>
      </c>
      <c r="B859" s="1">
        <v>46061</v>
      </c>
      <c r="C859" t="str" cm="1">
        <f t="array" aca="1" ref="C859" ca="1">IF($O$7="Desbloqueado",
  _xlfn.LET(
    _xlpm.saldo_atual, SUM(($C$2:$C858="Entrada")*($F$2:$F858=Tabela_Movimentacao_Geral[[#This Row],[ID Produto]])*($H$2:$H858) - ($C$2:$C858="Saida")*($F$2:$F858=Tabela_Movimentacao_Geral[[#This Row],[ID Produto]])*($H$2:$H858)),
    IF(_xlpm.saldo_atual &gt; 0, IF(RANDBETWEEN(0,10)&gt;3,"Saida","Entrada"), "Entrada")
  ),
  Tabela_Movimentacao_Geral[[#This Row],[Tipo Fluxo]]
)</f>
        <v>Saida</v>
      </c>
      <c r="D8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59" t="str">
        <f ca="1">IF(
  $O$7="Desbloqueado",
  "PROD"&amp;TEXT(RANDBETWEEN(1,200),"000"),
  Tabela_Movimentacao_Geral[[#This Row],[ID Produto]]
)</f>
        <v>PROD178</v>
      </c>
      <c r="G859" t="str">
        <f ca="1">_xlfn.XLOOKUP(Tabela_Movimentacao_Geral[[#This Row],[ID Produto]], Tabela_Produtos[ID_Produto],Tabela_Produtos[Descricao_Produto],"Produto não encontrado")</f>
        <v>Armario de Aco 2 Portas</v>
      </c>
      <c r="H859" cm="1">
        <f t="array" aca="1" ref="H859" ca="1">IF(
   $O$7="Desbloqueado",
   _xlfn.LET(
     _xlpm.saldo_atual, SUM(($C$2:$C858="Entrada")*($F$2:$F858=Tabela_Movimentacao_Geral[[#This Row],[ID Produto]])*($H$2:$H858) - ($C$2:$C858="Saida")*($F$2:$F858=Tabela_Movimentacao_Geral[[#This Row],[ID Produto]])*($H$2:$H858)),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859" s="5">
        <f ca="1">_xlfn.XLOOKUP(Tabela_Movimentacao_Geral[[#This Row],[ID Produto]], Tabela_Produtos[ID_Produto],Tabela_Produtos[Preco_Unitario_Venda])</f>
        <v>850</v>
      </c>
      <c r="J859" s="6">
        <f ca="1">Tabela_Movimentacao_Geral[[#This Row],[Quantidade]] * Tabela_Movimentacao_Geral[[#This Row],[Valor Unitário]]</f>
        <v>8500</v>
      </c>
      <c r="K859" t="str">
        <f ca="1">IF(
   $O$7="Desbloqueado",
   CHOOSE(RANDBETWEEN(1,3),"Pago","Pendente","Atrasado"),
   Tabela_Movimentacao_Geral[[#This Row],[Status Financeiro]]
)</f>
        <v>Pendente</v>
      </c>
      <c r="L859" t="str">
        <f ca="1">IF(
   $O$7="Desbloqueado",
   CHOOSE(RANDBETWEEN(1,3),"Entregue","Em Rota","Aguardando"),
   Tabela_Movimentacao_Geral[[#This Row],[Status Logistico]]
)</f>
        <v>Aguardando</v>
      </c>
      <c r="M85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0" spans="1:13" x14ac:dyDescent="0.3">
      <c r="A860" t="str">
        <f t="shared" si="13"/>
        <v>T0859</v>
      </c>
      <c r="B860" s="1">
        <v>46062</v>
      </c>
      <c r="C860" t="str" cm="1">
        <f t="array" aca="1" ref="C860" ca="1">IF($O$7="Desbloqueado",
  _xlfn.LET(
    _xlpm.saldo_atual, SUM(($C$2:$C859="Entrada")*($F$2:$F859=Tabela_Movimentacao_Geral[[#This Row],[ID Produto]])*($H$2:$H859) - ($C$2:$C859="Saida")*($F$2:$F859=Tabela_Movimentacao_Geral[[#This Row],[ID Produto]])*($H$2:$H859)),
    IF(_xlpm.saldo_atual &gt; 0, IF(RANDBETWEEN(0,10)&gt;3,"Saida","Entrada"), "Entrada")
  ),
  Tabela_Movimentacao_Geral[[#This Row],[Tipo Fluxo]]
)</f>
        <v>Saida</v>
      </c>
      <c r="D8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8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860" t="str">
        <f ca="1">IF(
  $O$7="Desbloqueado",
  "PROD"&amp;TEXT(RANDBETWEEN(1,200),"000"),
  Tabela_Movimentacao_Geral[[#This Row],[ID Produto]]
)</f>
        <v>PROD014</v>
      </c>
      <c r="G860" t="str">
        <f ca="1">_xlfn.XLOOKUP(Tabela_Movimentacao_Geral[[#This Row],[ID Produto]], Tabela_Produtos[ID_Produto],Tabela_Produtos[Descricao_Produto],"Produto não encontrado")</f>
        <v>Roteador Wi-Fi 6</v>
      </c>
      <c r="H860" cm="1">
        <f t="array" aca="1" ref="H860" ca="1">IF(
   $O$7="Desbloqueado",
   _xlfn.LET(
     _xlpm.saldo_atual, SUM(($C$2:$C859="Entrada")*($F$2:$F859=Tabela_Movimentacao_Geral[[#This Row],[ID Produto]])*($H$2:$H859) - ($C$2:$C859="Saida")*($F$2:$F859=Tabela_Movimentacao_Geral[[#This Row],[ID Produto]])*($H$2:$H859)),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860" s="5">
        <f ca="1">_xlfn.XLOOKUP(Tabela_Movimentacao_Geral[[#This Row],[ID Produto]], Tabela_Produtos[ID_Produto],Tabela_Produtos[Preco_Unitario_Venda])</f>
        <v>650</v>
      </c>
      <c r="J860" s="6">
        <f ca="1">Tabela_Movimentacao_Geral[[#This Row],[Quantidade]] * Tabela_Movimentacao_Geral[[#This Row],[Valor Unitário]]</f>
        <v>34450</v>
      </c>
      <c r="K860" t="str">
        <f ca="1">IF(
   $O$7="Desbloqueado",
   CHOOSE(RANDBETWEEN(1,3),"Pago","Pendente","Atrasado"),
   Tabela_Movimentacao_Geral[[#This Row],[Status Financeiro]]
)</f>
        <v>Pendente</v>
      </c>
      <c r="L860" t="str">
        <f ca="1">IF(
   $O$7="Desbloqueado",
   CHOOSE(RANDBETWEEN(1,3),"Entregue","Em Rota","Aguardando"),
   Tabela_Movimentacao_Geral[[#This Row],[Status Logistico]]
)</f>
        <v>Em Rota</v>
      </c>
      <c r="M86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1" spans="1:13" x14ac:dyDescent="0.3">
      <c r="A861" t="str">
        <f t="shared" si="13"/>
        <v>T0860</v>
      </c>
      <c r="B861" s="1">
        <v>46062</v>
      </c>
      <c r="C861" t="str" cm="1">
        <f t="array" aca="1" ref="C861" ca="1">IF($O$7="Desbloqueado",
  _xlfn.LET(
    _xlpm.saldo_atual, SUM(($C$2:$C860="Entrada")*($F$2:$F860=Tabela_Movimentacao_Geral[[#This Row],[ID Produto]])*($H$2:$H860) - ($C$2:$C860="Saida")*($F$2:$F860=Tabela_Movimentacao_Geral[[#This Row],[ID Produto]])*($H$2:$H860)),
    IF(_xlpm.saldo_atual &gt; 0, IF(RANDBETWEEN(0,10)&gt;3,"Saida","Entrada"), "Entrada")
  ),
  Tabela_Movimentacao_Geral[[#This Row],[Tipo Fluxo]]
)</f>
        <v>Saida</v>
      </c>
      <c r="D8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61" t="str">
        <f ca="1">IF(
  $O$7="Desbloqueado",
  "PROD"&amp;TEXT(RANDBETWEEN(1,200),"000"),
  Tabela_Movimentacao_Geral[[#This Row],[ID Produto]]
)</f>
        <v>PROD069</v>
      </c>
      <c r="G861" t="str">
        <f ca="1">_xlfn.XLOOKUP(Tabela_Movimentacao_Geral[[#This Row],[ID Produto]], Tabela_Produtos[ID_Produto],Tabela_Produtos[Descricao_Produto],"Produto não encontrado")</f>
        <v>Apagador para Quadro</v>
      </c>
      <c r="H861" cm="1">
        <f t="array" aca="1" ref="H861" ca="1">IF(
   $O$7="Desbloqueado",
   _xlfn.LET(
     _xlpm.saldo_atual, SUM(($C$2:$C860="Entrada")*($F$2:$F860=Tabela_Movimentacao_Geral[[#This Row],[ID Produto]])*($H$2:$H860) - ($C$2:$C860="Saida")*($F$2:$F860=Tabela_Movimentacao_Geral[[#This Row],[ID Produto]])*($H$2:$H860)),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861" s="5">
        <f ca="1">_xlfn.XLOOKUP(Tabela_Movimentacao_Geral[[#This Row],[ID Produto]], Tabela_Produtos[ID_Produto],Tabela_Produtos[Preco_Unitario_Venda])</f>
        <v>15</v>
      </c>
      <c r="J861" s="6">
        <f ca="1">Tabela_Movimentacao_Geral[[#This Row],[Quantidade]] * Tabela_Movimentacao_Geral[[#This Row],[Valor Unitário]]</f>
        <v>30</v>
      </c>
      <c r="K861" t="str">
        <f ca="1">IF(
   $O$7="Desbloqueado",
   CHOOSE(RANDBETWEEN(1,3),"Pago","Pendente","Atrasado"),
   Tabela_Movimentacao_Geral[[#This Row],[Status Financeiro]]
)</f>
        <v>Atrasado</v>
      </c>
      <c r="L861" t="str">
        <f ca="1">IF(
   $O$7="Desbloqueado",
   CHOOSE(RANDBETWEEN(1,3),"Entregue","Em Rota","Aguardando"),
   Tabela_Movimentacao_Geral[[#This Row],[Status Logistico]]
)</f>
        <v>Em Rota</v>
      </c>
      <c r="M86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2" spans="1:13" x14ac:dyDescent="0.3">
      <c r="A862" t="str">
        <f t="shared" si="13"/>
        <v>T0861</v>
      </c>
      <c r="B862" s="1">
        <v>46064</v>
      </c>
      <c r="C862" t="str" cm="1">
        <f t="array" aca="1" ref="C862" ca="1">IF($O$7="Desbloqueado",
  _xlfn.LET(
    _xlpm.saldo_atual, SUM(($C$2:$C861="Entrada")*($F$2:$F861=Tabela_Movimentacao_Geral[[#This Row],[ID Produto]])*($H$2:$H861) - ($C$2:$C861="Saida")*($F$2:$F861=Tabela_Movimentacao_Geral[[#This Row],[ID Produto]])*($H$2:$H861)),
    IF(_xlpm.saldo_atual &gt; 0, IF(RANDBETWEEN(0,10)&gt;3,"Saida","Entrada"), "Entrada")
  ),
  Tabela_Movimentacao_Geral[[#This Row],[Tipo Fluxo]]
)</f>
        <v>Entrada</v>
      </c>
      <c r="D8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8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862" t="str">
        <f ca="1">IF(
  $O$7="Desbloqueado",
  "PROD"&amp;TEXT(RANDBETWEEN(1,200),"000"),
  Tabela_Movimentacao_Geral[[#This Row],[ID Produto]]
)</f>
        <v>PROD198</v>
      </c>
      <c r="G862" t="str">
        <f ca="1">_xlfn.XLOOKUP(Tabela_Movimentacao_Geral[[#This Row],[ID Produto]], Tabela_Produtos[ID_Produto],Tabela_Produtos[Descricao_Produto],"Produto não encontrado")</f>
        <v>Ferro de Solda 40W</v>
      </c>
      <c r="H862" cm="1">
        <f t="array" aca="1" ref="H862" ca="1">IF(
   $O$7="Desbloqueado",
   _xlfn.LET(
     _xlpm.saldo_atual, SUM(($C$2:$C861="Entrada")*($F$2:$F861=Tabela_Movimentacao_Geral[[#This Row],[ID Produto]])*($H$2:$H861) - ($C$2:$C861="Saida")*($F$2:$F861=Tabela_Movimentacao_Geral[[#This Row],[ID Produto]])*($H$2:$H861)),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862" s="5">
        <f ca="1">_xlfn.XLOOKUP(Tabela_Movimentacao_Geral[[#This Row],[ID Produto]], Tabela_Produtos[ID_Produto],Tabela_Produtos[Preco_Unitario_Venda])</f>
        <v>55</v>
      </c>
      <c r="J862" s="6">
        <f ca="1">Tabela_Movimentacao_Geral[[#This Row],[Quantidade]] * Tabela_Movimentacao_Geral[[#This Row],[Valor Unitário]]</f>
        <v>1045</v>
      </c>
      <c r="K862" t="str">
        <f ca="1">IF(
   $O$7="Desbloqueado",
   CHOOSE(RANDBETWEEN(1,3),"Pago","Pendente","Atrasado"),
   Tabela_Movimentacao_Geral[[#This Row],[Status Financeiro]]
)</f>
        <v>Atrasado</v>
      </c>
      <c r="L862" t="str">
        <f ca="1">IF(
   $O$7="Desbloqueado",
   CHOOSE(RANDBETWEEN(1,3),"Entregue","Em Rota","Aguardando"),
   Tabela_Movimentacao_Geral[[#This Row],[Status Logistico]]
)</f>
        <v>Em Rota</v>
      </c>
      <c r="M86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46066</v>
      </c>
    </row>
    <row r="863" spans="1:13" x14ac:dyDescent="0.3">
      <c r="A863" t="str">
        <f t="shared" si="13"/>
        <v>T0862</v>
      </c>
      <c r="B863" s="1">
        <v>46064</v>
      </c>
      <c r="C863" t="str" cm="1">
        <f t="array" aca="1" ref="C863" ca="1">IF($O$7="Desbloqueado",
  _xlfn.LET(
    _xlpm.saldo_atual, SUM(($C$2:$C862="Entrada")*($F$2:$F862=Tabela_Movimentacao_Geral[[#This Row],[ID Produto]])*($H$2:$H862) - ($C$2:$C862="Saida")*($F$2:$F862=Tabela_Movimentacao_Geral[[#This Row],[ID Produto]])*($H$2:$H862)),
    IF(_xlpm.saldo_atual &gt; 0, IF(RANDBETWEEN(0,10)&gt;3,"Saida","Entrada"), "Entrada")
  ),
  Tabela_Movimentacao_Geral[[#This Row],[Tipo Fluxo]]
)</f>
        <v>Entrada</v>
      </c>
      <c r="D8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8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863" t="str">
        <f ca="1">IF(
  $O$7="Desbloqueado",
  "PROD"&amp;TEXT(RANDBETWEEN(1,200),"000"),
  Tabela_Movimentacao_Geral[[#This Row],[ID Produto]]
)</f>
        <v>PROD090</v>
      </c>
      <c r="G863" t="str">
        <f ca="1">_xlfn.XLOOKUP(Tabela_Movimentacao_Geral[[#This Row],[ID Produto]], Tabela_Produtos[ID_Produto],Tabela_Produtos[Descricao_Produto],"Produto não encontrado")</f>
        <v>Bandeja Fixa para Rack</v>
      </c>
      <c r="H863" cm="1">
        <f t="array" aca="1" ref="H863" ca="1">IF(
   $O$7="Desbloqueado",
   _xlfn.LET(
     _xlpm.saldo_atual, SUM(($C$2:$C862="Entrada")*($F$2:$F862=Tabela_Movimentacao_Geral[[#This Row],[ID Produto]])*($H$2:$H862) - ($C$2:$C862="Saida")*($F$2:$F862=Tabela_Movimentacao_Geral[[#This Row],[ID Produto]])*($H$2:$H862)),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863" s="5">
        <f ca="1">_xlfn.XLOOKUP(Tabela_Movimentacao_Geral[[#This Row],[ID Produto]], Tabela_Produtos[ID_Produto],Tabela_Produtos[Preco_Unitario_Venda])</f>
        <v>140</v>
      </c>
      <c r="J863" s="6">
        <f ca="1">Tabela_Movimentacao_Geral[[#This Row],[Quantidade]] * Tabela_Movimentacao_Geral[[#This Row],[Valor Unitário]]</f>
        <v>420</v>
      </c>
      <c r="K863" t="str">
        <f ca="1">IF(
   $O$7="Desbloqueado",
   CHOOSE(RANDBETWEEN(1,3),"Pago","Pendente","Atrasado"),
   Tabela_Movimentacao_Geral[[#This Row],[Status Financeiro]]
)</f>
        <v>Pendente</v>
      </c>
      <c r="L863" t="str">
        <f ca="1">IF(
   $O$7="Desbloqueado",
   CHOOSE(RANDBETWEEN(1,3),"Entregue","Em Rota","Aguardando"),
   Tabela_Movimentacao_Geral[[#This Row],[Status Logistico]]
)</f>
        <v>Entregue</v>
      </c>
      <c r="M86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46074</v>
      </c>
    </row>
    <row r="864" spans="1:13" x14ac:dyDescent="0.3">
      <c r="A864" t="str">
        <f t="shared" si="13"/>
        <v>T0863</v>
      </c>
      <c r="B864" s="1">
        <v>46066</v>
      </c>
      <c r="C864" t="str" cm="1">
        <f t="array" aca="1" ref="C864" ca="1">IF($O$7="Desbloqueado",
  _xlfn.LET(
    _xlpm.saldo_atual, SUM(($C$2:$C863="Entrada")*($F$2:$F863=Tabela_Movimentacao_Geral[[#This Row],[ID Produto]])*($H$2:$H863) - ($C$2:$C863="Saida")*($F$2:$F863=Tabela_Movimentacao_Geral[[#This Row],[ID Produto]])*($H$2:$H863)),
    IF(_xlpm.saldo_atual &gt; 0, IF(RANDBETWEEN(0,10)&gt;3,"Saida","Entrada"), "Entrada")
  ),
  Tabela_Movimentacao_Geral[[#This Row],[Tipo Fluxo]]
)</f>
        <v>Saida</v>
      </c>
      <c r="D8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8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864" t="str">
        <f ca="1">IF(
  $O$7="Desbloqueado",
  "PROD"&amp;TEXT(RANDBETWEEN(1,200),"000"),
  Tabela_Movimentacao_Geral[[#This Row],[ID Produto]]
)</f>
        <v>PROD157</v>
      </c>
      <c r="G864" t="str">
        <f ca="1">_xlfn.XLOOKUP(Tabela_Movimentacao_Geral[[#This Row],[ID Produto]], Tabela_Produtos[ID_Produto],Tabela_Produtos[Descricao_Produto],"Produto não encontrado")</f>
        <v>Fita Dupla Face 3M</v>
      </c>
      <c r="H864" cm="1">
        <f t="array" aca="1" ref="H864" ca="1">IF(
   $O$7="Desbloqueado",
   _xlfn.LET(
     _xlpm.saldo_atual, SUM(($C$2:$C863="Entrada")*($F$2:$F863=Tabela_Movimentacao_Geral[[#This Row],[ID Produto]])*($H$2:$H863) - ($C$2:$C863="Saida")*($F$2:$F863=Tabela_Movimentacao_Geral[[#This Row],[ID Produto]])*($H$2:$H863)),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864" s="5">
        <f ca="1">_xlfn.XLOOKUP(Tabela_Movimentacao_Geral[[#This Row],[ID Produto]], Tabela_Produtos[ID_Produto],Tabela_Produtos[Preco_Unitario_Venda])</f>
        <v>28</v>
      </c>
      <c r="J864" s="6">
        <f ca="1">Tabela_Movimentacao_Geral[[#This Row],[Quantidade]] * Tabela_Movimentacao_Geral[[#This Row],[Valor Unitário]]</f>
        <v>644</v>
      </c>
      <c r="K864" t="str">
        <f ca="1">IF(
   $O$7="Desbloqueado",
   CHOOSE(RANDBETWEEN(1,3),"Pago","Pendente","Atrasado"),
   Tabela_Movimentacao_Geral[[#This Row],[Status Financeiro]]
)</f>
        <v>Pendente</v>
      </c>
      <c r="L864" t="str">
        <f ca="1">IF(
   $O$7="Desbloqueado",
   CHOOSE(RANDBETWEEN(1,3),"Entregue","Em Rota","Aguardando"),
   Tabela_Movimentacao_Geral[[#This Row],[Status Logistico]]
)</f>
        <v>Entregue</v>
      </c>
      <c r="M86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5" spans="1:13" x14ac:dyDescent="0.3">
      <c r="A865" t="str">
        <f t="shared" si="13"/>
        <v>T0864</v>
      </c>
      <c r="B865" s="1">
        <v>46066</v>
      </c>
      <c r="C865" t="str" cm="1">
        <f t="array" aca="1" ref="C865" ca="1">IF($O$7="Desbloqueado",
  _xlfn.LET(
    _xlpm.saldo_atual, SUM(($C$2:$C864="Entrada")*($F$2:$F864=Tabela_Movimentacao_Geral[[#This Row],[ID Produto]])*($H$2:$H864) - ($C$2:$C864="Saida")*($F$2:$F864=Tabela_Movimentacao_Geral[[#This Row],[ID Produto]])*($H$2:$H864)),
    IF(_xlpm.saldo_atual &gt; 0, IF(RANDBETWEEN(0,10)&gt;3,"Saida","Entrada"), "Entrada")
  ),
  Tabela_Movimentacao_Geral[[#This Row],[Tipo Fluxo]]
)</f>
        <v>Saida</v>
      </c>
      <c r="D8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8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865" t="str">
        <f ca="1">IF(
  $O$7="Desbloqueado",
  "PROD"&amp;TEXT(RANDBETWEEN(1,200),"000"),
  Tabela_Movimentacao_Geral[[#This Row],[ID Produto]]
)</f>
        <v>PROD098</v>
      </c>
      <c r="G865" t="str">
        <f ca="1">_xlfn.XLOOKUP(Tabela_Movimentacao_Geral[[#This Row],[ID Produto]], Tabela_Produtos[ID_Produto],Tabela_Produtos[Descricao_Produto],"Produto não encontrado")</f>
        <v>Gravador NVR 8 Canais</v>
      </c>
      <c r="H865" cm="1">
        <f t="array" aca="1" ref="H865" ca="1">IF(
   $O$7="Desbloqueado",
   _xlfn.LET(
     _xlpm.saldo_atual, SUM(($C$2:$C864="Entrada")*($F$2:$F864=Tabela_Movimentacao_Geral[[#This Row],[ID Produto]])*($H$2:$H864) - ($C$2:$C864="Saida")*($F$2:$F864=Tabela_Movimentacao_Geral[[#This Row],[ID Produto]])*($H$2:$H864)),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865" s="5">
        <f ca="1">_xlfn.XLOOKUP(Tabela_Movimentacao_Geral[[#This Row],[ID Produto]], Tabela_Produtos[ID_Produto],Tabela_Produtos[Preco_Unitario_Venda])</f>
        <v>1550</v>
      </c>
      <c r="J865" s="6">
        <f ca="1">Tabela_Movimentacao_Geral[[#This Row],[Quantidade]] * Tabela_Movimentacao_Geral[[#This Row],[Valor Unitário]]</f>
        <v>15500</v>
      </c>
      <c r="K865" t="str">
        <f ca="1">IF(
   $O$7="Desbloqueado",
   CHOOSE(RANDBETWEEN(1,3),"Pago","Pendente","Atrasado"),
   Tabela_Movimentacao_Geral[[#This Row],[Status Financeiro]]
)</f>
        <v>Atrasado</v>
      </c>
      <c r="L865" t="str">
        <f ca="1">IF(
   $O$7="Desbloqueado",
   CHOOSE(RANDBETWEEN(1,3),"Entregue","Em Rota","Aguardando"),
   Tabela_Movimentacao_Geral[[#This Row],[Status Logistico]]
)</f>
        <v>Aguardando</v>
      </c>
      <c r="M86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6" spans="1:13" x14ac:dyDescent="0.3">
      <c r="A866" t="str">
        <f t="shared" si="13"/>
        <v>T0865</v>
      </c>
      <c r="B866" s="1">
        <v>46069</v>
      </c>
      <c r="C866" t="str" cm="1">
        <f t="array" aca="1" ref="C866" ca="1">IF($O$7="Desbloqueado",
  _xlfn.LET(
    _xlpm.saldo_atual, SUM(($C$2:$C865="Entrada")*($F$2:$F865=Tabela_Movimentacao_Geral[[#This Row],[ID Produto]])*($H$2:$H865) - ($C$2:$C865="Saida")*($F$2:$F865=Tabela_Movimentacao_Geral[[#This Row],[ID Produto]])*($H$2:$H865)),
    IF(_xlpm.saldo_atual &gt; 0, IF(RANDBETWEEN(0,10)&gt;3,"Saida","Entrada"), "Entrada")
  ),
  Tabela_Movimentacao_Geral[[#This Row],[Tipo Fluxo]]
)</f>
        <v>Saida</v>
      </c>
      <c r="D8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8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866" t="str">
        <f ca="1">IF(
  $O$7="Desbloqueado",
  "PROD"&amp;TEXT(RANDBETWEEN(1,200),"000"),
  Tabela_Movimentacao_Geral[[#This Row],[ID Produto]]
)</f>
        <v>PROD147</v>
      </c>
      <c r="G866" t="str">
        <f ca="1">_xlfn.XLOOKUP(Tabela_Movimentacao_Geral[[#This Row],[ID Produto]], Tabela_Produtos[ID_Produto],Tabela_Produtos[Descricao_Produto],"Produto não encontrado")</f>
        <v>Testador de Cabo de Rede</v>
      </c>
      <c r="H866" cm="1">
        <f t="array" aca="1" ref="H866" ca="1">IF(
   $O$7="Desbloqueado",
   _xlfn.LET(
     _xlpm.saldo_atual, SUM(($C$2:$C865="Entrada")*($F$2:$F865=Tabela_Movimentacao_Geral[[#This Row],[ID Produto]])*($H$2:$H865) - ($C$2:$C865="Saida")*($F$2:$F865=Tabela_Movimentacao_Geral[[#This Row],[ID Produto]])*($H$2:$H865)),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866" s="5">
        <f ca="1">_xlfn.XLOOKUP(Tabela_Movimentacao_Geral[[#This Row],[ID Produto]], Tabela_Produtos[ID_Produto],Tabela_Produtos[Preco_Unitario_Venda])</f>
        <v>65</v>
      </c>
      <c r="J866" s="6">
        <f ca="1">Tabela_Movimentacao_Geral[[#This Row],[Quantidade]] * Tabela_Movimentacao_Geral[[#This Row],[Valor Unitário]]</f>
        <v>65</v>
      </c>
      <c r="K866" t="str">
        <f ca="1">IF(
   $O$7="Desbloqueado",
   CHOOSE(RANDBETWEEN(1,3),"Pago","Pendente","Atrasado"),
   Tabela_Movimentacao_Geral[[#This Row],[Status Financeiro]]
)</f>
        <v>Pago</v>
      </c>
      <c r="L866" t="str">
        <f ca="1">IF(
   $O$7="Desbloqueado",
   CHOOSE(RANDBETWEEN(1,3),"Entregue","Em Rota","Aguardando"),
   Tabela_Movimentacao_Geral[[#This Row],[Status Logistico]]
)</f>
        <v>Em Rota</v>
      </c>
      <c r="M86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7" spans="1:13" x14ac:dyDescent="0.3">
      <c r="A867" t="str">
        <f t="shared" si="13"/>
        <v>T0866</v>
      </c>
      <c r="B867" s="1">
        <v>46069</v>
      </c>
      <c r="C867" t="str" cm="1">
        <f t="array" aca="1" ref="C867" ca="1">IF($O$7="Desbloqueado",
  _xlfn.LET(
    _xlpm.saldo_atual, SUM(($C$2:$C866="Entrada")*($F$2:$F866=Tabela_Movimentacao_Geral[[#This Row],[ID Produto]])*($H$2:$H866) - ($C$2:$C866="Saida")*($F$2:$F866=Tabela_Movimentacao_Geral[[#This Row],[ID Produto]])*($H$2:$H866)),
    IF(_xlpm.saldo_atual &gt; 0, IF(RANDBETWEEN(0,10)&gt;3,"Saida","Entrada"), "Entrada")
  ),
  Tabela_Movimentacao_Geral[[#This Row],[Tipo Fluxo]]
)</f>
        <v>Saida</v>
      </c>
      <c r="D8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67" t="str">
        <f ca="1">IF(
  $O$7="Desbloqueado",
  "PROD"&amp;TEXT(RANDBETWEEN(1,200),"000"),
  Tabela_Movimentacao_Geral[[#This Row],[ID Produto]]
)</f>
        <v>PROD009</v>
      </c>
      <c r="G867" t="str">
        <f ca="1">_xlfn.XLOOKUP(Tabela_Movimentacao_Geral[[#This Row],[ID Produto]], Tabela_Produtos[ID_Produto],Tabela_Produtos[Descricao_Produto],"Produto não encontrado")</f>
        <v>Cabo HDMI 2.0 2m</v>
      </c>
      <c r="H867" cm="1">
        <f t="array" aca="1" ref="H867" ca="1">IF(
   $O$7="Desbloqueado",
   _xlfn.LET(
     _xlpm.saldo_atual, SUM(($C$2:$C866="Entrada")*($F$2:$F866=Tabela_Movimentacao_Geral[[#This Row],[ID Produto]])*($H$2:$H866) - ($C$2:$C866="Saida")*($F$2:$F866=Tabela_Movimentacao_Geral[[#This Row],[ID Produto]])*($H$2:$H866)),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64</v>
      </c>
      <c r="I867" s="5">
        <f ca="1">_xlfn.XLOOKUP(Tabela_Movimentacao_Geral[[#This Row],[ID Produto]], Tabela_Produtos[ID_Produto],Tabela_Produtos[Preco_Unitario_Venda])</f>
        <v>45</v>
      </c>
      <c r="J867" s="6">
        <f ca="1">Tabela_Movimentacao_Geral[[#This Row],[Quantidade]] * Tabela_Movimentacao_Geral[[#This Row],[Valor Unitário]]</f>
        <v>2880</v>
      </c>
      <c r="K867" t="str">
        <f ca="1">IF(
   $O$7="Desbloqueado",
   CHOOSE(RANDBETWEEN(1,3),"Pago","Pendente","Atrasado"),
   Tabela_Movimentacao_Geral[[#This Row],[Status Financeiro]]
)</f>
        <v>Pago</v>
      </c>
      <c r="L867" t="str">
        <f ca="1">IF(
   $O$7="Desbloqueado",
   CHOOSE(RANDBETWEEN(1,3),"Entregue","Em Rota","Aguardando"),
   Tabela_Movimentacao_Geral[[#This Row],[Status Logistico]]
)</f>
        <v>Entregue</v>
      </c>
      <c r="M86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8" spans="1:13" x14ac:dyDescent="0.3">
      <c r="A868" t="str">
        <f t="shared" si="13"/>
        <v>T0867</v>
      </c>
      <c r="B868" s="1">
        <v>46069</v>
      </c>
      <c r="C868" t="str" cm="1">
        <f t="array" aca="1" ref="C868" ca="1">IF($O$7="Desbloqueado",
  _xlfn.LET(
    _xlpm.saldo_atual, SUM(($C$2:$C867="Entrada")*($F$2:$F867=Tabela_Movimentacao_Geral[[#This Row],[ID Produto]])*($H$2:$H867) - ($C$2:$C867="Saida")*($F$2:$F867=Tabela_Movimentacao_Geral[[#This Row],[ID Produto]])*($H$2:$H867)),
    IF(_xlpm.saldo_atual &gt; 0, IF(RANDBETWEEN(0,10)&gt;3,"Saida","Entrada"), "Entrada")
  ),
  Tabela_Movimentacao_Geral[[#This Row],[Tipo Fluxo]]
)</f>
        <v>Saida</v>
      </c>
      <c r="D8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8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868" t="str">
        <f ca="1">IF(
  $O$7="Desbloqueado",
  "PROD"&amp;TEXT(RANDBETWEEN(1,200),"000"),
  Tabela_Movimentacao_Geral[[#This Row],[ID Produto]]
)</f>
        <v>PROD179</v>
      </c>
      <c r="G868" t="str">
        <f ca="1">_xlfn.XLOOKUP(Tabela_Movimentacao_Geral[[#This Row],[ID Produto]], Tabela_Produtos[ID_Produto],Tabela_Produtos[Descricao_Produto],"Produto não encontrado")</f>
        <v>Mesa de Reuniao 2.0m</v>
      </c>
      <c r="H868" cm="1">
        <f t="array" aca="1" ref="H868" ca="1">IF(
   $O$7="Desbloqueado",
   _xlfn.LET(
     _xlpm.saldo_atual, SUM(($C$2:$C867="Entrada")*($F$2:$F867=Tabela_Movimentacao_Geral[[#This Row],[ID Produto]])*($H$2:$H867) - ($C$2:$C867="Saida")*($F$2:$F867=Tabela_Movimentacao_Geral[[#This Row],[ID Produto]])*($H$2:$H867)),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868" s="5">
        <f ca="1">_xlfn.XLOOKUP(Tabela_Movimentacao_Geral[[#This Row],[ID Produto]], Tabela_Produtos[ID_Produto],Tabela_Produtos[Preco_Unitario_Venda])</f>
        <v>1800</v>
      </c>
      <c r="J868" s="6">
        <f ca="1">Tabela_Movimentacao_Geral[[#This Row],[Quantidade]] * Tabela_Movimentacao_Geral[[#This Row],[Valor Unitário]]</f>
        <v>7200</v>
      </c>
      <c r="K868" t="str">
        <f ca="1">IF(
   $O$7="Desbloqueado",
   CHOOSE(RANDBETWEEN(1,3),"Pago","Pendente","Atrasado"),
   Tabela_Movimentacao_Geral[[#This Row],[Status Financeiro]]
)</f>
        <v>Pendente</v>
      </c>
      <c r="L868" t="str">
        <f ca="1">IF(
   $O$7="Desbloqueado",
   CHOOSE(RANDBETWEEN(1,3),"Entregue","Em Rota","Aguardando"),
   Tabela_Movimentacao_Geral[[#This Row],[Status Logistico]]
)</f>
        <v>Entregue</v>
      </c>
      <c r="M86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69" spans="1:13" x14ac:dyDescent="0.3">
      <c r="A869" t="str">
        <f t="shared" si="13"/>
        <v>T0868</v>
      </c>
      <c r="B869" s="1">
        <v>46070</v>
      </c>
      <c r="C869" t="str" cm="1">
        <f t="array" aca="1" ref="C869" ca="1">IF($O$7="Desbloqueado",
  _xlfn.LET(
    _xlpm.saldo_atual, SUM(($C$2:$C868="Entrada")*($F$2:$F868=Tabela_Movimentacao_Geral[[#This Row],[ID Produto]])*($H$2:$H868) - ($C$2:$C868="Saida")*($F$2:$F868=Tabela_Movimentacao_Geral[[#This Row],[ID Produto]])*($H$2:$H868)),
    IF(_xlpm.saldo_atual &gt; 0, IF(RANDBETWEEN(0,10)&gt;3,"Saida","Entrada"), "Entrada")
  ),
  Tabela_Movimentacao_Geral[[#This Row],[Tipo Fluxo]]
)</f>
        <v>Entrada</v>
      </c>
      <c r="D8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8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869" t="str">
        <f ca="1">IF(
  $O$7="Desbloqueado",
  "PROD"&amp;TEXT(RANDBETWEEN(1,200),"000"),
  Tabela_Movimentacao_Geral[[#This Row],[ID Produto]]
)</f>
        <v>PROD048</v>
      </c>
      <c r="G869" t="str">
        <f ca="1">_xlfn.XLOOKUP(Tabela_Movimentacao_Geral[[#This Row],[ID Produto]], Tabela_Produtos[ID_Produto],Tabela_Produtos[Descricao_Produto],"Produto não encontrado")</f>
        <v>Fita para Etiquetadora</v>
      </c>
      <c r="H869" cm="1">
        <f t="array" aca="1" ref="H869" ca="1">IF(
   $O$7="Desbloqueado",
   _xlfn.LET(
     _xlpm.saldo_atual, SUM(($C$2:$C868="Entrada")*($F$2:$F868=Tabela_Movimentacao_Geral[[#This Row],[ID Produto]])*($H$2:$H868) - ($C$2:$C868="Saida")*($F$2:$F868=Tabela_Movimentacao_Geral[[#This Row],[ID Produto]])*($H$2:$H868)),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33</v>
      </c>
      <c r="I869" s="5">
        <f ca="1">_xlfn.XLOOKUP(Tabela_Movimentacao_Geral[[#This Row],[ID Produto]], Tabela_Produtos[ID_Produto],Tabela_Produtos[Preco_Unitario_Venda])</f>
        <v>55</v>
      </c>
      <c r="J869" s="6">
        <f ca="1">Tabela_Movimentacao_Geral[[#This Row],[Quantidade]] * Tabela_Movimentacao_Geral[[#This Row],[Valor Unitário]]</f>
        <v>1815</v>
      </c>
      <c r="K869" t="str">
        <f ca="1">IF(
   $O$7="Desbloqueado",
   CHOOSE(RANDBETWEEN(1,3),"Pago","Pendente","Atrasado"),
   Tabela_Movimentacao_Geral[[#This Row],[Status Financeiro]]
)</f>
        <v>Pago</v>
      </c>
      <c r="L869" t="str">
        <f ca="1">IF(
   $O$7="Desbloqueado",
   CHOOSE(RANDBETWEEN(1,3),"Entregue","Em Rota","Aguardando"),
   Tabela_Movimentacao_Geral[[#This Row],[Status Logistico]]
)</f>
        <v>Aguardando</v>
      </c>
      <c r="M86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46074</v>
      </c>
    </row>
    <row r="870" spans="1:13" x14ac:dyDescent="0.3">
      <c r="A870" t="str">
        <f t="shared" si="13"/>
        <v>T0869</v>
      </c>
      <c r="B870" s="1">
        <v>46070</v>
      </c>
      <c r="C870" t="str" cm="1">
        <f t="array" aca="1" ref="C870" ca="1">IF($O$7="Desbloqueado",
  _xlfn.LET(
    _xlpm.saldo_atual, SUM(($C$2:$C869="Entrada")*($F$2:$F869=Tabela_Movimentacao_Geral[[#This Row],[ID Produto]])*($H$2:$H869) - ($C$2:$C869="Saida")*($F$2:$F869=Tabela_Movimentacao_Geral[[#This Row],[ID Produto]])*($H$2:$H869)),
    IF(_xlpm.saldo_atual &gt; 0, IF(RANDBETWEEN(0,10)&gt;3,"Saida","Entrada"), "Entrada")
  ),
  Tabela_Movimentacao_Geral[[#This Row],[Tipo Fluxo]]
)</f>
        <v>Saida</v>
      </c>
      <c r="D8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70" t="str">
        <f ca="1">IF(
  $O$7="Desbloqueado",
  "PROD"&amp;TEXT(RANDBETWEEN(1,200),"000"),
  Tabela_Movimentacao_Geral[[#This Row],[ID Produto]]
)</f>
        <v>PROD045</v>
      </c>
      <c r="G870" t="str">
        <f ca="1">_xlfn.XLOOKUP(Tabela_Movimentacao_Geral[[#This Row],[ID Produto]], Tabela_Produtos[ID_Produto],Tabela_Produtos[Descricao_Produto],"Produto não encontrado")</f>
        <v>Microfone de Mesa USB</v>
      </c>
      <c r="H870" cm="1">
        <f t="array" aca="1" ref="H870" ca="1">IF(
   $O$7="Desbloqueado",
   _xlfn.LET(
     _xlpm.saldo_atual, SUM(($C$2:$C869="Entrada")*($F$2:$F869=Tabela_Movimentacao_Geral[[#This Row],[ID Produto]])*($H$2:$H869) - ($C$2:$C869="Saida")*($F$2:$F869=Tabela_Movimentacao_Geral[[#This Row],[ID Produto]])*($H$2:$H869)),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870" s="5">
        <f ca="1">_xlfn.XLOOKUP(Tabela_Movimentacao_Geral[[#This Row],[ID Produto]], Tabela_Produtos[ID_Produto],Tabela_Produtos[Preco_Unitario_Venda])</f>
        <v>280</v>
      </c>
      <c r="J870" s="6">
        <f ca="1">Tabela_Movimentacao_Geral[[#This Row],[Quantidade]] * Tabela_Movimentacao_Geral[[#This Row],[Valor Unitário]]</f>
        <v>840</v>
      </c>
      <c r="K870" t="str">
        <f ca="1">IF(
   $O$7="Desbloqueado",
   CHOOSE(RANDBETWEEN(1,3),"Pago","Pendente","Atrasado"),
   Tabela_Movimentacao_Geral[[#This Row],[Status Financeiro]]
)</f>
        <v>Pendente</v>
      </c>
      <c r="L870" t="str">
        <f ca="1">IF(
   $O$7="Desbloqueado",
   CHOOSE(RANDBETWEEN(1,3),"Entregue","Em Rota","Aguardando"),
   Tabela_Movimentacao_Geral[[#This Row],[Status Logistico]]
)</f>
        <v>Em Rota</v>
      </c>
      <c r="M87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71" spans="1:13" x14ac:dyDescent="0.3">
      <c r="A871" t="str">
        <f t="shared" si="13"/>
        <v>T0870</v>
      </c>
      <c r="B871" s="1">
        <v>46071</v>
      </c>
      <c r="C871" t="str" cm="1">
        <f t="array" aca="1" ref="C871" ca="1">IF($O$7="Desbloqueado",
  _xlfn.LET(
    _xlpm.saldo_atual, SUM(($C$2:$C870="Entrada")*($F$2:$F870=Tabela_Movimentacao_Geral[[#This Row],[ID Produto]])*($H$2:$H870) - ($C$2:$C870="Saida")*($F$2:$F870=Tabela_Movimentacao_Geral[[#This Row],[ID Produto]])*($H$2:$H870)),
    IF(_xlpm.saldo_atual &gt; 0, IF(RANDBETWEEN(0,10)&gt;3,"Saida","Entrada"), "Entrada")
  ),
  Tabela_Movimentacao_Geral[[#This Row],[Tipo Fluxo]]
)</f>
        <v>Entrada</v>
      </c>
      <c r="D8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8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871" t="str">
        <f ca="1">IF(
  $O$7="Desbloqueado",
  "PROD"&amp;TEXT(RANDBETWEEN(1,200),"000"),
  Tabela_Movimentacao_Geral[[#This Row],[ID Produto]]
)</f>
        <v>PROD186</v>
      </c>
      <c r="G871" t="str">
        <f ca="1">_xlfn.XLOOKUP(Tabela_Movimentacao_Geral[[#This Row],[ID Produto]], Tabela_Produtos[ID_Produto],Tabela_Produtos[Descricao_Produto],"Produto não encontrado")</f>
        <v>KVM Console Gaveta 17</v>
      </c>
      <c r="H871" cm="1">
        <f t="array" aca="1" ref="H871" ca="1">IF(
   $O$7="Desbloqueado",
   _xlfn.LET(
     _xlpm.saldo_atual, SUM(($C$2:$C870="Entrada")*($F$2:$F870=Tabela_Movimentacao_Geral[[#This Row],[ID Produto]])*($H$2:$H870) - ($C$2:$C870="Saida")*($F$2:$F870=Tabela_Movimentacao_Geral[[#This Row],[ID Produto]])*($H$2:$H870)),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871" s="5">
        <f ca="1">_xlfn.XLOOKUP(Tabela_Movimentacao_Geral[[#This Row],[ID Produto]], Tabela_Produtos[ID_Produto],Tabela_Produtos[Preco_Unitario_Venda])</f>
        <v>6800</v>
      </c>
      <c r="J871" s="6">
        <f ca="1">Tabela_Movimentacao_Geral[[#This Row],[Quantidade]] * Tabela_Movimentacao_Geral[[#This Row],[Valor Unitário]]</f>
        <v>115600</v>
      </c>
      <c r="K871" t="str">
        <f ca="1">IF(
   $O$7="Desbloqueado",
   CHOOSE(RANDBETWEEN(1,3),"Pago","Pendente","Atrasado"),
   Tabela_Movimentacao_Geral[[#This Row],[Status Financeiro]]
)</f>
        <v>Pago</v>
      </c>
      <c r="L871" t="str">
        <f ca="1">IF(
   $O$7="Desbloqueado",
   CHOOSE(RANDBETWEEN(1,3),"Entregue","Em Rota","Aguardando"),
   Tabela_Movimentacao_Geral[[#This Row],[Status Logistico]]
)</f>
        <v>Entregue</v>
      </c>
      <c r="M8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46073</v>
      </c>
    </row>
    <row r="872" spans="1:13" x14ac:dyDescent="0.3">
      <c r="A872" t="str">
        <f t="shared" si="13"/>
        <v>T0871</v>
      </c>
      <c r="B872" s="1">
        <v>46072</v>
      </c>
      <c r="C872" t="str" cm="1">
        <f t="array" aca="1" ref="C872" ca="1">IF($O$7="Desbloqueado",
  _xlfn.LET(
    _xlpm.saldo_atual, SUM(($C$2:$C871="Entrada")*($F$2:$F871=Tabela_Movimentacao_Geral[[#This Row],[ID Produto]])*($H$2:$H871) - ($C$2:$C871="Saida")*($F$2:$F871=Tabela_Movimentacao_Geral[[#This Row],[ID Produto]])*($H$2:$H871)),
    IF(_xlpm.saldo_atual &gt; 0, IF(RANDBETWEEN(0,10)&gt;3,"Saida","Entrada"), "Entrada")
  ),
  Tabela_Movimentacao_Geral[[#This Row],[Tipo Fluxo]]
)</f>
        <v>Entrada</v>
      </c>
      <c r="D8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8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872" t="str">
        <f ca="1">IF(
  $O$7="Desbloqueado",
  "PROD"&amp;TEXT(RANDBETWEEN(1,200),"000"),
  Tabela_Movimentacao_Geral[[#This Row],[ID Produto]]
)</f>
        <v>PROD184</v>
      </c>
      <c r="G872" t="str">
        <f ca="1">_xlfn.XLOOKUP(Tabela_Movimentacao_Geral[[#This Row],[ID Produto]], Tabela_Produtos[ID_Produto],Tabela_Produtos[Descricao_Produto],"Produto não encontrado")</f>
        <v>Cabo Serial Console</v>
      </c>
      <c r="H872" cm="1">
        <f t="array" aca="1" ref="H872" ca="1">IF(
   $O$7="Desbloqueado",
   _xlfn.LET(
     _xlpm.saldo_atual, SUM(($C$2:$C871="Entrada")*($F$2:$F871=Tabela_Movimentacao_Geral[[#This Row],[ID Produto]])*($H$2:$H871) - ($C$2:$C871="Saida")*($F$2:$F871=Tabela_Movimentacao_Geral[[#This Row],[ID Produto]])*($H$2:$H871)),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872" s="5">
        <f ca="1">_xlfn.XLOOKUP(Tabela_Movimentacao_Geral[[#This Row],[ID Produto]], Tabela_Produtos[ID_Produto],Tabela_Produtos[Preco_Unitario_Venda])</f>
        <v>45</v>
      </c>
      <c r="J872" s="6">
        <f ca="1">Tabela_Movimentacao_Geral[[#This Row],[Quantidade]] * Tabela_Movimentacao_Geral[[#This Row],[Valor Unitário]]</f>
        <v>1395</v>
      </c>
      <c r="K872" t="str">
        <f ca="1">IF(
   $O$7="Desbloqueado",
   CHOOSE(RANDBETWEEN(1,3),"Pago","Pendente","Atrasado"),
   Tabela_Movimentacao_Geral[[#This Row],[Status Financeiro]]
)</f>
        <v>Pendente</v>
      </c>
      <c r="L872" t="str">
        <f ca="1">IF(
   $O$7="Desbloqueado",
   CHOOSE(RANDBETWEEN(1,3),"Entregue","Em Rota","Aguardando"),
   Tabela_Movimentacao_Geral[[#This Row],[Status Logistico]]
)</f>
        <v>Em Rota</v>
      </c>
      <c r="M87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46079</v>
      </c>
    </row>
    <row r="873" spans="1:13" x14ac:dyDescent="0.3">
      <c r="A873" t="str">
        <f t="shared" si="13"/>
        <v>T0872</v>
      </c>
      <c r="B873" s="1">
        <v>46073</v>
      </c>
      <c r="C873" t="str" cm="1">
        <f t="array" aca="1" ref="C873" ca="1">IF($O$7="Desbloqueado",
  _xlfn.LET(
    _xlpm.saldo_atual, SUM(($C$2:$C872="Entrada")*($F$2:$F872=Tabela_Movimentacao_Geral[[#This Row],[ID Produto]])*($H$2:$H872) - ($C$2:$C872="Saida")*($F$2:$F872=Tabela_Movimentacao_Geral[[#This Row],[ID Produto]])*($H$2:$H872)),
    IF(_xlpm.saldo_atual &gt; 0, IF(RANDBETWEEN(0,10)&gt;3,"Saida","Entrada"), "Entrada")
  ),
  Tabela_Movimentacao_Geral[[#This Row],[Tipo Fluxo]]
)</f>
        <v>Saida</v>
      </c>
      <c r="D8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8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873" t="str">
        <f ca="1">IF(
  $O$7="Desbloqueado",
  "PROD"&amp;TEXT(RANDBETWEEN(1,200),"000"),
  Tabela_Movimentacao_Geral[[#This Row],[ID Produto]]
)</f>
        <v>PROD119</v>
      </c>
      <c r="G873" t="str">
        <f ca="1">_xlfn.XLOOKUP(Tabela_Movimentacao_Geral[[#This Row],[ID Produto]], Tabela_Produtos[ID_Produto],Tabela_Produtos[Descricao_Produto],"Produto não encontrado")</f>
        <v>Suporte CPU com Rodas</v>
      </c>
      <c r="H873" cm="1">
        <f t="array" aca="1" ref="H873" ca="1">IF(
   $O$7="Desbloqueado",
   _xlfn.LET(
     _xlpm.saldo_atual, SUM(($C$2:$C872="Entrada")*($F$2:$F872=Tabela_Movimentacao_Geral[[#This Row],[ID Produto]])*($H$2:$H872) - ($C$2:$C872="Saida")*($F$2:$F872=Tabela_Movimentacao_Geral[[#This Row],[ID Produto]])*($H$2:$H872)),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873" s="5">
        <f ca="1">_xlfn.XLOOKUP(Tabela_Movimentacao_Geral[[#This Row],[ID Produto]], Tabela_Produtos[ID_Produto],Tabela_Produtos[Preco_Unitario_Venda])</f>
        <v>75</v>
      </c>
      <c r="J873" s="6">
        <f ca="1">Tabela_Movimentacao_Geral[[#This Row],[Quantidade]] * Tabela_Movimentacao_Geral[[#This Row],[Valor Unitário]]</f>
        <v>975</v>
      </c>
      <c r="K873" t="str">
        <f ca="1">IF(
   $O$7="Desbloqueado",
   CHOOSE(RANDBETWEEN(1,3),"Pago","Pendente","Atrasado"),
   Tabela_Movimentacao_Geral[[#This Row],[Status Financeiro]]
)</f>
        <v>Atrasado</v>
      </c>
      <c r="L873" t="str">
        <f ca="1">IF(
   $O$7="Desbloqueado",
   CHOOSE(RANDBETWEEN(1,3),"Entregue","Em Rota","Aguardando"),
   Tabela_Movimentacao_Geral[[#This Row],[Status Logistico]]
)</f>
        <v>Aguardando</v>
      </c>
      <c r="M87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74" spans="1:13" x14ac:dyDescent="0.3">
      <c r="A874" t="str">
        <f t="shared" si="13"/>
        <v>T0873</v>
      </c>
      <c r="B874" s="1">
        <v>46073</v>
      </c>
      <c r="C874" t="str" cm="1">
        <f t="array" aca="1" ref="C874" ca="1">IF($O$7="Desbloqueado",
  _xlfn.LET(
    _xlpm.saldo_atual, SUM(($C$2:$C873="Entrada")*($F$2:$F873=Tabela_Movimentacao_Geral[[#This Row],[ID Produto]])*($H$2:$H873) - ($C$2:$C873="Saida")*($F$2:$F873=Tabela_Movimentacao_Geral[[#This Row],[ID Produto]])*($H$2:$H873)),
    IF(_xlpm.saldo_atual &gt; 0, IF(RANDBETWEEN(0,10)&gt;3,"Saida","Entrada"), "Entrada")
  ),
  Tabela_Movimentacao_Geral[[#This Row],[Tipo Fluxo]]
)</f>
        <v>Saida</v>
      </c>
      <c r="D8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8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874" t="str">
        <f ca="1">IF(
  $O$7="Desbloqueado",
  "PROD"&amp;TEXT(RANDBETWEEN(1,200),"000"),
  Tabela_Movimentacao_Geral[[#This Row],[ID Produto]]
)</f>
        <v>PROD007</v>
      </c>
      <c r="G874" t="str">
        <f ca="1">_xlfn.XLOOKUP(Tabela_Movimentacao_Geral[[#This Row],[ID Produto]], Tabela_Produtos[ID_Produto],Tabela_Produtos[Descricao_Produto],"Produto não encontrado")</f>
        <v>Impressora Laser Color</v>
      </c>
      <c r="H874" cm="1">
        <f t="array" aca="1" ref="H874" ca="1">IF(
   $O$7="Desbloqueado",
   _xlfn.LET(
     _xlpm.saldo_atual, SUM(($C$2:$C873="Entrada")*($F$2:$F873=Tabela_Movimentacao_Geral[[#This Row],[ID Produto]])*($H$2:$H873) - ($C$2:$C873="Saida")*($F$2:$F873=Tabela_Movimentacao_Geral[[#This Row],[ID Produto]])*($H$2:$H873)),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26</v>
      </c>
      <c r="I874" s="5">
        <f ca="1">_xlfn.XLOOKUP(Tabela_Movimentacao_Geral[[#This Row],[ID Produto]], Tabela_Produtos[ID_Produto],Tabela_Produtos[Preco_Unitario_Venda])</f>
        <v>1800</v>
      </c>
      <c r="J874" s="6">
        <f ca="1">Tabela_Movimentacao_Geral[[#This Row],[Quantidade]] * Tabela_Movimentacao_Geral[[#This Row],[Valor Unitário]]</f>
        <v>46800</v>
      </c>
      <c r="K874" t="str">
        <f ca="1">IF(
   $O$7="Desbloqueado",
   CHOOSE(RANDBETWEEN(1,3),"Pago","Pendente","Atrasado"),
   Tabela_Movimentacao_Geral[[#This Row],[Status Financeiro]]
)</f>
        <v>Pago</v>
      </c>
      <c r="L874" t="str">
        <f ca="1">IF(
   $O$7="Desbloqueado",
   CHOOSE(RANDBETWEEN(1,3),"Entregue","Em Rota","Aguardando"),
   Tabela_Movimentacao_Geral[[#This Row],[Status Logistico]]
)</f>
        <v>Entregue</v>
      </c>
      <c r="M87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75" spans="1:13" x14ac:dyDescent="0.3">
      <c r="A875" t="str">
        <f t="shared" si="13"/>
        <v>T0874</v>
      </c>
      <c r="B875" s="1">
        <v>46073</v>
      </c>
      <c r="C875" t="str" cm="1">
        <f t="array" aca="1" ref="C875" ca="1">IF($O$7="Desbloqueado",
  _xlfn.LET(
    _xlpm.saldo_atual, SUM(($C$2:$C874="Entrada")*($F$2:$F874=Tabela_Movimentacao_Geral[[#This Row],[ID Produto]])*($H$2:$H874) - ($C$2:$C874="Saida")*($F$2:$F874=Tabela_Movimentacao_Geral[[#This Row],[ID Produto]])*($H$2:$H874)),
    IF(_xlpm.saldo_atual &gt; 0, IF(RANDBETWEEN(0,10)&gt;3,"Saida","Entrada"), "Entrada")
  ),
  Tabela_Movimentacao_Geral[[#This Row],[Tipo Fluxo]]
)</f>
        <v>Entrada</v>
      </c>
      <c r="D8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8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875" t="str">
        <f ca="1">IF(
  $O$7="Desbloqueado",
  "PROD"&amp;TEXT(RANDBETWEEN(1,200),"000"),
  Tabela_Movimentacao_Geral[[#This Row],[ID Produto]]
)</f>
        <v>PROD051</v>
      </c>
      <c r="G875" t="str">
        <f ca="1">_xlfn.XLOOKUP(Tabela_Movimentacao_Geral[[#This Row],[ID Produto]], Tabela_Produtos[ID_Produto],Tabela_Produtos[Descricao_Produto],"Produto não encontrado")</f>
        <v>Papel A4 Report 500fls</v>
      </c>
      <c r="H875" cm="1">
        <f t="array" aca="1" ref="H875" ca="1">IF(
   $O$7="Desbloqueado",
   _xlfn.LET(
     _xlpm.saldo_atual, SUM(($C$2:$C874="Entrada")*($F$2:$F874=Tabela_Movimentacao_Geral[[#This Row],[ID Produto]])*($H$2:$H874) - ($C$2:$C874="Saida")*($F$2:$F874=Tabela_Movimentacao_Geral[[#This Row],[ID Produto]])*($H$2:$H874)),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150</v>
      </c>
      <c r="I875" s="5">
        <f ca="1">_xlfn.XLOOKUP(Tabela_Movimentacao_Geral[[#This Row],[ID Produto]], Tabela_Produtos[ID_Produto],Tabela_Produtos[Preco_Unitario_Venda])</f>
        <v>28</v>
      </c>
      <c r="J875" s="6">
        <f ca="1">Tabela_Movimentacao_Geral[[#This Row],[Quantidade]] * Tabela_Movimentacao_Geral[[#This Row],[Valor Unitário]]</f>
        <v>4200</v>
      </c>
      <c r="K875" t="str">
        <f ca="1">IF(
   $O$7="Desbloqueado",
   CHOOSE(RANDBETWEEN(1,3),"Pago","Pendente","Atrasado"),
   Tabela_Movimentacao_Geral[[#This Row],[Status Financeiro]]
)</f>
        <v>Pago</v>
      </c>
      <c r="L875" t="str">
        <f ca="1">IF(
   $O$7="Desbloqueado",
   CHOOSE(RANDBETWEEN(1,3),"Entregue","Em Rota","Aguardando"),
   Tabela_Movimentacao_Geral[[#This Row],[Status Logistico]]
)</f>
        <v>Em Rota</v>
      </c>
      <c r="M87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46074</v>
      </c>
    </row>
    <row r="876" spans="1:13" x14ac:dyDescent="0.3">
      <c r="A876" t="str">
        <f t="shared" si="13"/>
        <v>T0875</v>
      </c>
      <c r="B876" s="1">
        <v>46076</v>
      </c>
      <c r="C876" t="str" cm="1">
        <f t="array" aca="1" ref="C876" ca="1">IF($O$7="Desbloqueado",
  _xlfn.LET(
    _xlpm.saldo_atual, SUM(($C$2:$C875="Entrada")*($F$2:$F875=Tabela_Movimentacao_Geral[[#This Row],[ID Produto]])*($H$2:$H875) - ($C$2:$C875="Saida")*($F$2:$F875=Tabela_Movimentacao_Geral[[#This Row],[ID Produto]])*($H$2:$H875)),
    IF(_xlpm.saldo_atual &gt; 0, IF(RANDBETWEEN(0,10)&gt;3,"Saida","Entrada"), "Entrada")
  ),
  Tabela_Movimentacao_Geral[[#This Row],[Tipo Fluxo]]
)</f>
        <v>Entrada</v>
      </c>
      <c r="D8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8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876" t="str">
        <f ca="1">IF(
  $O$7="Desbloqueado",
  "PROD"&amp;TEXT(RANDBETWEEN(1,200),"000"),
  Tabela_Movimentacao_Geral[[#This Row],[ID Produto]]
)</f>
        <v>PROD136</v>
      </c>
      <c r="G876" t="str">
        <f ca="1">_xlfn.XLOOKUP(Tabela_Movimentacao_Geral[[#This Row],[ID Produto]], Tabela_Produtos[ID_Produto],Tabela_Produtos[Descricao_Produto],"Produto não encontrado")</f>
        <v>Gabinete ATX Mid Tower</v>
      </c>
      <c r="H876" cm="1">
        <f t="array" aca="1" ref="H876" ca="1">IF(
   $O$7="Desbloqueado",
   _xlfn.LET(
     _xlpm.saldo_atual, SUM(($C$2:$C875="Entrada")*($F$2:$F875=Tabela_Movimentacao_Geral[[#This Row],[ID Produto]])*($H$2:$H875) - ($C$2:$C875="Saida")*($F$2:$F875=Tabela_Movimentacao_Geral[[#This Row],[ID Produto]])*($H$2:$H875)),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80</v>
      </c>
      <c r="I876" s="5">
        <f ca="1">_xlfn.XLOOKUP(Tabela_Movimentacao_Geral[[#This Row],[ID Produto]], Tabela_Produtos[ID_Produto],Tabela_Produtos[Preco_Unitario_Venda])</f>
        <v>350</v>
      </c>
      <c r="J876" s="6">
        <f ca="1">Tabela_Movimentacao_Geral[[#This Row],[Quantidade]] * Tabela_Movimentacao_Geral[[#This Row],[Valor Unitário]]</f>
        <v>28000</v>
      </c>
      <c r="K876" t="str">
        <f ca="1">IF(
   $O$7="Desbloqueado",
   CHOOSE(RANDBETWEEN(1,3),"Pago","Pendente","Atrasado"),
   Tabela_Movimentacao_Geral[[#This Row],[Status Financeiro]]
)</f>
        <v>Pendente</v>
      </c>
      <c r="L876" t="str">
        <f ca="1">IF(
   $O$7="Desbloqueado",
   CHOOSE(RANDBETWEEN(1,3),"Entregue","Em Rota","Aguardando"),
   Tabela_Movimentacao_Geral[[#This Row],[Status Logistico]]
)</f>
        <v>Em Rota</v>
      </c>
      <c r="M87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46088</v>
      </c>
    </row>
    <row r="877" spans="1:13" x14ac:dyDescent="0.3">
      <c r="A877" t="str">
        <f t="shared" si="13"/>
        <v>T0876</v>
      </c>
      <c r="B877" s="1">
        <v>46076</v>
      </c>
      <c r="C877" t="str" cm="1">
        <f t="array" aca="1" ref="C877" ca="1">IF($O$7="Desbloqueado",
  _xlfn.LET(
    _xlpm.saldo_atual, SUM(($C$2:$C876="Entrada")*($F$2:$F876=Tabela_Movimentacao_Geral[[#This Row],[ID Produto]])*($H$2:$H876) - ($C$2:$C876="Saida")*($F$2:$F876=Tabela_Movimentacao_Geral[[#This Row],[ID Produto]])*($H$2:$H876)),
    IF(_xlpm.saldo_atual &gt; 0, IF(RANDBETWEEN(0,10)&gt;3,"Saida","Entrada"), "Entrada")
  ),
  Tabela_Movimentacao_Geral[[#This Row],[Tipo Fluxo]]
)</f>
        <v>Entrada</v>
      </c>
      <c r="D8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8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877" t="str">
        <f ca="1">IF(
  $O$7="Desbloqueado",
  "PROD"&amp;TEXT(RANDBETWEEN(1,200),"000"),
  Tabela_Movimentacao_Geral[[#This Row],[ID Produto]]
)</f>
        <v>PROD051</v>
      </c>
      <c r="G877" t="str">
        <f ca="1">_xlfn.XLOOKUP(Tabela_Movimentacao_Geral[[#This Row],[ID Produto]], Tabela_Produtos[ID_Produto],Tabela_Produtos[Descricao_Produto],"Produto não encontrado")</f>
        <v>Papel A4 Report 500fls</v>
      </c>
      <c r="H877" cm="1">
        <f t="array" aca="1" ref="H877" ca="1">IF(
   $O$7="Desbloqueado",
   _xlfn.LET(
     _xlpm.saldo_atual, SUM(($C$2:$C876="Entrada")*($F$2:$F876=Tabela_Movimentacao_Geral[[#This Row],[ID Produto]])*($H$2:$H876) - ($C$2:$C876="Saida")*($F$2:$F876=Tabela_Movimentacao_Geral[[#This Row],[ID Produto]])*($H$2:$H876)),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877" s="5">
        <f ca="1">_xlfn.XLOOKUP(Tabela_Movimentacao_Geral[[#This Row],[ID Produto]], Tabela_Produtos[ID_Produto],Tabela_Produtos[Preco_Unitario_Venda])</f>
        <v>28</v>
      </c>
      <c r="J877" s="6">
        <f ca="1">Tabela_Movimentacao_Geral[[#This Row],[Quantidade]] * Tabela_Movimentacao_Geral[[#This Row],[Valor Unitário]]</f>
        <v>644</v>
      </c>
      <c r="K877" t="str">
        <f ca="1">IF(
   $O$7="Desbloqueado",
   CHOOSE(RANDBETWEEN(1,3),"Pago","Pendente","Atrasado"),
   Tabela_Movimentacao_Geral[[#This Row],[Status Financeiro]]
)</f>
        <v>Pendente</v>
      </c>
      <c r="L877" t="str">
        <f ca="1">IF(
   $O$7="Desbloqueado",
   CHOOSE(RANDBETWEEN(1,3),"Entregue","Em Rota","Aguardando"),
   Tabela_Movimentacao_Geral[[#This Row],[Status Logistico]]
)</f>
        <v>Em Rota</v>
      </c>
      <c r="M87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46083</v>
      </c>
    </row>
    <row r="878" spans="1:13" x14ac:dyDescent="0.3">
      <c r="A878" t="str">
        <f t="shared" si="13"/>
        <v>T0877</v>
      </c>
      <c r="B878" s="1">
        <v>46076</v>
      </c>
      <c r="C878" t="str" cm="1">
        <f t="array" aca="1" ref="C878" ca="1">IF($O$7="Desbloqueado",
  _xlfn.LET(
    _xlpm.saldo_atual, SUM(($C$2:$C877="Entrada")*($F$2:$F877=Tabela_Movimentacao_Geral[[#This Row],[ID Produto]])*($H$2:$H877) - ($C$2:$C877="Saida")*($F$2:$F877=Tabela_Movimentacao_Geral[[#This Row],[ID Produto]])*($H$2:$H877)),
    IF(_xlpm.saldo_atual &gt; 0, IF(RANDBETWEEN(0,10)&gt;3,"Saida","Entrada"), "Entrada")
  ),
  Tabela_Movimentacao_Geral[[#This Row],[Tipo Fluxo]]
)</f>
        <v>Saida</v>
      </c>
      <c r="D8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8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878" t="str">
        <f ca="1">IF(
  $O$7="Desbloqueado",
  "PROD"&amp;TEXT(RANDBETWEEN(1,200),"000"),
  Tabela_Movimentacao_Geral[[#This Row],[ID Produto]]
)</f>
        <v>PROD157</v>
      </c>
      <c r="G878" t="str">
        <f ca="1">_xlfn.XLOOKUP(Tabela_Movimentacao_Geral[[#This Row],[ID Produto]], Tabela_Produtos[ID_Produto],Tabela_Produtos[Descricao_Produto],"Produto não encontrado")</f>
        <v>Fita Dupla Face 3M</v>
      </c>
      <c r="H878" cm="1">
        <f t="array" aca="1" ref="H878" ca="1">IF(
   $O$7="Desbloqueado",
   _xlfn.LET(
     _xlpm.saldo_atual, SUM(($C$2:$C877="Entrada")*($F$2:$F877=Tabela_Movimentacao_Geral[[#This Row],[ID Produto]])*($H$2:$H877) - ($C$2:$C877="Saida")*($F$2:$F877=Tabela_Movimentacao_Geral[[#This Row],[ID Produto]])*($H$2:$H877)),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81</v>
      </c>
      <c r="I878" s="5">
        <f ca="1">_xlfn.XLOOKUP(Tabela_Movimentacao_Geral[[#This Row],[ID Produto]], Tabela_Produtos[ID_Produto],Tabela_Produtos[Preco_Unitario_Venda])</f>
        <v>28</v>
      </c>
      <c r="J878" s="6">
        <f ca="1">Tabela_Movimentacao_Geral[[#This Row],[Quantidade]] * Tabela_Movimentacao_Geral[[#This Row],[Valor Unitário]]</f>
        <v>2268</v>
      </c>
      <c r="K878" t="str">
        <f ca="1">IF(
   $O$7="Desbloqueado",
   CHOOSE(RANDBETWEEN(1,3),"Pago","Pendente","Atrasado"),
   Tabela_Movimentacao_Geral[[#This Row],[Status Financeiro]]
)</f>
        <v>Atrasado</v>
      </c>
      <c r="L878" t="str">
        <f ca="1">IF(
   $O$7="Desbloqueado",
   CHOOSE(RANDBETWEEN(1,3),"Entregue","Em Rota","Aguardando"),
   Tabela_Movimentacao_Geral[[#This Row],[Status Logistico]]
)</f>
        <v>Aguardando</v>
      </c>
      <c r="M87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79" spans="1:13" x14ac:dyDescent="0.3">
      <c r="A879" t="str">
        <f t="shared" si="13"/>
        <v>T0878</v>
      </c>
      <c r="B879" s="1">
        <v>46077</v>
      </c>
      <c r="C879" t="str" cm="1">
        <f t="array" aca="1" ref="C879" ca="1">IF($O$7="Desbloqueado",
  _xlfn.LET(
    _xlpm.saldo_atual, SUM(($C$2:$C878="Entrada")*($F$2:$F878=Tabela_Movimentacao_Geral[[#This Row],[ID Produto]])*($H$2:$H878) - ($C$2:$C878="Saida")*($F$2:$F878=Tabela_Movimentacao_Geral[[#This Row],[ID Produto]])*($H$2:$H878)),
    IF(_xlpm.saldo_atual &gt; 0, IF(RANDBETWEEN(0,10)&gt;3,"Saida","Entrada"), "Entrada")
  ),
  Tabela_Movimentacao_Geral[[#This Row],[Tipo Fluxo]]
)</f>
        <v>Entrada</v>
      </c>
      <c r="D8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8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879" t="str">
        <f ca="1">IF(
  $O$7="Desbloqueado",
  "PROD"&amp;TEXT(RANDBETWEEN(1,200),"000"),
  Tabela_Movimentacao_Geral[[#This Row],[ID Produto]]
)</f>
        <v>PROD095</v>
      </c>
      <c r="G879" t="str">
        <f ca="1">_xlfn.XLOOKUP(Tabela_Movimentacao_Geral[[#This Row],[ID Produto]], Tabela_Produtos[ID_Produto],Tabela_Produtos[Descricao_Produto],"Produto não encontrado")</f>
        <v>Controladora RAID PCIe</v>
      </c>
      <c r="H879" cm="1">
        <f t="array" aca="1" ref="H879" ca="1">IF(
   $O$7="Desbloqueado",
   _xlfn.LET(
     _xlpm.saldo_atual, SUM(($C$2:$C878="Entrada")*($F$2:$F878=Tabela_Movimentacao_Geral[[#This Row],[ID Produto]])*($H$2:$H878) - ($C$2:$C878="Saida")*($F$2:$F878=Tabela_Movimentacao_Geral[[#This Row],[ID Produto]])*($H$2:$H878)),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879" s="5">
        <f ca="1">_xlfn.XLOOKUP(Tabela_Movimentacao_Geral[[#This Row],[ID Produto]], Tabela_Produtos[ID_Produto],Tabela_Produtos[Preco_Unitario_Venda])</f>
        <v>2100</v>
      </c>
      <c r="J879" s="6">
        <f ca="1">Tabela_Movimentacao_Geral[[#This Row],[Quantidade]] * Tabela_Movimentacao_Geral[[#This Row],[Valor Unitário]]</f>
        <v>6300</v>
      </c>
      <c r="K879" t="str">
        <f ca="1">IF(
   $O$7="Desbloqueado",
   CHOOSE(RANDBETWEEN(1,3),"Pago","Pendente","Atrasado"),
   Tabela_Movimentacao_Geral[[#This Row],[Status Financeiro]]
)</f>
        <v>Pendente</v>
      </c>
      <c r="L879" t="str">
        <f ca="1">IF(
   $O$7="Desbloqueado",
   CHOOSE(RANDBETWEEN(1,3),"Entregue","Em Rota","Aguardando"),
   Tabela_Movimentacao_Geral[[#This Row],[Status Logistico]]
)</f>
        <v>Aguardando</v>
      </c>
      <c r="M87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46080</v>
      </c>
    </row>
    <row r="880" spans="1:13" x14ac:dyDescent="0.3">
      <c r="A880" t="str">
        <f t="shared" si="13"/>
        <v>T0879</v>
      </c>
      <c r="B880" s="1">
        <v>46077</v>
      </c>
      <c r="C880" t="str" cm="1">
        <f t="array" aca="1" ref="C880" ca="1">IF($O$7="Desbloqueado",
  _xlfn.LET(
    _xlpm.saldo_atual, SUM(($C$2:$C879="Entrada")*($F$2:$F879=Tabela_Movimentacao_Geral[[#This Row],[ID Produto]])*($H$2:$H879) - ($C$2:$C879="Saida")*($F$2:$F879=Tabela_Movimentacao_Geral[[#This Row],[ID Produto]])*($H$2:$H879)),
    IF(_xlpm.saldo_atual &gt; 0, IF(RANDBETWEEN(0,10)&gt;3,"Saida","Entrada"), "Entrada")
  ),
  Tabela_Movimentacao_Geral[[#This Row],[Tipo Fluxo]]
)</f>
        <v>Entrada</v>
      </c>
      <c r="D8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8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880" t="str">
        <f ca="1">IF(
  $O$7="Desbloqueado",
  "PROD"&amp;TEXT(RANDBETWEEN(1,200),"000"),
  Tabela_Movimentacao_Geral[[#This Row],[ID Produto]]
)</f>
        <v>PROD077</v>
      </c>
      <c r="G880" t="str">
        <f ca="1">_xlfn.XLOOKUP(Tabela_Movimentacao_Geral[[#This Row],[ID Produto]], Tabela_Produtos[ID_Produto],Tabela_Produtos[Descricao_Produto],"Produto não encontrado")</f>
        <v>Lixeira de Escritorio 10L</v>
      </c>
      <c r="H880" cm="1">
        <f t="array" aca="1" ref="H880" ca="1">IF(
   $O$7="Desbloqueado",
   _xlfn.LET(
     _xlpm.saldo_atual, SUM(($C$2:$C879="Entrada")*($F$2:$F879=Tabela_Movimentacao_Geral[[#This Row],[ID Produto]])*($H$2:$H879) - ($C$2:$C879="Saida")*($F$2:$F879=Tabela_Movimentacao_Geral[[#This Row],[ID Produto]])*($H$2:$H879)),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99</v>
      </c>
      <c r="I880" s="5">
        <f ca="1">_xlfn.XLOOKUP(Tabela_Movimentacao_Geral[[#This Row],[ID Produto]], Tabela_Produtos[ID_Produto],Tabela_Produtos[Preco_Unitario_Venda])</f>
        <v>28</v>
      </c>
      <c r="J880" s="6">
        <f ca="1">Tabela_Movimentacao_Geral[[#This Row],[Quantidade]] * Tabela_Movimentacao_Geral[[#This Row],[Valor Unitário]]</f>
        <v>2772</v>
      </c>
      <c r="K880" t="str">
        <f ca="1">IF(
   $O$7="Desbloqueado",
   CHOOSE(RANDBETWEEN(1,3),"Pago","Pendente","Atrasado"),
   Tabela_Movimentacao_Geral[[#This Row],[Status Financeiro]]
)</f>
        <v>Atrasado</v>
      </c>
      <c r="L880" t="str">
        <f ca="1">IF(
   $O$7="Desbloqueado",
   CHOOSE(RANDBETWEEN(1,3),"Entregue","Em Rota","Aguardando"),
   Tabela_Movimentacao_Geral[[#This Row],[Status Logistico]]
)</f>
        <v>Entregue</v>
      </c>
      <c r="M88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46082</v>
      </c>
    </row>
    <row r="881" spans="1:13" x14ac:dyDescent="0.3">
      <c r="A881" t="str">
        <f t="shared" si="13"/>
        <v>T0880</v>
      </c>
      <c r="B881" s="1">
        <v>46077</v>
      </c>
      <c r="C881" t="str" cm="1">
        <f t="array" aca="1" ref="C881" ca="1">IF($O$7="Desbloqueado",
  _xlfn.LET(
    _xlpm.saldo_atual, SUM(($C$2:$C880="Entrada")*($F$2:$F880=Tabela_Movimentacao_Geral[[#This Row],[ID Produto]])*($H$2:$H880) - ($C$2:$C880="Saida")*($F$2:$F880=Tabela_Movimentacao_Geral[[#This Row],[ID Produto]])*($H$2:$H880)),
    IF(_xlpm.saldo_atual &gt; 0, IF(RANDBETWEEN(0,10)&gt;3,"Saida","Entrada"), "Entrada")
  ),
  Tabela_Movimentacao_Geral[[#This Row],[Tipo Fluxo]]
)</f>
        <v>Saida</v>
      </c>
      <c r="D8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8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881" t="str">
        <f ca="1">IF(
  $O$7="Desbloqueado",
  "PROD"&amp;TEXT(RANDBETWEEN(1,200),"000"),
  Tabela_Movimentacao_Geral[[#This Row],[ID Produto]]
)</f>
        <v>PROD028</v>
      </c>
      <c r="G881" t="str">
        <f ca="1">_xlfn.XLOOKUP(Tabela_Movimentacao_Geral[[#This Row],[ID Produto]], Tabela_Produtos[ID_Produto],Tabela_Produtos[Descricao_Produto],"Produto não encontrado")</f>
        <v>Cabo de Rede Cat6 3m</v>
      </c>
      <c r="H881" cm="1">
        <f t="array" aca="1" ref="H881" ca="1">IF(
   $O$7="Desbloqueado",
   _xlfn.LET(
     _xlpm.saldo_atual, SUM(($C$2:$C880="Entrada")*($F$2:$F880=Tabela_Movimentacao_Geral[[#This Row],[ID Produto]])*($H$2:$H880) - ($C$2:$C880="Saida")*($F$2:$F880=Tabela_Movimentacao_Geral[[#This Row],[ID Produto]])*($H$2:$H880)),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76</v>
      </c>
      <c r="I881" s="5">
        <f ca="1">_xlfn.XLOOKUP(Tabela_Movimentacao_Geral[[#This Row],[ID Produto]], Tabela_Produtos[ID_Produto],Tabela_Produtos[Preco_Unitario_Venda])</f>
        <v>25</v>
      </c>
      <c r="J881" s="6">
        <f ca="1">Tabela_Movimentacao_Geral[[#This Row],[Quantidade]] * Tabela_Movimentacao_Geral[[#This Row],[Valor Unitário]]</f>
        <v>1900</v>
      </c>
      <c r="K881" t="str">
        <f ca="1">IF(
   $O$7="Desbloqueado",
   CHOOSE(RANDBETWEEN(1,3),"Pago","Pendente","Atrasado"),
   Tabela_Movimentacao_Geral[[#This Row],[Status Financeiro]]
)</f>
        <v>Pago</v>
      </c>
      <c r="L881" t="str">
        <f ca="1">IF(
   $O$7="Desbloqueado",
   CHOOSE(RANDBETWEEN(1,3),"Entregue","Em Rota","Aguardando"),
   Tabela_Movimentacao_Geral[[#This Row],[Status Logistico]]
)</f>
        <v>Entregue</v>
      </c>
      <c r="M88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82" spans="1:13" x14ac:dyDescent="0.3">
      <c r="A882" t="str">
        <f t="shared" si="13"/>
        <v>T0881</v>
      </c>
      <c r="B882" s="1">
        <v>46077</v>
      </c>
      <c r="C882" t="str" cm="1">
        <f t="array" aca="1" ref="C882" ca="1">IF($O$7="Desbloqueado",
  _xlfn.LET(
    _xlpm.saldo_atual, SUM(($C$2:$C881="Entrada")*($F$2:$F881=Tabela_Movimentacao_Geral[[#This Row],[ID Produto]])*($H$2:$H881) - ($C$2:$C881="Saida")*($F$2:$F881=Tabela_Movimentacao_Geral[[#This Row],[ID Produto]])*($H$2:$H881)),
    IF(_xlpm.saldo_atual &gt; 0, IF(RANDBETWEEN(0,10)&gt;3,"Saida","Entrada"), "Entrada")
  ),
  Tabela_Movimentacao_Geral[[#This Row],[Tipo Fluxo]]
)</f>
        <v>Entrada</v>
      </c>
      <c r="D8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8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882" t="str">
        <f ca="1">IF(
  $O$7="Desbloqueado",
  "PROD"&amp;TEXT(RANDBETWEEN(1,200),"000"),
  Tabela_Movimentacao_Geral[[#This Row],[ID Produto]]
)</f>
        <v>PROD013</v>
      </c>
      <c r="G882" t="str">
        <f ca="1">_xlfn.XLOOKUP(Tabela_Movimentacao_Geral[[#This Row],[ID Produto]], Tabela_Produtos[ID_Produto],Tabela_Produtos[Descricao_Produto],"Produto não encontrado")</f>
        <v>Headset com Microfone</v>
      </c>
      <c r="H882" cm="1">
        <f t="array" aca="1" ref="H882" ca="1">IF(
   $O$7="Desbloqueado",
   _xlfn.LET(
     _xlpm.saldo_atual, SUM(($C$2:$C881="Entrada")*($F$2:$F881=Tabela_Movimentacao_Geral[[#This Row],[ID Produto]])*($H$2:$H881) - ($C$2:$C881="Saida")*($F$2:$F881=Tabela_Movimentacao_Geral[[#This Row],[ID Produto]])*($H$2:$H881)),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62</v>
      </c>
      <c r="I882" s="5">
        <f ca="1">_xlfn.XLOOKUP(Tabela_Movimentacao_Geral[[#This Row],[ID Produto]], Tabela_Produtos[ID_Produto],Tabela_Produtos[Preco_Unitario_Venda])</f>
        <v>180</v>
      </c>
      <c r="J882" s="6">
        <f ca="1">Tabela_Movimentacao_Geral[[#This Row],[Quantidade]] * Tabela_Movimentacao_Geral[[#This Row],[Valor Unitário]]</f>
        <v>11160</v>
      </c>
      <c r="K882" t="str">
        <f ca="1">IF(
   $O$7="Desbloqueado",
   CHOOSE(RANDBETWEEN(1,3),"Pago","Pendente","Atrasado"),
   Tabela_Movimentacao_Geral[[#This Row],[Status Financeiro]]
)</f>
        <v>Pendente</v>
      </c>
      <c r="L882" t="str">
        <f ca="1">IF(
   $O$7="Desbloqueado",
   CHOOSE(RANDBETWEEN(1,3),"Entregue","Em Rota","Aguardando"),
   Tabela_Movimentacao_Geral[[#This Row],[Status Logistico]]
)</f>
        <v>Entregue</v>
      </c>
      <c r="M88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46078</v>
      </c>
    </row>
    <row r="883" spans="1:13" x14ac:dyDescent="0.3">
      <c r="A883" t="str">
        <f t="shared" si="13"/>
        <v>T0882</v>
      </c>
      <c r="B883" s="1">
        <v>46081</v>
      </c>
      <c r="C883" t="str" cm="1">
        <f t="array" aca="1" ref="C883" ca="1">IF($O$7="Desbloqueado",
  _xlfn.LET(
    _xlpm.saldo_atual, SUM(($C$2:$C882="Entrada")*($F$2:$F882=Tabela_Movimentacao_Geral[[#This Row],[ID Produto]])*($H$2:$H882) - ($C$2:$C882="Saida")*($F$2:$F882=Tabela_Movimentacao_Geral[[#This Row],[ID Produto]])*($H$2:$H882)),
    IF(_xlpm.saldo_atual &gt; 0, IF(RANDBETWEEN(0,10)&gt;3,"Saida","Entrada"), "Entrada")
  ),
  Tabela_Movimentacao_Geral[[#This Row],[Tipo Fluxo]]
)</f>
        <v>Entrada</v>
      </c>
      <c r="D8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8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883" t="str">
        <f ca="1">IF(
  $O$7="Desbloqueado",
  "PROD"&amp;TEXT(RANDBETWEEN(1,200),"000"),
  Tabela_Movimentacao_Geral[[#This Row],[ID Produto]]
)</f>
        <v>PROD147</v>
      </c>
      <c r="G883" t="str">
        <f ca="1">_xlfn.XLOOKUP(Tabela_Movimentacao_Geral[[#This Row],[ID Produto]], Tabela_Produtos[ID_Produto],Tabela_Produtos[Descricao_Produto],"Produto não encontrado")</f>
        <v>Testador de Cabo de Rede</v>
      </c>
      <c r="H883" cm="1">
        <f t="array" aca="1" ref="H883" ca="1">IF(
   $O$7="Desbloqueado",
   _xlfn.LET(
     _xlpm.saldo_atual, SUM(($C$2:$C882="Entrada")*($F$2:$F882=Tabela_Movimentacao_Geral[[#This Row],[ID Produto]])*($H$2:$H882) - ($C$2:$C882="Saida")*($F$2:$F882=Tabela_Movimentacao_Geral[[#This Row],[ID Produto]])*($H$2:$H882)),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883" s="5">
        <f ca="1">_xlfn.XLOOKUP(Tabela_Movimentacao_Geral[[#This Row],[ID Produto]], Tabela_Produtos[ID_Produto],Tabela_Produtos[Preco_Unitario_Venda])</f>
        <v>65</v>
      </c>
      <c r="J883" s="6">
        <f ca="1">Tabela_Movimentacao_Geral[[#This Row],[Quantidade]] * Tabela_Movimentacao_Geral[[#This Row],[Valor Unitário]]</f>
        <v>4680</v>
      </c>
      <c r="K883" t="str">
        <f ca="1">IF(
   $O$7="Desbloqueado",
   CHOOSE(RANDBETWEEN(1,3),"Pago","Pendente","Atrasado"),
   Tabela_Movimentacao_Geral[[#This Row],[Status Financeiro]]
)</f>
        <v>Pago</v>
      </c>
      <c r="L883" t="str">
        <f ca="1">IF(
   $O$7="Desbloqueado",
   CHOOSE(RANDBETWEEN(1,3),"Entregue","Em Rota","Aguardando"),
   Tabela_Movimentacao_Geral[[#This Row],[Status Logistico]]
)</f>
        <v>Entregue</v>
      </c>
      <c r="M88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46086</v>
      </c>
    </row>
    <row r="884" spans="1:13" x14ac:dyDescent="0.3">
      <c r="A884" t="str">
        <f t="shared" si="13"/>
        <v>T0883</v>
      </c>
      <c r="B884" s="1">
        <v>46081</v>
      </c>
      <c r="C884" t="str" cm="1">
        <f t="array" aca="1" ref="C884" ca="1">IF($O$7="Desbloqueado",
  _xlfn.LET(
    _xlpm.saldo_atual, SUM(($C$2:$C883="Entrada")*($F$2:$F883=Tabela_Movimentacao_Geral[[#This Row],[ID Produto]])*($H$2:$H883) - ($C$2:$C883="Saida")*($F$2:$F883=Tabela_Movimentacao_Geral[[#This Row],[ID Produto]])*($H$2:$H883)),
    IF(_xlpm.saldo_atual &gt; 0, IF(RANDBETWEEN(0,10)&gt;3,"Saida","Entrada"), "Entrada")
  ),
  Tabela_Movimentacao_Geral[[#This Row],[Tipo Fluxo]]
)</f>
        <v>Saida</v>
      </c>
      <c r="D8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8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884" t="str">
        <f ca="1">IF(
  $O$7="Desbloqueado",
  "PROD"&amp;TEXT(RANDBETWEEN(1,200),"000"),
  Tabela_Movimentacao_Geral[[#This Row],[ID Produto]]
)</f>
        <v>PROD181</v>
      </c>
      <c r="G884" t="str">
        <f ca="1">_xlfn.XLOOKUP(Tabela_Movimentacao_Geral[[#This Row],[ID Produto]], Tabela_Produtos[ID_Produto],Tabela_Produtos[Descricao_Produto],"Produto não encontrado")</f>
        <v>Servidor Tower i3 16GB</v>
      </c>
      <c r="H884" cm="1">
        <f t="array" aca="1" ref="H884" ca="1">IF(
   $O$7="Desbloqueado",
   _xlfn.LET(
     _xlpm.saldo_atual, SUM(($C$2:$C883="Entrada")*($F$2:$F883=Tabela_Movimentacao_Geral[[#This Row],[ID Produto]])*($H$2:$H883) - ($C$2:$C883="Saida")*($F$2:$F883=Tabela_Movimentacao_Geral[[#This Row],[ID Produto]])*($H$2:$H883)),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</v>
      </c>
      <c r="I884" s="5">
        <f ca="1">_xlfn.XLOOKUP(Tabela_Movimentacao_Geral[[#This Row],[ID Produto]], Tabela_Produtos[ID_Produto],Tabela_Produtos[Preco_Unitario_Venda])</f>
        <v>6500</v>
      </c>
      <c r="J884" s="6">
        <f ca="1">Tabela_Movimentacao_Geral[[#This Row],[Quantidade]] * Tabela_Movimentacao_Geral[[#This Row],[Valor Unitário]]</f>
        <v>19500</v>
      </c>
      <c r="K884" t="str">
        <f ca="1">IF(
   $O$7="Desbloqueado",
   CHOOSE(RANDBETWEEN(1,3),"Pago","Pendente","Atrasado"),
   Tabela_Movimentacao_Geral[[#This Row],[Status Financeiro]]
)</f>
        <v>Atrasado</v>
      </c>
      <c r="L884" t="str">
        <f ca="1">IF(
   $O$7="Desbloqueado",
   CHOOSE(RANDBETWEEN(1,3),"Entregue","Em Rota","Aguardando"),
   Tabela_Movimentacao_Geral[[#This Row],[Status Logistico]]
)</f>
        <v>Em Rota</v>
      </c>
      <c r="M88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85" spans="1:13" x14ac:dyDescent="0.3">
      <c r="A885" t="str">
        <f t="shared" si="13"/>
        <v>T0884</v>
      </c>
      <c r="B885" s="1">
        <v>46081</v>
      </c>
      <c r="C885" t="str" cm="1">
        <f t="array" aca="1" ref="C885" ca="1">IF($O$7="Desbloqueado",
  _xlfn.LET(
    _xlpm.saldo_atual, SUM(($C$2:$C884="Entrada")*($F$2:$F884=Tabela_Movimentacao_Geral[[#This Row],[ID Produto]])*($H$2:$H884) - ($C$2:$C884="Saida")*($F$2:$F884=Tabela_Movimentacao_Geral[[#This Row],[ID Produto]])*($H$2:$H884)),
    IF(_xlpm.saldo_atual &gt; 0, IF(RANDBETWEEN(0,10)&gt;3,"Saida","Entrada"), "Entrada")
  ),
  Tabela_Movimentacao_Geral[[#This Row],[Tipo Fluxo]]
)</f>
        <v>Saida</v>
      </c>
      <c r="D8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8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885" t="str">
        <f ca="1">IF(
  $O$7="Desbloqueado",
  "PROD"&amp;TEXT(RANDBETWEEN(1,200),"000"),
  Tabela_Movimentacao_Geral[[#This Row],[ID Produto]]
)</f>
        <v>PROD137</v>
      </c>
      <c r="G885" t="str">
        <f ca="1">_xlfn.XLOOKUP(Tabela_Movimentacao_Geral[[#This Row],[ID Produto]], Tabela_Produtos[ID_Produto],Tabela_Produtos[Descricao_Produto],"Produto não encontrado")</f>
        <v>Fonte ATX 600W 80 Plus</v>
      </c>
      <c r="H885" cm="1">
        <f t="array" aca="1" ref="H885" ca="1">IF(
   $O$7="Desbloqueado",
   _xlfn.LET(
     _xlpm.saldo_atual, SUM(($C$2:$C884="Entrada")*($F$2:$F884=Tabela_Movimentacao_Geral[[#This Row],[ID Produto]])*($H$2:$H884) - ($C$2:$C884="Saida")*($F$2:$F884=Tabela_Movimentacao_Geral[[#This Row],[ID Produto]])*($H$2:$H884)),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64</v>
      </c>
      <c r="I885" s="5">
        <f ca="1">_xlfn.XLOOKUP(Tabela_Movimentacao_Geral[[#This Row],[ID Produto]], Tabela_Produtos[ID_Produto],Tabela_Produtos[Preco_Unitario_Venda])</f>
        <v>450</v>
      </c>
      <c r="J885" s="6">
        <f ca="1">Tabela_Movimentacao_Geral[[#This Row],[Quantidade]] * Tabela_Movimentacao_Geral[[#This Row],[Valor Unitário]]</f>
        <v>28800</v>
      </c>
      <c r="K885" t="str">
        <f ca="1">IF(
   $O$7="Desbloqueado",
   CHOOSE(RANDBETWEEN(1,3),"Pago","Pendente","Atrasado"),
   Tabela_Movimentacao_Geral[[#This Row],[Status Financeiro]]
)</f>
        <v>Atrasado</v>
      </c>
      <c r="L885" t="str">
        <f ca="1">IF(
   $O$7="Desbloqueado",
   CHOOSE(RANDBETWEEN(1,3),"Entregue","Em Rota","Aguardando"),
   Tabela_Movimentacao_Geral[[#This Row],[Status Logistico]]
)</f>
        <v>Aguardando</v>
      </c>
      <c r="M88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86" spans="1:13" x14ac:dyDescent="0.3">
      <c r="A886" t="str">
        <f t="shared" si="13"/>
        <v>T0885</v>
      </c>
      <c r="B886" s="1">
        <v>46082</v>
      </c>
      <c r="C886" t="str" cm="1">
        <f t="array" aca="1" ref="C886" ca="1">IF($O$7="Desbloqueado",
  _xlfn.LET(
    _xlpm.saldo_atual, SUM(($C$2:$C885="Entrada")*($F$2:$F885=Tabela_Movimentacao_Geral[[#This Row],[ID Produto]])*($H$2:$H885) - ($C$2:$C885="Saida")*($F$2:$F885=Tabela_Movimentacao_Geral[[#This Row],[ID Produto]])*($H$2:$H885)),
    IF(_xlpm.saldo_atual &gt; 0, IF(RANDBETWEEN(0,10)&gt;3,"Saida","Entrada"), "Entrada")
  ),
  Tabela_Movimentacao_Geral[[#This Row],[Tipo Fluxo]]
)</f>
        <v>Saida</v>
      </c>
      <c r="D8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8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886" t="str">
        <f ca="1">IF(
  $O$7="Desbloqueado",
  "PROD"&amp;TEXT(RANDBETWEEN(1,200),"000"),
  Tabela_Movimentacao_Geral[[#This Row],[ID Produto]]
)</f>
        <v>PROD027</v>
      </c>
      <c r="G886" t="str">
        <f ca="1">_xlfn.XLOOKUP(Tabela_Movimentacao_Geral[[#This Row],[ID Produto]], Tabela_Produtos[ID_Produto],Tabela_Produtos[Descricao_Produto],"Produto não encontrado")</f>
        <v>Hub USB 3.0 4 Portas</v>
      </c>
      <c r="H886" cm="1">
        <f t="array" aca="1" ref="H886" ca="1">IF(
   $O$7="Desbloqueado",
   _xlfn.LET(
     _xlpm.saldo_atual, SUM(($C$2:$C885="Entrada")*($F$2:$F885=Tabela_Movimentacao_Geral[[#This Row],[ID Produto]])*($H$2:$H885) - ($C$2:$C885="Saida")*($F$2:$F885=Tabela_Movimentacao_Geral[[#This Row],[ID Produto]])*($H$2:$H885)),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886" s="5">
        <f ca="1">_xlfn.XLOOKUP(Tabela_Movimentacao_Geral[[#This Row],[ID Produto]], Tabela_Produtos[ID_Produto],Tabela_Produtos[Preco_Unitario_Venda])</f>
        <v>75</v>
      </c>
      <c r="J886" s="6">
        <f ca="1">Tabela_Movimentacao_Geral[[#This Row],[Quantidade]] * Tabela_Movimentacao_Geral[[#This Row],[Valor Unitário]]</f>
        <v>300</v>
      </c>
      <c r="K886" t="str">
        <f ca="1">IF(
   $O$7="Desbloqueado",
   CHOOSE(RANDBETWEEN(1,3),"Pago","Pendente","Atrasado"),
   Tabela_Movimentacao_Geral[[#This Row],[Status Financeiro]]
)</f>
        <v>Pago</v>
      </c>
      <c r="L886" t="str">
        <f ca="1">IF(
   $O$7="Desbloqueado",
   CHOOSE(RANDBETWEEN(1,3),"Entregue","Em Rota","Aguardando"),
   Tabela_Movimentacao_Geral[[#This Row],[Status Logistico]]
)</f>
        <v>Aguardando</v>
      </c>
      <c r="M88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87" spans="1:13" x14ac:dyDescent="0.3">
      <c r="A887" t="str">
        <f t="shared" si="13"/>
        <v>T0886</v>
      </c>
      <c r="B887" s="1">
        <v>46082</v>
      </c>
      <c r="C887" t="str" cm="1">
        <f t="array" aca="1" ref="C887" ca="1">IF($O$7="Desbloqueado",
  _xlfn.LET(
    _xlpm.saldo_atual, SUM(($C$2:$C886="Entrada")*($F$2:$F886=Tabela_Movimentacao_Geral[[#This Row],[ID Produto]])*($H$2:$H886) - ($C$2:$C886="Saida")*($F$2:$F886=Tabela_Movimentacao_Geral[[#This Row],[ID Produto]])*($H$2:$H886)),
    IF(_xlpm.saldo_atual &gt; 0, IF(RANDBETWEEN(0,10)&gt;3,"Saida","Entrada"), "Entrada")
  ),
  Tabela_Movimentacao_Geral[[#This Row],[Tipo Fluxo]]
)</f>
        <v>Entrada</v>
      </c>
      <c r="D8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8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887" t="str">
        <f ca="1">IF(
  $O$7="Desbloqueado",
  "PROD"&amp;TEXT(RANDBETWEEN(1,200),"000"),
  Tabela_Movimentacao_Geral[[#This Row],[ID Produto]]
)</f>
        <v>PROD138</v>
      </c>
      <c r="G887" t="str">
        <f ca="1">_xlfn.XLOOKUP(Tabela_Movimentacao_Geral[[#This Row],[ID Produto]], Tabela_Produtos[ID_Produto],Tabela_Produtos[Descricao_Produto],"Produto não encontrado")</f>
        <v>Placa Mae B550M</v>
      </c>
      <c r="H887" cm="1">
        <f t="array" aca="1" ref="H887" ca="1">IF(
   $O$7="Desbloqueado",
   _xlfn.LET(
     _xlpm.saldo_atual, SUM(($C$2:$C886="Entrada")*($F$2:$F886=Tabela_Movimentacao_Geral[[#This Row],[ID Produto]])*($H$2:$H886) - ($C$2:$C886="Saida")*($F$2:$F886=Tabela_Movimentacao_Geral[[#This Row],[ID Produto]])*($H$2:$H886)),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</v>
      </c>
      <c r="I887" s="5">
        <f ca="1">_xlfn.XLOOKUP(Tabela_Movimentacao_Geral[[#This Row],[ID Produto]], Tabela_Produtos[ID_Produto],Tabela_Produtos[Preco_Unitario_Venda])</f>
        <v>850</v>
      </c>
      <c r="J887" s="6">
        <f ca="1">Tabela_Movimentacao_Geral[[#This Row],[Quantidade]] * Tabela_Movimentacao_Geral[[#This Row],[Valor Unitário]]</f>
        <v>28900</v>
      </c>
      <c r="K887" t="str">
        <f ca="1">IF(
   $O$7="Desbloqueado",
   CHOOSE(RANDBETWEEN(1,3),"Pago","Pendente","Atrasado"),
   Tabela_Movimentacao_Geral[[#This Row],[Status Financeiro]]
)</f>
        <v>Pago</v>
      </c>
      <c r="L887" t="str">
        <f ca="1">IF(
   $O$7="Desbloqueado",
   CHOOSE(RANDBETWEEN(1,3),"Entregue","Em Rota","Aguardando"),
   Tabela_Movimentacao_Geral[[#This Row],[Status Logistico]]
)</f>
        <v>Em Rota</v>
      </c>
      <c r="M88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46088</v>
      </c>
    </row>
    <row r="888" spans="1:13" x14ac:dyDescent="0.3">
      <c r="A888" t="str">
        <f t="shared" si="13"/>
        <v>T0887</v>
      </c>
      <c r="B888" s="1">
        <v>46082</v>
      </c>
      <c r="C888" t="str" cm="1">
        <f t="array" aca="1" ref="C888" ca="1">IF($O$7="Desbloqueado",
  _xlfn.LET(
    _xlpm.saldo_atual, SUM(($C$2:$C887="Entrada")*($F$2:$F887=Tabela_Movimentacao_Geral[[#This Row],[ID Produto]])*($H$2:$H887) - ($C$2:$C887="Saida")*($F$2:$F887=Tabela_Movimentacao_Geral[[#This Row],[ID Produto]])*($H$2:$H887)),
    IF(_xlpm.saldo_atual &gt; 0, IF(RANDBETWEEN(0,10)&gt;3,"Saida","Entrada"), "Entrada")
  ),
  Tabela_Movimentacao_Geral[[#This Row],[Tipo Fluxo]]
)</f>
        <v>Saida</v>
      </c>
      <c r="D8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88" t="str">
        <f ca="1">IF(
  $O$7="Desbloqueado",
  "PROD"&amp;TEXT(RANDBETWEEN(1,200),"000"),
  Tabela_Movimentacao_Geral[[#This Row],[ID Produto]]
)</f>
        <v>PROD143</v>
      </c>
      <c r="G888" t="str">
        <f ca="1">_xlfn.XLOOKUP(Tabela_Movimentacao_Geral[[#This Row],[ID Produto]], Tabela_Produtos[ID_Produto],Tabela_Produtos[Descricao_Produto],"Produto não encontrado")</f>
        <v>Spray Limpa Contatos</v>
      </c>
      <c r="H888" cm="1">
        <f t="array" aca="1" ref="H888" ca="1">IF(
   $O$7="Desbloqueado",
   _xlfn.LET(
     _xlpm.saldo_atual, SUM(($C$2:$C887="Entrada")*($F$2:$F887=Tabela_Movimentacao_Geral[[#This Row],[ID Produto]])*($H$2:$H887) - ($C$2:$C887="Saida")*($F$2:$F887=Tabela_Movimentacao_Geral[[#This Row],[ID Produto]])*($H$2:$H887)),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52</v>
      </c>
      <c r="I888" s="5">
        <f ca="1">_xlfn.XLOOKUP(Tabela_Movimentacao_Geral[[#This Row],[ID Produto]], Tabela_Produtos[ID_Produto],Tabela_Produtos[Preco_Unitario_Venda])</f>
        <v>35</v>
      </c>
      <c r="J888" s="6">
        <f ca="1">Tabela_Movimentacao_Geral[[#This Row],[Quantidade]] * Tabela_Movimentacao_Geral[[#This Row],[Valor Unitário]]</f>
        <v>1820</v>
      </c>
      <c r="K888" t="str">
        <f ca="1">IF(
   $O$7="Desbloqueado",
   CHOOSE(RANDBETWEEN(1,3),"Pago","Pendente","Atrasado"),
   Tabela_Movimentacao_Geral[[#This Row],[Status Financeiro]]
)</f>
        <v>Pago</v>
      </c>
      <c r="L888" t="str">
        <f ca="1">IF(
   $O$7="Desbloqueado",
   CHOOSE(RANDBETWEEN(1,3),"Entregue","Em Rota","Aguardando"),
   Tabela_Movimentacao_Geral[[#This Row],[Status Logistico]]
)</f>
        <v>Em Rota</v>
      </c>
      <c r="M88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89" spans="1:13" x14ac:dyDescent="0.3">
      <c r="A889" t="str">
        <f t="shared" si="13"/>
        <v>T0888</v>
      </c>
      <c r="B889" s="1">
        <v>46082</v>
      </c>
      <c r="C889" t="str" cm="1">
        <f t="array" aca="1" ref="C889" ca="1">IF($O$7="Desbloqueado",
  _xlfn.LET(
    _xlpm.saldo_atual, SUM(($C$2:$C888="Entrada")*($F$2:$F888=Tabela_Movimentacao_Geral[[#This Row],[ID Produto]])*($H$2:$H888) - ($C$2:$C888="Saida")*($F$2:$F888=Tabela_Movimentacao_Geral[[#This Row],[ID Produto]])*($H$2:$H888)),
    IF(_xlpm.saldo_atual &gt; 0, IF(RANDBETWEEN(0,10)&gt;3,"Saida","Entrada"), "Entrada")
  ),
  Tabela_Movimentacao_Geral[[#This Row],[Tipo Fluxo]]
)</f>
        <v>Entrada</v>
      </c>
      <c r="D8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8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889" t="str">
        <f ca="1">IF(
  $O$7="Desbloqueado",
  "PROD"&amp;TEXT(RANDBETWEEN(1,200),"000"),
  Tabela_Movimentacao_Geral[[#This Row],[ID Produto]]
)</f>
        <v>PROD193</v>
      </c>
      <c r="G889" t="str">
        <f ca="1">_xlfn.XLOOKUP(Tabela_Movimentacao_Geral[[#This Row],[ID Produto]], Tabela_Produtos[ID_Produto],Tabela_Produtos[Descricao_Produto],"Produto não encontrado")</f>
        <v>Mini Rack 6U Parede</v>
      </c>
      <c r="H889" cm="1">
        <f t="array" aca="1" ref="H889" ca="1">IF(
   $O$7="Desbloqueado",
   _xlfn.LET(
     _xlpm.saldo_atual, SUM(($C$2:$C888="Entrada")*($F$2:$F888=Tabela_Movimentacao_Geral[[#This Row],[ID Produto]])*($H$2:$H888) - ($C$2:$C888="Saida")*($F$2:$F888=Tabela_Movimentacao_Geral[[#This Row],[ID Produto]])*($H$2:$H888)),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889" s="5">
        <f ca="1">_xlfn.XLOOKUP(Tabela_Movimentacao_Geral[[#This Row],[ID Produto]], Tabela_Produtos[ID_Produto],Tabela_Produtos[Preco_Unitario_Venda])</f>
        <v>450</v>
      </c>
      <c r="J889" s="6">
        <f ca="1">Tabela_Movimentacao_Geral[[#This Row],[Quantidade]] * Tabela_Movimentacao_Geral[[#This Row],[Valor Unitário]]</f>
        <v>5850</v>
      </c>
      <c r="K889" t="str">
        <f ca="1">IF(
   $O$7="Desbloqueado",
   CHOOSE(RANDBETWEEN(1,3),"Pago","Pendente","Atrasado"),
   Tabela_Movimentacao_Geral[[#This Row],[Status Financeiro]]
)</f>
        <v>Pendente</v>
      </c>
      <c r="L889" t="str">
        <f ca="1">IF(
   $O$7="Desbloqueado",
   CHOOSE(RANDBETWEEN(1,3),"Entregue","Em Rota","Aguardando"),
   Tabela_Movimentacao_Geral[[#This Row],[Status Logistico]]
)</f>
        <v>Em Rota</v>
      </c>
      <c r="M88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46087</v>
      </c>
    </row>
    <row r="890" spans="1:13" x14ac:dyDescent="0.3">
      <c r="A890" t="str">
        <f t="shared" si="13"/>
        <v>T0889</v>
      </c>
      <c r="B890" s="1">
        <v>46083</v>
      </c>
      <c r="C890" t="str" cm="1">
        <f t="array" aca="1" ref="C890" ca="1">IF($O$7="Desbloqueado",
  _xlfn.LET(
    _xlpm.saldo_atual, SUM(($C$2:$C889="Entrada")*($F$2:$F889=Tabela_Movimentacao_Geral[[#This Row],[ID Produto]])*($H$2:$H889) - ($C$2:$C889="Saida")*($F$2:$F889=Tabela_Movimentacao_Geral[[#This Row],[ID Produto]])*($H$2:$H889)),
    IF(_xlpm.saldo_atual &gt; 0, IF(RANDBETWEEN(0,10)&gt;3,"Saida","Entrada"), "Entrada")
  ),
  Tabela_Movimentacao_Geral[[#This Row],[Tipo Fluxo]]
)</f>
        <v>Saida</v>
      </c>
      <c r="D8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CLI014</v>
      </c>
      <c r="E8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Moda Fashion</v>
      </c>
      <c r="F890" t="str">
        <f ca="1">IF(
  $O$7="Desbloqueado",
  "PROD"&amp;TEXT(RANDBETWEEN(1,200),"000"),
  Tabela_Movimentacao_Geral[[#This Row],[ID Produto]]
)</f>
        <v>PROD142</v>
      </c>
      <c r="G890" t="str">
        <f ca="1">_xlfn.XLOOKUP(Tabela_Movimentacao_Geral[[#This Row],[ID Produto]], Tabela_Produtos[ID_Produto],Tabela_Produtos[Descricao_Produto],"Produto não encontrado")</f>
        <v>Trava de Seguranca Note</v>
      </c>
      <c r="H890" cm="1">
        <f t="array" aca="1" ref="H890" ca="1">IF(
   $O$7="Desbloqueado",
   _xlfn.LET(
     _xlpm.saldo_atual, SUM(($C$2:$C889="Entrada")*($F$2:$F889=Tabela_Movimentacao_Geral[[#This Row],[ID Produto]])*($H$2:$H889) - ($C$2:$C889="Saida")*($F$2:$F889=Tabela_Movimentacao_Geral[[#This Row],[ID Produto]])*($H$2:$H889)),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890" s="5">
        <f ca="1">_xlfn.XLOOKUP(Tabela_Movimentacao_Geral[[#This Row],[ID Produto]], Tabela_Produtos[ID_Produto],Tabela_Produtos[Preco_Unitario_Venda])</f>
        <v>85</v>
      </c>
      <c r="J890" s="6">
        <f ca="1">Tabela_Movimentacao_Geral[[#This Row],[Quantidade]] * Tabela_Movimentacao_Geral[[#This Row],[Valor Unitário]]</f>
        <v>170</v>
      </c>
      <c r="K890" t="str">
        <f ca="1">IF(
   $O$7="Desbloqueado",
   CHOOSE(RANDBETWEEN(1,3),"Pago","Pendente","Atrasado"),
   Tabela_Movimentacao_Geral[[#This Row],[Status Financeiro]]
)</f>
        <v>Pendente</v>
      </c>
      <c r="L890" t="str">
        <f ca="1">IF(
   $O$7="Desbloqueado",
   CHOOSE(RANDBETWEEN(1,3),"Entregue","Em Rota","Aguardando"),
   Tabela_Movimentacao_Geral[[#This Row],[Status Logistico]]
)</f>
        <v>Entregue</v>
      </c>
      <c r="M89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91" spans="1:13" x14ac:dyDescent="0.3">
      <c r="A891" t="str">
        <f t="shared" si="13"/>
        <v>T0890</v>
      </c>
      <c r="B891" s="1">
        <v>46083</v>
      </c>
      <c r="C891" t="str" cm="1">
        <f t="array" aca="1" ref="C891" ca="1">IF($O$7="Desbloqueado",
  _xlfn.LET(
    _xlpm.saldo_atual, SUM(($C$2:$C890="Entrada")*($F$2:$F890=Tabela_Movimentacao_Geral[[#This Row],[ID Produto]])*($H$2:$H890) - ($C$2:$C890="Saida")*($F$2:$F890=Tabela_Movimentacao_Geral[[#This Row],[ID Produto]])*($H$2:$H890)),
    IF(_xlpm.saldo_atual &gt; 0, IF(RANDBETWEEN(0,10)&gt;3,"Saida","Entrada"), "Entrada")
  ),
  Tabela_Movimentacao_Geral[[#This Row],[Tipo Fluxo]]
)</f>
        <v>Saida</v>
      </c>
      <c r="D8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8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891" t="str">
        <f ca="1">IF(
  $O$7="Desbloqueado",
  "PROD"&amp;TEXT(RANDBETWEEN(1,200),"000"),
  Tabela_Movimentacao_Geral[[#This Row],[ID Produto]]
)</f>
        <v>PROD197</v>
      </c>
      <c r="G891" t="str">
        <f ca="1">_xlfn.XLOOKUP(Tabela_Movimentacao_Geral[[#This Row],[ID Produto]], Tabela_Produtos[ID_Produto],Tabela_Produtos[Descricao_Produto],"Produto não encontrado")</f>
        <v>Soprador Térmico 1800W</v>
      </c>
      <c r="H891" cm="1">
        <f t="array" aca="1" ref="H891" ca="1">IF(
   $O$7="Desbloqueado",
   _xlfn.LET(
     _xlpm.saldo_atual, SUM(($C$2:$C890="Entrada")*($F$2:$F890=Tabela_Movimentacao_Geral[[#This Row],[ID Produto]])*($H$2:$H890) - ($C$2:$C890="Saida")*($F$2:$F890=Tabela_Movimentacao_Geral[[#This Row],[ID Produto]])*($H$2:$H890)),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</v>
      </c>
      <c r="I891" s="5">
        <f ca="1">_xlfn.XLOOKUP(Tabela_Movimentacao_Geral[[#This Row],[ID Produto]], Tabela_Produtos[ID_Produto],Tabela_Produtos[Preco_Unitario_Venda])</f>
        <v>280</v>
      </c>
      <c r="J891" s="6">
        <f ca="1">Tabela_Movimentacao_Geral[[#This Row],[Quantidade]] * Tabela_Movimentacao_Geral[[#This Row],[Valor Unitário]]</f>
        <v>2520</v>
      </c>
      <c r="K891" t="str">
        <f ca="1">IF(
   $O$7="Desbloqueado",
   CHOOSE(RANDBETWEEN(1,3),"Pago","Pendente","Atrasado"),
   Tabela_Movimentacao_Geral[[#This Row],[Status Financeiro]]
)</f>
        <v>Pendente</v>
      </c>
      <c r="L891" t="str">
        <f ca="1">IF(
   $O$7="Desbloqueado",
   CHOOSE(RANDBETWEEN(1,3),"Entregue","Em Rota","Aguardando"),
   Tabela_Movimentacao_Geral[[#This Row],[Status Logistico]]
)</f>
        <v>Entregue</v>
      </c>
      <c r="M89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92" spans="1:13" x14ac:dyDescent="0.3">
      <c r="A892" t="str">
        <f t="shared" si="13"/>
        <v>T0891</v>
      </c>
      <c r="B892" s="1">
        <v>46084</v>
      </c>
      <c r="C892" t="str" cm="1">
        <f t="array" aca="1" ref="C892" ca="1">IF($O$7="Desbloqueado",
  _xlfn.LET(
    _xlpm.saldo_atual, SUM(($C$2:$C891="Entrada")*($F$2:$F891=Tabela_Movimentacao_Geral[[#This Row],[ID Produto]])*($H$2:$H891) - ($C$2:$C891="Saida")*($F$2:$F891=Tabela_Movimentacao_Geral[[#This Row],[ID Produto]])*($H$2:$H891)),
    IF(_xlpm.saldo_atual &gt; 0, IF(RANDBETWEEN(0,10)&gt;3,"Saida","Entrada"), "Entrada")
  ),
  Tabela_Movimentacao_Geral[[#This Row],[Tipo Fluxo]]
)</f>
        <v>Entrada</v>
      </c>
      <c r="D8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8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892" t="str">
        <f ca="1">IF(
  $O$7="Desbloqueado",
  "PROD"&amp;TEXT(RANDBETWEEN(1,200),"000"),
  Tabela_Movimentacao_Geral[[#This Row],[ID Produto]]
)</f>
        <v>PROD063</v>
      </c>
      <c r="G892" t="str">
        <f ca="1">_xlfn.XLOOKUP(Tabela_Movimentacao_Geral[[#This Row],[ID Produto]], Tabela_Produtos[ID_Produto],Tabela_Produtos[Descricao_Produto],"Produto não encontrado")</f>
        <v>Tesoura Multiuso</v>
      </c>
      <c r="H892" cm="1">
        <f t="array" aca="1" ref="H892" ca="1">IF(
   $O$7="Desbloqueado",
   _xlfn.LET(
     _xlpm.saldo_atual, SUM(($C$2:$C891="Entrada")*($F$2:$F891=Tabela_Movimentacao_Geral[[#This Row],[ID Produto]])*($H$2:$H891) - ($C$2:$C891="Saida")*($F$2:$F891=Tabela_Movimentacao_Geral[[#This Row],[ID Produto]])*($H$2:$H891)),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892" s="5">
        <f ca="1">_xlfn.XLOOKUP(Tabela_Movimentacao_Geral[[#This Row],[ID Produto]], Tabela_Produtos[ID_Produto],Tabela_Produtos[Preco_Unitario_Venda])</f>
        <v>18</v>
      </c>
      <c r="J892" s="6">
        <f ca="1">Tabela_Movimentacao_Geral[[#This Row],[Quantidade]] * Tabela_Movimentacao_Geral[[#This Row],[Valor Unitário]]</f>
        <v>1098</v>
      </c>
      <c r="K892" t="str">
        <f ca="1">IF(
   $O$7="Desbloqueado",
   CHOOSE(RANDBETWEEN(1,3),"Pago","Pendente","Atrasado"),
   Tabela_Movimentacao_Geral[[#This Row],[Status Financeiro]]
)</f>
        <v>Atrasado</v>
      </c>
      <c r="L892" t="str">
        <f ca="1">IF(
   $O$7="Desbloqueado",
   CHOOSE(RANDBETWEEN(1,3),"Entregue","Em Rota","Aguardando"),
   Tabela_Movimentacao_Geral[[#This Row],[Status Logistico]]
)</f>
        <v>Entregue</v>
      </c>
      <c r="M89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46090</v>
      </c>
    </row>
    <row r="893" spans="1:13" x14ac:dyDescent="0.3">
      <c r="A893" t="str">
        <f t="shared" si="13"/>
        <v>T0892</v>
      </c>
      <c r="B893" s="1">
        <v>46084</v>
      </c>
      <c r="C893" t="str" cm="1">
        <f t="array" aca="1" ref="C893" ca="1">IF($O$7="Desbloqueado",
  _xlfn.LET(
    _xlpm.saldo_atual, SUM(($C$2:$C892="Entrada")*($F$2:$F892=Tabela_Movimentacao_Geral[[#This Row],[ID Produto]])*($H$2:$H892) - ($C$2:$C892="Saida")*($F$2:$F892=Tabela_Movimentacao_Geral[[#This Row],[ID Produto]])*($H$2:$H892)),
    IF(_xlpm.saldo_atual &gt; 0, IF(RANDBETWEEN(0,10)&gt;3,"Saida","Entrada"), "Entrada")
  ),
  Tabela_Movimentacao_Geral[[#This Row],[Tipo Fluxo]]
)</f>
        <v>Saida</v>
      </c>
      <c r="D8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8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893" t="str">
        <f ca="1">IF(
  $O$7="Desbloqueado",
  "PROD"&amp;TEXT(RANDBETWEEN(1,200),"000"),
  Tabela_Movimentacao_Geral[[#This Row],[ID Produto]]
)</f>
        <v>PROD183</v>
      </c>
      <c r="G893" t="str">
        <f ca="1">_xlfn.XLOOKUP(Tabela_Movimentacao_Geral[[#This Row],[ID Produto]], Tabela_Produtos[ID_Produto],Tabela_Produtos[Descricao_Produto],"Produto não encontrado")</f>
        <v>Placa de Rede Quad Port</v>
      </c>
      <c r="H893" cm="1">
        <f t="array" aca="1" ref="H893" ca="1">IF(
   $O$7="Desbloqueado",
   _xlfn.LET(
     _xlpm.saldo_atual, SUM(($C$2:$C892="Entrada")*($F$2:$F892=Tabela_Movimentacao_Geral[[#This Row],[ID Produto]])*($H$2:$H892) - ($C$2:$C892="Saida")*($F$2:$F892=Tabela_Movimentacao_Geral[[#This Row],[ID Produto]])*($H$2:$H892)),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893" s="5">
        <f ca="1">_xlfn.XLOOKUP(Tabela_Movimentacao_Geral[[#This Row],[ID Produto]], Tabela_Produtos[ID_Produto],Tabela_Produtos[Preco_Unitario_Venda])</f>
        <v>1200</v>
      </c>
      <c r="J893" s="6">
        <f ca="1">Tabela_Movimentacao_Geral[[#This Row],[Quantidade]] * Tabela_Movimentacao_Geral[[#This Row],[Valor Unitário]]</f>
        <v>7200</v>
      </c>
      <c r="K893" t="str">
        <f ca="1">IF(
   $O$7="Desbloqueado",
   CHOOSE(RANDBETWEEN(1,3),"Pago","Pendente","Atrasado"),
   Tabela_Movimentacao_Geral[[#This Row],[Status Financeiro]]
)</f>
        <v>Pago</v>
      </c>
      <c r="L893" t="str">
        <f ca="1">IF(
   $O$7="Desbloqueado",
   CHOOSE(RANDBETWEEN(1,3),"Entregue","Em Rota","Aguardando"),
   Tabela_Movimentacao_Geral[[#This Row],[Status Logistico]]
)</f>
        <v>Em Rota</v>
      </c>
      <c r="M89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94" spans="1:13" x14ac:dyDescent="0.3">
      <c r="A894" t="str">
        <f t="shared" si="13"/>
        <v>T0893</v>
      </c>
      <c r="B894" s="1">
        <v>46085</v>
      </c>
      <c r="C894" t="str" cm="1">
        <f t="array" aca="1" ref="C894" ca="1">IF($O$7="Desbloqueado",
  _xlfn.LET(
    _xlpm.saldo_atual, SUM(($C$2:$C893="Entrada")*($F$2:$F893=Tabela_Movimentacao_Geral[[#This Row],[ID Produto]])*($H$2:$H893) - ($C$2:$C893="Saida")*($F$2:$F893=Tabela_Movimentacao_Geral[[#This Row],[ID Produto]])*($H$2:$H893)),
    IF(_xlpm.saldo_atual &gt; 0, IF(RANDBETWEEN(0,10)&gt;3,"Saida","Entrada"), "Entrada")
  ),
  Tabela_Movimentacao_Geral[[#This Row],[Tipo Fluxo]]
)</f>
        <v>Saida</v>
      </c>
      <c r="D8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8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894" t="str">
        <f ca="1">IF(
  $O$7="Desbloqueado",
  "PROD"&amp;TEXT(RANDBETWEEN(1,200),"000"),
  Tabela_Movimentacao_Geral[[#This Row],[ID Produto]]
)</f>
        <v>PROD015</v>
      </c>
      <c r="G894" t="str">
        <f ca="1">_xlfn.XLOOKUP(Tabela_Movimentacao_Geral[[#This Row],[ID Produto]], Tabela_Produtos[ID_Produto],Tabela_Produtos[Descricao_Produto],"Produto não encontrado")</f>
        <v>Switch 24 Portas Giga</v>
      </c>
      <c r="H894" cm="1">
        <f t="array" aca="1" ref="H894" ca="1">IF(
   $O$7="Desbloqueado",
   _xlfn.LET(
     _xlpm.saldo_atual, SUM(($C$2:$C893="Entrada")*($F$2:$F893=Tabela_Movimentacao_Geral[[#This Row],[ID Produto]])*($H$2:$H893) - ($C$2:$C893="Saida")*($F$2:$F893=Tabela_Movimentacao_Geral[[#This Row],[ID Produto]])*($H$2:$H893)),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894" s="5">
        <f ca="1">_xlfn.XLOOKUP(Tabela_Movimentacao_Geral[[#This Row],[ID Produto]], Tabela_Produtos[ID_Produto],Tabela_Produtos[Preco_Unitario_Venda])</f>
        <v>1200</v>
      </c>
      <c r="J894" s="6">
        <f ca="1">Tabela_Movimentacao_Geral[[#This Row],[Quantidade]] * Tabela_Movimentacao_Geral[[#This Row],[Valor Unitário]]</f>
        <v>1200</v>
      </c>
      <c r="K894" t="str">
        <f ca="1">IF(
   $O$7="Desbloqueado",
   CHOOSE(RANDBETWEEN(1,3),"Pago","Pendente","Atrasado"),
   Tabela_Movimentacao_Geral[[#This Row],[Status Financeiro]]
)</f>
        <v>Atrasado</v>
      </c>
      <c r="L894" t="str">
        <f ca="1">IF(
   $O$7="Desbloqueado",
   CHOOSE(RANDBETWEEN(1,3),"Entregue","Em Rota","Aguardando"),
   Tabela_Movimentacao_Geral[[#This Row],[Status Logistico]]
)</f>
        <v>Entregue</v>
      </c>
      <c r="M89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95" spans="1:13" x14ac:dyDescent="0.3">
      <c r="A895" t="str">
        <f t="shared" si="13"/>
        <v>T0894</v>
      </c>
      <c r="B895" s="1">
        <v>46085</v>
      </c>
      <c r="C895" t="str" cm="1">
        <f t="array" aca="1" ref="C895" ca="1">IF($O$7="Desbloqueado",
  _xlfn.LET(
    _xlpm.saldo_atual, SUM(($C$2:$C894="Entrada")*($F$2:$F894=Tabela_Movimentacao_Geral[[#This Row],[ID Produto]])*($H$2:$H894) - ($C$2:$C894="Saida")*($F$2:$F894=Tabela_Movimentacao_Geral[[#This Row],[ID Produto]])*($H$2:$H894)),
    IF(_xlpm.saldo_atual &gt; 0, IF(RANDBETWEEN(0,10)&gt;3,"Saida","Entrada"), "Entrada")
  ),
  Tabela_Movimentacao_Geral[[#This Row],[Tipo Fluxo]]
)</f>
        <v>Entrada</v>
      </c>
      <c r="D8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FORN013</v>
      </c>
      <c r="E8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Network Master</v>
      </c>
      <c r="F895" t="str">
        <f ca="1">IF(
  $O$7="Desbloqueado",
  "PROD"&amp;TEXT(RANDBETWEEN(1,200),"000"),
  Tabela_Movimentacao_Geral[[#This Row],[ID Produto]]
)</f>
        <v>PROD111</v>
      </c>
      <c r="G895" t="str">
        <f ca="1">_xlfn.XLOOKUP(Tabela_Movimentacao_Geral[[#This Row],[ID Produto]], Tabela_Produtos[ID_Produto],Tabela_Produtos[Descricao_Produto],"Produto não encontrado")</f>
        <v>Memoria Notebook 16GB</v>
      </c>
      <c r="H895" cm="1">
        <f t="array" aca="1" ref="H895" ca="1">IF(
   $O$7="Desbloqueado",
   _xlfn.LET(
     _xlpm.saldo_atual, SUM(($C$2:$C894="Entrada")*($F$2:$F894=Tabela_Movimentacao_Geral[[#This Row],[ID Produto]])*($H$2:$H894) - ($C$2:$C894="Saida")*($F$2:$F894=Tabela_Movimentacao_Geral[[#This Row],[ID Produto]])*($H$2:$H894)),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71</v>
      </c>
      <c r="I895" s="5">
        <f ca="1">_xlfn.XLOOKUP(Tabela_Movimentacao_Geral[[#This Row],[ID Produto]], Tabela_Produtos[ID_Produto],Tabela_Produtos[Preco_Unitario_Venda])</f>
        <v>420</v>
      </c>
      <c r="J895" s="6">
        <f ca="1">Tabela_Movimentacao_Geral[[#This Row],[Quantidade]] * Tabela_Movimentacao_Geral[[#This Row],[Valor Unitário]]</f>
        <v>29820</v>
      </c>
      <c r="K895" t="str">
        <f ca="1">IF(
   $O$7="Desbloqueado",
   CHOOSE(RANDBETWEEN(1,3),"Pago","Pendente","Atrasado"),
   Tabela_Movimentacao_Geral[[#This Row],[Status Financeiro]]
)</f>
        <v>Atrasado</v>
      </c>
      <c r="L895" t="str">
        <f ca="1">IF(
   $O$7="Desbloqueado",
   CHOOSE(RANDBETWEEN(1,3),"Entregue","Em Rota","Aguardando"),
   Tabela_Movimentacao_Geral[[#This Row],[Status Logistico]]
)</f>
        <v>Em Rota</v>
      </c>
      <c r="M89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46091</v>
      </c>
    </row>
    <row r="896" spans="1:13" x14ac:dyDescent="0.3">
      <c r="A896" t="str">
        <f t="shared" si="13"/>
        <v>T0895</v>
      </c>
      <c r="B896" s="1">
        <v>46086</v>
      </c>
      <c r="C896" t="str" cm="1">
        <f t="array" aca="1" ref="C896" ca="1">IF($O$7="Desbloqueado",
  _xlfn.LET(
    _xlpm.saldo_atual, SUM(($C$2:$C895="Entrada")*($F$2:$F895=Tabela_Movimentacao_Geral[[#This Row],[ID Produto]])*($H$2:$H895) - ($C$2:$C895="Saida")*($F$2:$F895=Tabela_Movimentacao_Geral[[#This Row],[ID Produto]])*($H$2:$H895)),
    IF(_xlpm.saldo_atual &gt; 0, IF(RANDBETWEEN(0,10)&gt;3,"Saida","Entrada"), "Entrada")
  ),
  Tabela_Movimentacao_Geral[[#This Row],[Tipo Fluxo]]
)</f>
        <v>Saida</v>
      </c>
      <c r="D8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8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896" t="str">
        <f ca="1">IF(
  $O$7="Desbloqueado",
  "PROD"&amp;TEXT(RANDBETWEEN(1,200),"000"),
  Tabela_Movimentacao_Geral[[#This Row],[ID Produto]]
)</f>
        <v>PROD029</v>
      </c>
      <c r="G896" t="str">
        <f ca="1">_xlfn.XLOOKUP(Tabela_Movimentacao_Geral[[#This Row],[ID Produto]], Tabela_Produtos[ID_Produto],Tabela_Produtos[Descricao_Produto],"Produto não encontrado")</f>
        <v>Caneta Digital para Tablet</v>
      </c>
      <c r="H896" cm="1">
        <f t="array" aca="1" ref="H896" ca="1">IF(
   $O$7="Desbloqueado",
   _xlfn.LET(
     _xlpm.saldo_atual, SUM(($C$2:$C895="Entrada")*($F$2:$F895=Tabela_Movimentacao_Geral[[#This Row],[ID Produto]])*($H$2:$H895) - ($C$2:$C895="Saida")*($F$2:$F895=Tabela_Movimentacao_Geral[[#This Row],[ID Produto]])*($H$2:$H895)),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33</v>
      </c>
      <c r="I896" s="5">
        <f ca="1">_xlfn.XLOOKUP(Tabela_Movimentacao_Geral[[#This Row],[ID Produto]], Tabela_Produtos[ID_Produto],Tabela_Produtos[Preco_Unitario_Venda])</f>
        <v>320</v>
      </c>
      <c r="J896" s="6">
        <f ca="1">Tabela_Movimentacao_Geral[[#This Row],[Quantidade]] * Tabela_Movimentacao_Geral[[#This Row],[Valor Unitário]]</f>
        <v>10560</v>
      </c>
      <c r="K896" t="str">
        <f ca="1">IF(
   $O$7="Desbloqueado",
   CHOOSE(RANDBETWEEN(1,3),"Pago","Pendente","Atrasado"),
   Tabela_Movimentacao_Geral[[#This Row],[Status Financeiro]]
)</f>
        <v>Pago</v>
      </c>
      <c r="L896" t="str">
        <f ca="1">IF(
   $O$7="Desbloqueado",
   CHOOSE(RANDBETWEEN(1,3),"Entregue","Em Rota","Aguardando"),
   Tabela_Movimentacao_Geral[[#This Row],[Status Logistico]]
)</f>
        <v>Aguardando</v>
      </c>
      <c r="M89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97" spans="1:13" x14ac:dyDescent="0.3">
      <c r="A897" t="str">
        <f t="shared" si="13"/>
        <v>T0896</v>
      </c>
      <c r="B897" s="1">
        <v>46087</v>
      </c>
      <c r="C897" t="str" cm="1">
        <f t="array" aca="1" ref="C897" ca="1">IF($O$7="Desbloqueado",
  _xlfn.LET(
    _xlpm.saldo_atual, SUM(($C$2:$C896="Entrada")*($F$2:$F896=Tabela_Movimentacao_Geral[[#This Row],[ID Produto]])*($H$2:$H896) - ($C$2:$C896="Saida")*($F$2:$F896=Tabela_Movimentacao_Geral[[#This Row],[ID Produto]])*($H$2:$H896)),
    IF(_xlpm.saldo_atual &gt; 0, IF(RANDBETWEEN(0,10)&gt;3,"Saida","Entrada"), "Entrada")
  ),
  Tabela_Movimentacao_Geral[[#This Row],[Tipo Fluxo]]
)</f>
        <v>Saida</v>
      </c>
      <c r="D8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8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897" t="str">
        <f ca="1">IF(
  $O$7="Desbloqueado",
  "PROD"&amp;TEXT(RANDBETWEEN(1,200),"000"),
  Tabela_Movimentacao_Geral[[#This Row],[ID Produto]]
)</f>
        <v>PROD037</v>
      </c>
      <c r="G897" t="str">
        <f ca="1">_xlfn.XLOOKUP(Tabela_Movimentacao_Geral[[#This Row],[ID Produto]], Tabela_Produtos[ID_Produto],Tabela_Produtos[Descricao_Produto],"Produto não encontrado")</f>
        <v>Placa de Video 4GB</v>
      </c>
      <c r="H897" cm="1">
        <f t="array" aca="1" ref="H897" ca="1">IF(
   $O$7="Desbloqueado",
   _xlfn.LET(
     _xlpm.saldo_atual, SUM(($C$2:$C896="Entrada")*($F$2:$F896=Tabela_Movimentacao_Geral[[#This Row],[ID Produto]])*($H$2:$H896) - ($C$2:$C896="Saida")*($F$2:$F896=Tabela_Movimentacao_Geral[[#This Row],[ID Produto]])*($H$2:$H896)),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</v>
      </c>
      <c r="I897" s="5">
        <f ca="1">_xlfn.XLOOKUP(Tabela_Movimentacao_Geral[[#This Row],[ID Produto]], Tabela_Produtos[ID_Produto],Tabela_Produtos[Preco_Unitario_Venda])</f>
        <v>1400</v>
      </c>
      <c r="J897" s="6">
        <f ca="1">Tabela_Movimentacao_Geral[[#This Row],[Quantidade]] * Tabela_Movimentacao_Geral[[#This Row],[Valor Unitário]]</f>
        <v>7000</v>
      </c>
      <c r="K897" t="str">
        <f ca="1">IF(
   $O$7="Desbloqueado",
   CHOOSE(RANDBETWEEN(1,3),"Pago","Pendente","Atrasado"),
   Tabela_Movimentacao_Geral[[#This Row],[Status Financeiro]]
)</f>
        <v>Pendente</v>
      </c>
      <c r="L897" t="str">
        <f ca="1">IF(
   $O$7="Desbloqueado",
   CHOOSE(RANDBETWEEN(1,3),"Entregue","Em Rota","Aguardando"),
   Tabela_Movimentacao_Geral[[#This Row],[Status Logistico]]
)</f>
        <v>Aguardando</v>
      </c>
      <c r="M89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898" spans="1:13" x14ac:dyDescent="0.3">
      <c r="A898" t="str">
        <f t="shared" si="13"/>
        <v>T0897</v>
      </c>
      <c r="B898" s="1">
        <v>46088</v>
      </c>
      <c r="C898" t="str" cm="1">
        <f t="array" aca="1" ref="C898" ca="1">IF($O$7="Desbloqueado",
  _xlfn.LET(
    _xlpm.saldo_atual, SUM(($C$2:$C897="Entrada")*($F$2:$F897=Tabela_Movimentacao_Geral[[#This Row],[ID Produto]])*($H$2:$H897) - ($C$2:$C897="Saida")*($F$2:$F897=Tabela_Movimentacao_Geral[[#This Row],[ID Produto]])*($H$2:$H897)),
    IF(_xlpm.saldo_atual &gt; 0, IF(RANDBETWEEN(0,10)&gt;3,"Saida","Entrada"), "Entrada")
  ),
  Tabela_Movimentacao_Geral[[#This Row],[Tipo Fluxo]]
)</f>
        <v>Entrada</v>
      </c>
      <c r="D8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8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898" t="str">
        <f ca="1">IF(
  $O$7="Desbloqueado",
  "PROD"&amp;TEXT(RANDBETWEEN(1,200),"000"),
  Tabela_Movimentacao_Geral[[#This Row],[ID Produto]]
)</f>
        <v>PROD100</v>
      </c>
      <c r="G898" t="str">
        <f ca="1">_xlfn.XLOOKUP(Tabela_Movimentacao_Geral[[#This Row],[ID Produto]], Tabela_Produtos[ID_Produto],Tabela_Produtos[Descricao_Produto],"Produto não encontrado")</f>
        <v>Injetor PoE Gigabit</v>
      </c>
      <c r="H898" cm="1">
        <f t="array" aca="1" ref="H898" ca="1">IF(
   $O$7="Desbloqueado",
   _xlfn.LET(
     _xlpm.saldo_atual, SUM(($C$2:$C897="Entrada")*($F$2:$F897=Tabela_Movimentacao_Geral[[#This Row],[ID Produto]])*($H$2:$H897) - ($C$2:$C897="Saida")*($F$2:$F897=Tabela_Movimentacao_Geral[[#This Row],[ID Produto]])*($H$2:$H897)),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898" s="5">
        <f ca="1">_xlfn.XLOOKUP(Tabela_Movimentacao_Geral[[#This Row],[ID Produto]], Tabela_Produtos[ID_Produto],Tabela_Produtos[Preco_Unitario_Venda])</f>
        <v>180</v>
      </c>
      <c r="J898" s="6">
        <f ca="1">Tabela_Movimentacao_Geral[[#This Row],[Quantidade]] * Tabela_Movimentacao_Geral[[#This Row],[Valor Unitário]]</f>
        <v>12960</v>
      </c>
      <c r="K898" t="str">
        <f ca="1">IF(
   $O$7="Desbloqueado",
   CHOOSE(RANDBETWEEN(1,3),"Pago","Pendente","Atrasado"),
   Tabela_Movimentacao_Geral[[#This Row],[Status Financeiro]]
)</f>
        <v>Pago</v>
      </c>
      <c r="L898" t="str">
        <f ca="1">IF(
   $O$7="Desbloqueado",
   CHOOSE(RANDBETWEEN(1,3),"Entregue","Em Rota","Aguardando"),
   Tabela_Movimentacao_Geral[[#This Row],[Status Logistico]]
)</f>
        <v>Aguardando</v>
      </c>
      <c r="M89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46096</v>
      </c>
    </row>
    <row r="899" spans="1:13" x14ac:dyDescent="0.3">
      <c r="A899" t="str">
        <f t="shared" si="13"/>
        <v>T0898</v>
      </c>
      <c r="B899" s="1">
        <v>46088</v>
      </c>
      <c r="C899" t="str" cm="1">
        <f t="array" aca="1" ref="C899" ca="1">IF($O$7="Desbloqueado",
  _xlfn.LET(
    _xlpm.saldo_atual, SUM(($C$2:$C898="Entrada")*($F$2:$F898=Tabela_Movimentacao_Geral[[#This Row],[ID Produto]])*($H$2:$H898) - ($C$2:$C898="Saida")*($F$2:$F898=Tabela_Movimentacao_Geral[[#This Row],[ID Produto]])*($H$2:$H898)),
    IF(_xlpm.saldo_atual &gt; 0, IF(RANDBETWEEN(0,10)&gt;3,"Saida","Entrada"), "Entrada")
  ),
  Tabela_Movimentacao_Geral[[#This Row],[Tipo Fluxo]]
)</f>
        <v>Saida</v>
      </c>
      <c r="D8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8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899" t="str">
        <f ca="1">IF(
  $O$7="Desbloqueado",
  "PROD"&amp;TEXT(RANDBETWEEN(1,200),"000"),
  Tabela_Movimentacao_Geral[[#This Row],[ID Produto]]
)</f>
        <v>PROD190</v>
      </c>
      <c r="G899" t="str">
        <f ca="1">_xlfn.XLOOKUP(Tabela_Movimentacao_Geral[[#This Row],[ID Produto]], Tabela_Produtos[ID_Produto],Tabela_Produtos[Descricao_Produto],"Produto não encontrado")</f>
        <v>Firewall Hardware Mid</v>
      </c>
      <c r="H899" cm="1">
        <f t="array" aca="1" ref="H899" ca="1">IF(
   $O$7="Desbloqueado",
   _xlfn.LET(
     _xlpm.saldo_atual, SUM(($C$2:$C898="Entrada")*($F$2:$F898=Tabela_Movimentacao_Geral[[#This Row],[ID Produto]])*($H$2:$H898) - ($C$2:$C898="Saida")*($F$2:$F898=Tabela_Movimentacao_Geral[[#This Row],[ID Produto]])*($H$2:$H898)),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</v>
      </c>
      <c r="I899" s="5">
        <f ca="1">_xlfn.XLOOKUP(Tabela_Movimentacao_Geral[[#This Row],[ID Produto]], Tabela_Produtos[ID_Produto],Tabela_Produtos[Preco_Unitario_Venda])</f>
        <v>8500</v>
      </c>
      <c r="J899" s="6">
        <f ca="1">Tabela_Movimentacao_Geral[[#This Row],[Quantidade]] * Tabela_Movimentacao_Geral[[#This Row],[Valor Unitário]]</f>
        <v>144500</v>
      </c>
      <c r="K899" t="str">
        <f ca="1">IF(
   $O$7="Desbloqueado",
   CHOOSE(RANDBETWEEN(1,3),"Pago","Pendente","Atrasado"),
   Tabela_Movimentacao_Geral[[#This Row],[Status Financeiro]]
)</f>
        <v>Pendente</v>
      </c>
      <c r="L899" t="str">
        <f ca="1">IF(
   $O$7="Desbloqueado",
   CHOOSE(RANDBETWEEN(1,3),"Entregue","Em Rota","Aguardando"),
   Tabela_Movimentacao_Geral[[#This Row],[Status Logistico]]
)</f>
        <v>Em Rota</v>
      </c>
      <c r="M89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00" spans="1:13" x14ac:dyDescent="0.3">
      <c r="A900" t="str">
        <f t="shared" si="13"/>
        <v>T0899</v>
      </c>
      <c r="B900" s="1">
        <v>46090</v>
      </c>
      <c r="C900" t="str" cm="1">
        <f t="array" aca="1" ref="C900" ca="1">IF($O$7="Desbloqueado",
  _xlfn.LET(
    _xlpm.saldo_atual, SUM(($C$2:$C899="Entrada")*($F$2:$F899=Tabela_Movimentacao_Geral[[#This Row],[ID Produto]])*($H$2:$H899) - ($C$2:$C899="Saida")*($F$2:$F899=Tabela_Movimentacao_Geral[[#This Row],[ID Produto]])*($H$2:$H899)),
    IF(_xlpm.saldo_atual &gt; 0, IF(RANDBETWEEN(0,10)&gt;3,"Saida","Entrada"), "Entrada")
  ),
  Tabela_Movimentacao_Geral[[#This Row],[Tipo Fluxo]]
)</f>
        <v>Entrada</v>
      </c>
      <c r="D9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9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900" t="str">
        <f ca="1">IF(
  $O$7="Desbloqueado",
  "PROD"&amp;TEXT(RANDBETWEEN(1,200),"000"),
  Tabela_Movimentacao_Geral[[#This Row],[ID Produto]]
)</f>
        <v>PROD066</v>
      </c>
      <c r="G900" t="str">
        <f ca="1">_xlfn.XLOOKUP(Tabela_Movimentacao_Geral[[#This Row],[ID Produto]], Tabela_Produtos[ID_Produto],Tabela_Produtos[Descricao_Produto],"Produto não encontrado")</f>
        <v>Calculadora Cientifica</v>
      </c>
      <c r="H900" cm="1">
        <f t="array" aca="1" ref="H900" ca="1">IF(
   $O$7="Desbloqueado",
   _xlfn.LET(
     _xlpm.saldo_atual, SUM(($C$2:$C899="Entrada")*($F$2:$F899=Tabela_Movimentacao_Geral[[#This Row],[ID Produto]])*($H$2:$H899) - ($C$2:$C899="Saida")*($F$2:$F899=Tabela_Movimentacao_Geral[[#This Row],[ID Produto]])*($H$2:$H899)),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900" s="5">
        <f ca="1">_xlfn.XLOOKUP(Tabela_Movimentacao_Geral[[#This Row],[ID Produto]], Tabela_Produtos[ID_Produto],Tabela_Produtos[Preco_Unitario_Venda])</f>
        <v>95</v>
      </c>
      <c r="J900" s="6">
        <f ca="1">Tabela_Movimentacao_Geral[[#This Row],[Quantidade]] * Tabela_Movimentacao_Geral[[#This Row],[Valor Unitário]]</f>
        <v>7505</v>
      </c>
      <c r="K900" t="str">
        <f ca="1">IF(
   $O$7="Desbloqueado",
   CHOOSE(RANDBETWEEN(1,3),"Pago","Pendente","Atrasado"),
   Tabela_Movimentacao_Geral[[#This Row],[Status Financeiro]]
)</f>
        <v>Atrasado</v>
      </c>
      <c r="L900" t="str">
        <f ca="1">IF(
   $O$7="Desbloqueado",
   CHOOSE(RANDBETWEEN(1,3),"Entregue","Em Rota","Aguardando"),
   Tabela_Movimentacao_Geral[[#This Row],[Status Logistico]]
)</f>
        <v>Entregue</v>
      </c>
      <c r="M90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46097</v>
      </c>
    </row>
    <row r="901" spans="1:13" x14ac:dyDescent="0.3">
      <c r="A901" t="str">
        <f t="shared" si="13"/>
        <v>T0900</v>
      </c>
      <c r="B901" s="1">
        <v>46091</v>
      </c>
      <c r="C901" t="str" cm="1">
        <f t="array" aca="1" ref="C901" ca="1">IF($O$7="Desbloqueado",
  _xlfn.LET(
    _xlpm.saldo_atual, SUM(($C$2:$C900="Entrada")*($F$2:$F900=Tabela_Movimentacao_Geral[[#This Row],[ID Produto]])*($H$2:$H900) - ($C$2:$C900="Saida")*($F$2:$F900=Tabela_Movimentacao_Geral[[#This Row],[ID Produto]])*($H$2:$H900)),
    IF(_xlpm.saldo_atual &gt; 0, IF(RANDBETWEEN(0,10)&gt;3,"Saida","Entrada"), "Entrada")
  ),
  Tabela_Movimentacao_Geral[[#This Row],[Tipo Fluxo]]
)</f>
        <v>Saida</v>
      </c>
      <c r="D9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9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901" t="str">
        <f ca="1">IF(
  $O$7="Desbloqueado",
  "PROD"&amp;TEXT(RANDBETWEEN(1,200),"000"),
  Tabela_Movimentacao_Geral[[#This Row],[ID Produto]]
)</f>
        <v>PROD029</v>
      </c>
      <c r="G901" t="str">
        <f ca="1">_xlfn.XLOOKUP(Tabela_Movimentacao_Geral[[#This Row],[ID Produto]], Tabela_Produtos[ID_Produto],Tabela_Produtos[Descricao_Produto],"Produto não encontrado")</f>
        <v>Caneta Digital para Tablet</v>
      </c>
      <c r="H901" cm="1">
        <f t="array" aca="1" ref="H901" ca="1">IF(
   $O$7="Desbloqueado",
   _xlfn.LET(
     _xlpm.saldo_atual, SUM(($C$2:$C900="Entrada")*($F$2:$F900=Tabela_Movimentacao_Geral[[#This Row],[ID Produto]])*($H$2:$H900) - ($C$2:$C900="Saida")*($F$2:$F900=Tabela_Movimentacao_Geral[[#This Row],[ID Produto]])*($H$2:$H900)),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901" s="5">
        <f ca="1">_xlfn.XLOOKUP(Tabela_Movimentacao_Geral[[#This Row],[ID Produto]], Tabela_Produtos[ID_Produto],Tabela_Produtos[Preco_Unitario_Venda])</f>
        <v>320</v>
      </c>
      <c r="J901" s="6">
        <f ca="1">Tabela_Movimentacao_Geral[[#This Row],[Quantidade]] * Tabela_Movimentacao_Geral[[#This Row],[Valor Unitário]]</f>
        <v>1280</v>
      </c>
      <c r="K901" t="str">
        <f ca="1">IF(
   $O$7="Desbloqueado",
   CHOOSE(RANDBETWEEN(1,3),"Pago","Pendente","Atrasado"),
   Tabela_Movimentacao_Geral[[#This Row],[Status Financeiro]]
)</f>
        <v>Pendente</v>
      </c>
      <c r="L901" t="str">
        <f ca="1">IF(
   $O$7="Desbloqueado",
   CHOOSE(RANDBETWEEN(1,3),"Entregue","Em Rota","Aguardando"),
   Tabela_Movimentacao_Geral[[#This Row],[Status Logistico]]
)</f>
        <v>Aguardando</v>
      </c>
      <c r="M90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02" spans="1:13" x14ac:dyDescent="0.3">
      <c r="A902" t="str">
        <f t="shared" si="13"/>
        <v>T0901</v>
      </c>
      <c r="B902" s="1">
        <v>46091</v>
      </c>
      <c r="C902" t="str" cm="1">
        <f t="array" aca="1" ref="C902" ca="1">IF($O$7="Desbloqueado",
  _xlfn.LET(
    _xlpm.saldo_atual, SUM(($C$2:$C901="Entrada")*($F$2:$F901=Tabela_Movimentacao_Geral[[#This Row],[ID Produto]])*($H$2:$H901) - ($C$2:$C901="Saida")*($F$2:$F901=Tabela_Movimentacao_Geral[[#This Row],[ID Produto]])*($H$2:$H901)),
    IF(_xlpm.saldo_atual &gt; 0, IF(RANDBETWEEN(0,10)&gt;3,"Saida","Entrada"), "Entrada")
  ),
  Tabela_Movimentacao_Geral[[#This Row],[Tipo Fluxo]]
)</f>
        <v>Saida</v>
      </c>
      <c r="D9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9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902" t="str">
        <f ca="1">IF(
  $O$7="Desbloqueado",
  "PROD"&amp;TEXT(RANDBETWEEN(1,200),"000"),
  Tabela_Movimentacao_Geral[[#This Row],[ID Produto]]
)</f>
        <v>PROD193</v>
      </c>
      <c r="G902" t="str">
        <f ca="1">_xlfn.XLOOKUP(Tabela_Movimentacao_Geral[[#This Row],[ID Produto]], Tabela_Produtos[ID_Produto],Tabela_Produtos[Descricao_Produto],"Produto não encontrado")</f>
        <v>Mini Rack 6U Parede</v>
      </c>
      <c r="H902" cm="1">
        <f t="array" aca="1" ref="H902" ca="1">IF(
   $O$7="Desbloqueado",
   _xlfn.LET(
     _xlpm.saldo_atual, SUM(($C$2:$C901="Entrada")*($F$2:$F901=Tabela_Movimentacao_Geral[[#This Row],[ID Produto]])*($H$2:$H901) - ($C$2:$C901="Saida")*($F$2:$F901=Tabela_Movimentacao_Geral[[#This Row],[ID Produto]])*($H$2:$H901)),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902" s="5">
        <f ca="1">_xlfn.XLOOKUP(Tabela_Movimentacao_Geral[[#This Row],[ID Produto]], Tabela_Produtos[ID_Produto],Tabela_Produtos[Preco_Unitario_Venda])</f>
        <v>450</v>
      </c>
      <c r="J902" s="6">
        <f ca="1">Tabela_Movimentacao_Geral[[#This Row],[Quantidade]] * Tabela_Movimentacao_Geral[[#This Row],[Valor Unitário]]</f>
        <v>3150</v>
      </c>
      <c r="K902" t="str">
        <f ca="1">IF(
   $O$7="Desbloqueado",
   CHOOSE(RANDBETWEEN(1,3),"Pago","Pendente","Atrasado"),
   Tabela_Movimentacao_Geral[[#This Row],[Status Financeiro]]
)</f>
        <v>Pago</v>
      </c>
      <c r="L902" t="str">
        <f ca="1">IF(
   $O$7="Desbloqueado",
   CHOOSE(RANDBETWEEN(1,3),"Entregue","Em Rota","Aguardando"),
   Tabela_Movimentacao_Geral[[#This Row],[Status Logistico]]
)</f>
        <v>Aguardando</v>
      </c>
      <c r="M90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03" spans="1:13" x14ac:dyDescent="0.3">
      <c r="A903" t="str">
        <f t="shared" si="13"/>
        <v>T0902</v>
      </c>
      <c r="B903" s="1">
        <v>46091</v>
      </c>
      <c r="C903" t="str" cm="1">
        <f t="array" aca="1" ref="C903" ca="1">IF($O$7="Desbloqueado",
  _xlfn.LET(
    _xlpm.saldo_atual, SUM(($C$2:$C902="Entrada")*($F$2:$F902=Tabela_Movimentacao_Geral[[#This Row],[ID Produto]])*($H$2:$H902) - ($C$2:$C902="Saida")*($F$2:$F902=Tabela_Movimentacao_Geral[[#This Row],[ID Produto]])*($H$2:$H902)),
    IF(_xlpm.saldo_atual &gt; 0, IF(RANDBETWEEN(0,10)&gt;3,"Saida","Entrada"), "Entrada")
  ),
  Tabela_Movimentacao_Geral[[#This Row],[Tipo Fluxo]]
)</f>
        <v>Saida</v>
      </c>
      <c r="D9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9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903" t="str">
        <f ca="1">IF(
  $O$7="Desbloqueado",
  "PROD"&amp;TEXT(RANDBETWEEN(1,200),"000"),
  Tabela_Movimentacao_Geral[[#This Row],[ID Produto]]
)</f>
        <v>PROD040</v>
      </c>
      <c r="G903" t="str">
        <f ca="1">_xlfn.XLOOKUP(Tabela_Movimentacao_Geral[[#This Row],[ID Produto]], Tabela_Produtos[ID_Produto],Tabela_Produtos[Descricao_Produto],"Produto não encontrado")</f>
        <v>Bateria de CMOS CR2032</v>
      </c>
      <c r="H903" cm="1">
        <f t="array" aca="1" ref="H903" ca="1">IF(
   $O$7="Desbloqueado",
   _xlfn.LET(
     _xlpm.saldo_atual, SUM(($C$2:$C902="Entrada")*($F$2:$F902=Tabela_Movimentacao_Geral[[#This Row],[ID Produto]])*($H$2:$H902) - ($C$2:$C902="Saida")*($F$2:$F902=Tabela_Movimentacao_Geral[[#This Row],[ID Produto]])*($H$2:$H902)),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10</v>
      </c>
      <c r="I903" s="5">
        <f ca="1">_xlfn.XLOOKUP(Tabela_Movimentacao_Geral[[#This Row],[ID Produto]], Tabela_Produtos[ID_Produto],Tabela_Produtos[Preco_Unitario_Venda])</f>
        <v>5</v>
      </c>
      <c r="J903" s="6">
        <f ca="1">Tabela_Movimentacao_Geral[[#This Row],[Quantidade]] * Tabela_Movimentacao_Geral[[#This Row],[Valor Unitário]]</f>
        <v>50</v>
      </c>
      <c r="K903" t="str">
        <f ca="1">IF(
   $O$7="Desbloqueado",
   CHOOSE(RANDBETWEEN(1,3),"Pago","Pendente","Atrasado"),
   Tabela_Movimentacao_Geral[[#This Row],[Status Financeiro]]
)</f>
        <v>Pago</v>
      </c>
      <c r="L903" t="str">
        <f ca="1">IF(
   $O$7="Desbloqueado",
   CHOOSE(RANDBETWEEN(1,3),"Entregue","Em Rota","Aguardando"),
   Tabela_Movimentacao_Geral[[#This Row],[Status Logistico]]
)</f>
        <v>Entregue</v>
      </c>
      <c r="M90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04" spans="1:13" x14ac:dyDescent="0.3">
      <c r="A904" t="str">
        <f t="shared" si="13"/>
        <v>T0903</v>
      </c>
      <c r="B904" s="1">
        <v>46092</v>
      </c>
      <c r="C904" t="str" cm="1">
        <f t="array" aca="1" ref="C904" ca="1">IF($O$7="Desbloqueado",
  _xlfn.LET(
    _xlpm.saldo_atual, SUM(($C$2:$C903="Entrada")*($F$2:$F903=Tabela_Movimentacao_Geral[[#This Row],[ID Produto]])*($H$2:$H903) - ($C$2:$C903="Saida")*($F$2:$F903=Tabela_Movimentacao_Geral[[#This Row],[ID Produto]])*($H$2:$H903)),
    IF(_xlpm.saldo_atual &gt; 0, IF(RANDBETWEEN(0,10)&gt;3,"Saida","Entrada"), "Entrada")
  ),
  Tabela_Movimentacao_Geral[[#This Row],[Tipo Fluxo]]
)</f>
        <v>Entrada</v>
      </c>
      <c r="D9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9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904" t="str">
        <f ca="1">IF(
  $O$7="Desbloqueado",
  "PROD"&amp;TEXT(RANDBETWEEN(1,200),"000"),
  Tabela_Movimentacao_Geral[[#This Row],[ID Produto]]
)</f>
        <v>PROD065</v>
      </c>
      <c r="G904" t="str">
        <f ca="1">_xlfn.XLOOKUP(Tabela_Movimentacao_Geral[[#This Row],[ID Produto]], Tabela_Produtos[ID_Produto],Tabela_Produtos[Descricao_Produto],"Produto não encontrado")</f>
        <v>Fita Adesiva Transp 45x40</v>
      </c>
      <c r="H904" cm="1">
        <f t="array" aca="1" ref="H904" ca="1">IF(
   $O$7="Desbloqueado",
   _xlfn.LET(
     _xlpm.saldo_atual, SUM(($C$2:$C903="Entrada")*($F$2:$F903=Tabela_Movimentacao_Geral[[#This Row],[ID Produto]])*($H$2:$H903) - ($C$2:$C903="Saida")*($F$2:$F903=Tabela_Movimentacao_Geral[[#This Row],[ID Produto]])*($H$2:$H903)),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904" s="5">
        <f ca="1">_xlfn.XLOOKUP(Tabela_Movimentacao_Geral[[#This Row],[ID Produto]], Tabela_Produtos[ID_Produto],Tabela_Produtos[Preco_Unitario_Venda])</f>
        <v>12</v>
      </c>
      <c r="J904" s="6">
        <f ca="1">Tabela_Movimentacao_Geral[[#This Row],[Quantidade]] * Tabela_Movimentacao_Geral[[#This Row],[Valor Unitário]]</f>
        <v>300</v>
      </c>
      <c r="K904" t="str">
        <f ca="1">IF(
   $O$7="Desbloqueado",
   CHOOSE(RANDBETWEEN(1,3),"Pago","Pendente","Atrasado"),
   Tabela_Movimentacao_Geral[[#This Row],[Status Financeiro]]
)</f>
        <v>Pendente</v>
      </c>
      <c r="L904" t="str">
        <f ca="1">IF(
   $O$7="Desbloqueado",
   CHOOSE(RANDBETWEEN(1,3),"Entregue","Em Rota","Aguardando"),
   Tabela_Movimentacao_Geral[[#This Row],[Status Logistico]]
)</f>
        <v>Aguardando</v>
      </c>
      <c r="M90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46095</v>
      </c>
    </row>
    <row r="905" spans="1:13" x14ac:dyDescent="0.3">
      <c r="A905" t="str">
        <f t="shared" si="13"/>
        <v>T0904</v>
      </c>
      <c r="B905" s="1">
        <v>46092</v>
      </c>
      <c r="C905" t="str" cm="1">
        <f t="array" aca="1" ref="C905" ca="1">IF($O$7="Desbloqueado",
  _xlfn.LET(
    _xlpm.saldo_atual, SUM(($C$2:$C904="Entrada")*($F$2:$F904=Tabela_Movimentacao_Geral[[#This Row],[ID Produto]])*($H$2:$H904) - ($C$2:$C904="Saida")*($F$2:$F904=Tabela_Movimentacao_Geral[[#This Row],[ID Produto]])*($H$2:$H904)),
    IF(_xlpm.saldo_atual &gt; 0, IF(RANDBETWEEN(0,10)&gt;3,"Saida","Entrada"), "Entrada")
  ),
  Tabela_Movimentacao_Geral[[#This Row],[Tipo Fluxo]]
)</f>
        <v>Entrada</v>
      </c>
      <c r="D9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FORN008</v>
      </c>
      <c r="E9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Global Chips</v>
      </c>
      <c r="F905" t="str">
        <f ca="1">IF(
  $O$7="Desbloqueado",
  "PROD"&amp;TEXT(RANDBETWEEN(1,200),"000"),
  Tabela_Movimentacao_Geral[[#This Row],[ID Produto]]
)</f>
        <v>PROD124</v>
      </c>
      <c r="G905" t="str">
        <f ca="1">_xlfn.XLOOKUP(Tabela_Movimentacao_Geral[[#This Row],[ID Produto]], Tabela_Produtos[ID_Produto],Tabela_Produtos[Descricao_Produto],"Produto não encontrado")</f>
        <v>Ferramenta BI Assinatura</v>
      </c>
      <c r="H905" cm="1">
        <f t="array" aca="1" ref="H905" ca="1">IF(
   $O$7="Desbloqueado",
   _xlfn.LET(
     _xlpm.saldo_atual, SUM(($C$2:$C904="Entrada")*($F$2:$F904=Tabela_Movimentacao_Geral[[#This Row],[ID Produto]])*($H$2:$H904) - ($C$2:$C904="Saida")*($F$2:$F904=Tabela_Movimentacao_Geral[[#This Row],[ID Produto]])*($H$2:$H904)),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75</v>
      </c>
      <c r="I905" s="5">
        <f ca="1">_xlfn.XLOOKUP(Tabela_Movimentacao_Geral[[#This Row],[ID Produto]], Tabela_Produtos[ID_Produto],Tabela_Produtos[Preco_Unitario_Venda])</f>
        <v>250</v>
      </c>
      <c r="J905" s="6">
        <f ca="1">Tabela_Movimentacao_Geral[[#This Row],[Quantidade]] * Tabela_Movimentacao_Geral[[#This Row],[Valor Unitário]]</f>
        <v>18750</v>
      </c>
      <c r="K905" t="str">
        <f ca="1">IF(
   $O$7="Desbloqueado",
   CHOOSE(RANDBETWEEN(1,3),"Pago","Pendente","Atrasado"),
   Tabela_Movimentacao_Geral[[#This Row],[Status Financeiro]]
)</f>
        <v>Pago</v>
      </c>
      <c r="L905" t="str">
        <f ca="1">IF(
   $O$7="Desbloqueado",
   CHOOSE(RANDBETWEEN(1,3),"Entregue","Em Rota","Aguardando"),
   Tabela_Movimentacao_Geral[[#This Row],[Status Logistico]]
)</f>
        <v>Entregue</v>
      </c>
      <c r="M90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46107</v>
      </c>
    </row>
    <row r="906" spans="1:13" x14ac:dyDescent="0.3">
      <c r="A906" t="str">
        <f t="shared" si="13"/>
        <v>T0905</v>
      </c>
      <c r="B906" s="1">
        <v>46092</v>
      </c>
      <c r="C906" t="str" cm="1">
        <f t="array" aca="1" ref="C906" ca="1">IF($O$7="Desbloqueado",
  _xlfn.LET(
    _xlpm.saldo_atual, SUM(($C$2:$C905="Entrada")*($F$2:$F905=Tabela_Movimentacao_Geral[[#This Row],[ID Produto]])*($H$2:$H905) - ($C$2:$C905="Saida")*($F$2:$F905=Tabela_Movimentacao_Geral[[#This Row],[ID Produto]])*($H$2:$H905)),
    IF(_xlpm.saldo_atual &gt; 0, IF(RANDBETWEEN(0,10)&gt;3,"Saida","Entrada"), "Entrada")
  ),
  Tabela_Movimentacao_Geral[[#This Row],[Tipo Fluxo]]
)</f>
        <v>Saida</v>
      </c>
      <c r="D9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9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906" t="str">
        <f ca="1">IF(
  $O$7="Desbloqueado",
  "PROD"&amp;TEXT(RANDBETWEEN(1,200),"000"),
  Tabela_Movimentacao_Geral[[#This Row],[ID Produto]]
)</f>
        <v>PROD164</v>
      </c>
      <c r="G906" t="str">
        <f ca="1">_xlfn.XLOOKUP(Tabela_Movimentacao_Geral[[#This Row],[ID Produto]], Tabela_Produtos[ID_Produto],Tabela_Produtos[Descricao_Produto],"Produto não encontrado")</f>
        <v>Carimbo Datador Autom</v>
      </c>
      <c r="H906" cm="1">
        <f t="array" aca="1" ref="H906" ca="1">IF(
   $O$7="Desbloqueado",
   _xlfn.LET(
     _xlpm.saldo_atual, SUM(($C$2:$C905="Entrada")*($F$2:$F905=Tabela_Movimentacao_Geral[[#This Row],[ID Produto]])*($H$2:$H905) - ($C$2:$C905="Saida")*($F$2:$F905=Tabela_Movimentacao_Geral[[#This Row],[ID Produto]])*($H$2:$H905)),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906" s="5">
        <f ca="1">_xlfn.XLOOKUP(Tabela_Movimentacao_Geral[[#This Row],[ID Produto]], Tabela_Produtos[ID_Produto],Tabela_Produtos[Preco_Unitario_Venda])</f>
        <v>65</v>
      </c>
      <c r="J906" s="6">
        <f ca="1">Tabela_Movimentacao_Geral[[#This Row],[Quantidade]] * Tabela_Movimentacao_Geral[[#This Row],[Valor Unitário]]</f>
        <v>65</v>
      </c>
      <c r="K906" t="str">
        <f ca="1">IF(
   $O$7="Desbloqueado",
   CHOOSE(RANDBETWEEN(1,3),"Pago","Pendente","Atrasado"),
   Tabela_Movimentacao_Geral[[#This Row],[Status Financeiro]]
)</f>
        <v>Pago</v>
      </c>
      <c r="L906" t="str">
        <f ca="1">IF(
   $O$7="Desbloqueado",
   CHOOSE(RANDBETWEEN(1,3),"Entregue","Em Rota","Aguardando"),
   Tabela_Movimentacao_Geral[[#This Row],[Status Logistico]]
)</f>
        <v>Entregue</v>
      </c>
      <c r="M90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07" spans="1:13" x14ac:dyDescent="0.3">
      <c r="A907" t="str">
        <f t="shared" si="13"/>
        <v>T0906</v>
      </c>
      <c r="B907" s="1">
        <v>46092</v>
      </c>
      <c r="C907" t="str" cm="1">
        <f t="array" aca="1" ref="C907" ca="1">IF($O$7="Desbloqueado",
  _xlfn.LET(
    _xlpm.saldo_atual, SUM(($C$2:$C906="Entrada")*($F$2:$F906=Tabela_Movimentacao_Geral[[#This Row],[ID Produto]])*($H$2:$H906) - ($C$2:$C906="Saida")*($F$2:$F906=Tabela_Movimentacao_Geral[[#This Row],[ID Produto]])*($H$2:$H906)),
    IF(_xlpm.saldo_atual &gt; 0, IF(RANDBETWEEN(0,10)&gt;3,"Saida","Entrada"), "Entrada")
  ),
  Tabela_Movimentacao_Geral[[#This Row],[Tipo Fluxo]]
)</f>
        <v>Entrada</v>
      </c>
      <c r="D9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9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907" t="str">
        <f ca="1">IF(
  $O$7="Desbloqueado",
  "PROD"&amp;TEXT(RANDBETWEEN(1,200),"000"),
  Tabela_Movimentacao_Geral[[#This Row],[ID Produto]]
)</f>
        <v>PROD182</v>
      </c>
      <c r="G907" t="str">
        <f ca="1">_xlfn.XLOOKUP(Tabela_Movimentacao_Geral[[#This Row],[ID Produto]], Tabela_Produtos[ID_Produto],Tabela_Produtos[Descricao_Produto],"Produto não encontrado")</f>
        <v>Fonte Redundante 750W</v>
      </c>
      <c r="H907" cm="1">
        <f t="array" aca="1" ref="H907" ca="1">IF(
   $O$7="Desbloqueado",
   _xlfn.LET(
     _xlpm.saldo_atual, SUM(($C$2:$C906="Entrada")*($F$2:$F906=Tabela_Movimentacao_Geral[[#This Row],[ID Produto]])*($H$2:$H906) - ($C$2:$C906="Saida")*($F$2:$F906=Tabela_Movimentacao_Geral[[#This Row],[ID Produto]])*($H$2:$H906)),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79</v>
      </c>
      <c r="I907" s="5">
        <f ca="1">_xlfn.XLOOKUP(Tabela_Movimentacao_Geral[[#This Row],[ID Produto]], Tabela_Produtos[ID_Produto],Tabela_Produtos[Preco_Unitario_Venda])</f>
        <v>1850</v>
      </c>
      <c r="J907" s="6">
        <f ca="1">Tabela_Movimentacao_Geral[[#This Row],[Quantidade]] * Tabela_Movimentacao_Geral[[#This Row],[Valor Unitário]]</f>
        <v>146150</v>
      </c>
      <c r="K907" t="str">
        <f ca="1">IF(
   $O$7="Desbloqueado",
   CHOOSE(RANDBETWEEN(1,3),"Pago","Pendente","Atrasado"),
   Tabela_Movimentacao_Geral[[#This Row],[Status Financeiro]]
)</f>
        <v>Pendente</v>
      </c>
      <c r="L907" t="str">
        <f ca="1">IF(
   $O$7="Desbloqueado",
   CHOOSE(RANDBETWEEN(1,3),"Entregue","Em Rota","Aguardando"),
   Tabela_Movimentacao_Geral[[#This Row],[Status Logistico]]
)</f>
        <v>Em Rota</v>
      </c>
      <c r="M90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46093</v>
      </c>
    </row>
    <row r="908" spans="1:13" x14ac:dyDescent="0.3">
      <c r="A908" t="str">
        <f t="shared" si="13"/>
        <v>T0907</v>
      </c>
      <c r="B908" s="1">
        <v>46092</v>
      </c>
      <c r="C908" t="str" cm="1">
        <f t="array" aca="1" ref="C908" ca="1">IF($O$7="Desbloqueado",
  _xlfn.LET(
    _xlpm.saldo_atual, SUM(($C$2:$C907="Entrada")*($F$2:$F907=Tabela_Movimentacao_Geral[[#This Row],[ID Produto]])*($H$2:$H907) - ($C$2:$C907="Saida")*($F$2:$F907=Tabela_Movimentacao_Geral[[#This Row],[ID Produto]])*($H$2:$H907)),
    IF(_xlpm.saldo_atual &gt; 0, IF(RANDBETWEEN(0,10)&gt;3,"Saida","Entrada"), "Entrada")
  ),
  Tabela_Movimentacao_Geral[[#This Row],[Tipo Fluxo]]
)</f>
        <v>Entrada</v>
      </c>
      <c r="D9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9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908" t="str">
        <f ca="1">IF(
  $O$7="Desbloqueado",
  "PROD"&amp;TEXT(RANDBETWEEN(1,200),"000"),
  Tabela_Movimentacao_Geral[[#This Row],[ID Produto]]
)</f>
        <v>PROD188</v>
      </c>
      <c r="G908" t="str">
        <f ca="1">_xlfn.XLOOKUP(Tabela_Movimentacao_Geral[[#This Row],[ID Produto]], Tabela_Produtos[ID_Produto],Tabela_Produtos[Descricao_Produto],"Produto não encontrado")</f>
        <v>Chassis para Media Conv</v>
      </c>
      <c r="H908" cm="1">
        <f t="array" aca="1" ref="H908" ca="1">IF(
   $O$7="Desbloqueado",
   _xlfn.LET(
     _xlpm.saldo_atual, SUM(($C$2:$C907="Entrada")*($F$2:$F907=Tabela_Movimentacao_Geral[[#This Row],[ID Produto]])*($H$2:$H907) - ($C$2:$C907="Saida")*($F$2:$F907=Tabela_Movimentacao_Geral[[#This Row],[ID Produto]])*($H$2:$H907)),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36</v>
      </c>
      <c r="I908" s="5">
        <f ca="1">_xlfn.XLOOKUP(Tabela_Movimentacao_Geral[[#This Row],[ID Produto]], Tabela_Produtos[ID_Produto],Tabela_Produtos[Preco_Unitario_Venda])</f>
        <v>1550</v>
      </c>
      <c r="J908" s="6">
        <f ca="1">Tabela_Movimentacao_Geral[[#This Row],[Quantidade]] * Tabela_Movimentacao_Geral[[#This Row],[Valor Unitário]]</f>
        <v>55800</v>
      </c>
      <c r="K908" t="str">
        <f ca="1">IF(
   $O$7="Desbloqueado",
   CHOOSE(RANDBETWEEN(1,3),"Pago","Pendente","Atrasado"),
   Tabela_Movimentacao_Geral[[#This Row],[Status Financeiro]]
)</f>
        <v>Pago</v>
      </c>
      <c r="L908" t="str">
        <f ca="1">IF(
   $O$7="Desbloqueado",
   CHOOSE(RANDBETWEEN(1,3),"Entregue","Em Rota","Aguardando"),
   Tabela_Movimentacao_Geral[[#This Row],[Status Logistico]]
)</f>
        <v>Aguardando</v>
      </c>
      <c r="M90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46095</v>
      </c>
    </row>
    <row r="909" spans="1:13" x14ac:dyDescent="0.3">
      <c r="A909" t="str">
        <f t="shared" si="13"/>
        <v>T0908</v>
      </c>
      <c r="B909" s="1">
        <v>46092</v>
      </c>
      <c r="C909" t="str" cm="1">
        <f t="array" aca="1" ref="C909" ca="1">IF($O$7="Desbloqueado",
  _xlfn.LET(
    _xlpm.saldo_atual, SUM(($C$2:$C908="Entrada")*($F$2:$F908=Tabela_Movimentacao_Geral[[#This Row],[ID Produto]])*($H$2:$H908) - ($C$2:$C908="Saida")*($F$2:$F908=Tabela_Movimentacao_Geral[[#This Row],[ID Produto]])*($H$2:$H908)),
    IF(_xlpm.saldo_atual &gt; 0, IF(RANDBETWEEN(0,10)&gt;3,"Saida","Entrada"), "Entrada")
  ),
  Tabela_Movimentacao_Geral[[#This Row],[Tipo Fluxo]]
)</f>
        <v>Saida</v>
      </c>
      <c r="D9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9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909" t="str">
        <f ca="1">IF(
  $O$7="Desbloqueado",
  "PROD"&amp;TEXT(RANDBETWEEN(1,200),"000"),
  Tabela_Movimentacao_Geral[[#This Row],[ID Produto]]
)</f>
        <v>PROD114</v>
      </c>
      <c r="G909" t="str">
        <f ca="1">_xlfn.XLOOKUP(Tabela_Movimentacao_Geral[[#This Row],[ID Produto]], Tabela_Produtos[ID_Produto],Tabela_Produtos[Descricao_Produto],"Produto não encontrado")</f>
        <v>Access Point Corporativo</v>
      </c>
      <c r="H909" cm="1">
        <f t="array" aca="1" ref="H909" ca="1">IF(
   $O$7="Desbloqueado",
   _xlfn.LET(
     _xlpm.saldo_atual, SUM(($C$2:$C908="Entrada")*($F$2:$F908=Tabela_Movimentacao_Geral[[#This Row],[ID Produto]])*($H$2:$H908) - ($C$2:$C908="Saida")*($F$2:$F908=Tabela_Movimentacao_Geral[[#This Row],[ID Produto]])*($H$2:$H908)),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909" s="5">
        <f ca="1">_xlfn.XLOOKUP(Tabela_Movimentacao_Geral[[#This Row],[ID Produto]], Tabela_Produtos[ID_Produto],Tabela_Produtos[Preco_Unitario_Venda])</f>
        <v>1450</v>
      </c>
      <c r="J909" s="6">
        <f ca="1">Tabela_Movimentacao_Geral[[#This Row],[Quantidade]] * Tabela_Movimentacao_Geral[[#This Row],[Valor Unitário]]</f>
        <v>10150</v>
      </c>
      <c r="K909" t="str">
        <f ca="1">IF(
   $O$7="Desbloqueado",
   CHOOSE(RANDBETWEEN(1,3),"Pago","Pendente","Atrasado"),
   Tabela_Movimentacao_Geral[[#This Row],[Status Financeiro]]
)</f>
        <v>Pendente</v>
      </c>
      <c r="L909" t="str">
        <f ca="1">IF(
   $O$7="Desbloqueado",
   CHOOSE(RANDBETWEEN(1,3),"Entregue","Em Rota","Aguardando"),
   Tabela_Movimentacao_Geral[[#This Row],[Status Logistico]]
)</f>
        <v>Entregue</v>
      </c>
      <c r="M90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0" spans="1:13" x14ac:dyDescent="0.3">
      <c r="A910" t="str">
        <f t="shared" si="13"/>
        <v>T0909</v>
      </c>
      <c r="B910" s="1">
        <v>46092</v>
      </c>
      <c r="C910" t="str" cm="1">
        <f t="array" aca="1" ref="C910" ca="1">IF($O$7="Desbloqueado",
  _xlfn.LET(
    _xlpm.saldo_atual, SUM(($C$2:$C909="Entrada")*($F$2:$F909=Tabela_Movimentacao_Geral[[#This Row],[ID Produto]])*($H$2:$H909) - ($C$2:$C909="Saida")*($F$2:$F909=Tabela_Movimentacao_Geral[[#This Row],[ID Produto]])*($H$2:$H909)),
    IF(_xlpm.saldo_atual &gt; 0, IF(RANDBETWEEN(0,10)&gt;3,"Saida","Entrada"), "Entrada")
  ),
  Tabela_Movimentacao_Geral[[#This Row],[Tipo Fluxo]]
)</f>
        <v>Entrada</v>
      </c>
      <c r="D9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9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910" t="str">
        <f ca="1">IF(
  $O$7="Desbloqueado",
  "PROD"&amp;TEXT(RANDBETWEEN(1,200),"000"),
  Tabela_Movimentacao_Geral[[#This Row],[ID Produto]]
)</f>
        <v>PROD141</v>
      </c>
      <c r="G910" t="str">
        <f ca="1">_xlfn.XLOOKUP(Tabela_Movimentacao_Geral[[#This Row],[ID Produto]], Tabela_Produtos[ID_Produto],Tabela_Produtos[Descricao_Produto],"Produto não encontrado")</f>
        <v>Filtro Privacidade 14pol</v>
      </c>
      <c r="H910" cm="1">
        <f t="array" aca="1" ref="H910" ca="1">IF(
   $O$7="Desbloqueado",
   _xlfn.LET(
     _xlpm.saldo_atual, SUM(($C$2:$C909="Entrada")*($F$2:$F909=Tabela_Movimentacao_Geral[[#This Row],[ID Produto]])*($H$2:$H909) - ($C$2:$C909="Saida")*($F$2:$F909=Tabela_Movimentacao_Geral[[#This Row],[ID Produto]])*($H$2:$H909)),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910" s="5">
        <f ca="1">_xlfn.XLOOKUP(Tabela_Movimentacao_Geral[[#This Row],[ID Produto]], Tabela_Produtos[ID_Produto],Tabela_Produtos[Preco_Unitario_Venda])</f>
        <v>190</v>
      </c>
      <c r="J910" s="6">
        <f ca="1">Tabela_Movimentacao_Geral[[#This Row],[Quantidade]] * Tabela_Movimentacao_Geral[[#This Row],[Valor Unitário]]</f>
        <v>3990</v>
      </c>
      <c r="K910" t="str">
        <f ca="1">IF(
   $O$7="Desbloqueado",
   CHOOSE(RANDBETWEEN(1,3),"Pago","Pendente","Atrasado"),
   Tabela_Movimentacao_Geral[[#This Row],[Status Financeiro]]
)</f>
        <v>Pendente</v>
      </c>
      <c r="L910" t="str">
        <f ca="1">IF(
   $O$7="Desbloqueado",
   CHOOSE(RANDBETWEEN(1,3),"Entregue","Em Rota","Aguardando"),
   Tabela_Movimentacao_Geral[[#This Row],[Status Logistico]]
)</f>
        <v>Aguardando</v>
      </c>
      <c r="M91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46093</v>
      </c>
    </row>
    <row r="911" spans="1:13" x14ac:dyDescent="0.3">
      <c r="A911" t="str">
        <f t="shared" si="13"/>
        <v>T0910</v>
      </c>
      <c r="B911" s="1">
        <v>46093</v>
      </c>
      <c r="C911" t="str" cm="1">
        <f t="array" aca="1" ref="C911" ca="1">IF($O$7="Desbloqueado",
  _xlfn.LET(
    _xlpm.saldo_atual, SUM(($C$2:$C910="Entrada")*($F$2:$F910=Tabela_Movimentacao_Geral[[#This Row],[ID Produto]])*($H$2:$H910) - ($C$2:$C910="Saida")*($F$2:$F910=Tabela_Movimentacao_Geral[[#This Row],[ID Produto]])*($H$2:$H910)),
    IF(_xlpm.saldo_atual &gt; 0, IF(RANDBETWEEN(0,10)&gt;3,"Saida","Entrada"), "Entrada")
  ),
  Tabela_Movimentacao_Geral[[#This Row],[Tipo Fluxo]]
)</f>
        <v>Saida</v>
      </c>
      <c r="D9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9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911" t="str">
        <f ca="1">IF(
  $O$7="Desbloqueado",
  "PROD"&amp;TEXT(RANDBETWEEN(1,200),"000"),
  Tabela_Movimentacao_Geral[[#This Row],[ID Produto]]
)</f>
        <v>PROD152</v>
      </c>
      <c r="G911" t="str">
        <f ca="1">_xlfn.XLOOKUP(Tabela_Movimentacao_Geral[[#This Row],[ID Produto]], Tabela_Produtos[ID_Produto],Tabela_Produtos[Descricao_Produto],"Produto não encontrado")</f>
        <v>Bloco de Notas Espiral</v>
      </c>
      <c r="H911" cm="1">
        <f t="array" aca="1" ref="H911" ca="1">IF(
   $O$7="Desbloqueado",
   _xlfn.LET(
     _xlpm.saldo_atual, SUM(($C$2:$C910="Entrada")*($F$2:$F910=Tabela_Movimentacao_Geral[[#This Row],[ID Produto]])*($H$2:$H910) - ($C$2:$C910="Saida")*($F$2:$F910=Tabela_Movimentacao_Geral[[#This Row],[ID Produto]])*($H$2:$H910)),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144</v>
      </c>
      <c r="I911" s="5">
        <f ca="1">_xlfn.XLOOKUP(Tabela_Movimentacao_Geral[[#This Row],[ID Produto]], Tabela_Produtos[ID_Produto],Tabela_Produtos[Preco_Unitario_Venda])</f>
        <v>12</v>
      </c>
      <c r="J911" s="6">
        <f ca="1">Tabela_Movimentacao_Geral[[#This Row],[Quantidade]] * Tabela_Movimentacao_Geral[[#This Row],[Valor Unitário]]</f>
        <v>1728</v>
      </c>
      <c r="K911" t="str">
        <f ca="1">IF(
   $O$7="Desbloqueado",
   CHOOSE(RANDBETWEEN(1,3),"Pago","Pendente","Atrasado"),
   Tabela_Movimentacao_Geral[[#This Row],[Status Financeiro]]
)</f>
        <v>Pendente</v>
      </c>
      <c r="L911" t="str">
        <f ca="1">IF(
   $O$7="Desbloqueado",
   CHOOSE(RANDBETWEEN(1,3),"Entregue","Em Rota","Aguardando"),
   Tabela_Movimentacao_Geral[[#This Row],[Status Logistico]]
)</f>
        <v>Entregue</v>
      </c>
      <c r="M91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2" spans="1:13" x14ac:dyDescent="0.3">
      <c r="A912" t="str">
        <f t="shared" si="13"/>
        <v>T0911</v>
      </c>
      <c r="B912" s="1">
        <v>46094</v>
      </c>
      <c r="C912" t="str" cm="1">
        <f t="array" aca="1" ref="C912" ca="1">IF($O$7="Desbloqueado",
  _xlfn.LET(
    _xlpm.saldo_atual, SUM(($C$2:$C911="Entrada")*($F$2:$F911=Tabela_Movimentacao_Geral[[#This Row],[ID Produto]])*($H$2:$H911) - ($C$2:$C911="Saida")*($F$2:$F911=Tabela_Movimentacao_Geral[[#This Row],[ID Produto]])*($H$2:$H911)),
    IF(_xlpm.saldo_atual &gt; 0, IF(RANDBETWEEN(0,10)&gt;3,"Saida","Entrada"), "Entrada")
  ),
  Tabela_Movimentacao_Geral[[#This Row],[Tipo Fluxo]]
)</f>
        <v>Saida</v>
      </c>
      <c r="D9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9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912" t="str">
        <f ca="1">IF(
  $O$7="Desbloqueado",
  "PROD"&amp;TEXT(RANDBETWEEN(1,200),"000"),
  Tabela_Movimentacao_Geral[[#This Row],[ID Produto]]
)</f>
        <v>PROD085</v>
      </c>
      <c r="G912" t="str">
        <f ca="1">_xlfn.XLOOKUP(Tabela_Movimentacao_Geral[[#This Row],[ID Produto]], Tabela_Produtos[ID_Produto],Tabela_Produtos[Descricao_Produto],"Produto não encontrado")</f>
        <v>Cabo Optico Patch Cord 3m</v>
      </c>
      <c r="H912" cm="1">
        <f t="array" aca="1" ref="H912" ca="1">IF(
   $O$7="Desbloqueado",
   _xlfn.LET(
     _xlpm.saldo_atual, SUM(($C$2:$C911="Entrada")*($F$2:$F911=Tabela_Movimentacao_Geral[[#This Row],[ID Produto]])*($H$2:$H911) - ($C$2:$C911="Saida")*($F$2:$F911=Tabela_Movimentacao_Geral[[#This Row],[ID Produto]])*($H$2:$H911)),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70</v>
      </c>
      <c r="I912" s="5">
        <f ca="1">_xlfn.XLOOKUP(Tabela_Movimentacao_Geral[[#This Row],[ID Produto]], Tabela_Produtos[ID_Produto],Tabela_Produtos[Preco_Unitario_Venda])</f>
        <v>85</v>
      </c>
      <c r="J912" s="6">
        <f ca="1">Tabela_Movimentacao_Geral[[#This Row],[Quantidade]] * Tabela_Movimentacao_Geral[[#This Row],[Valor Unitário]]</f>
        <v>5950</v>
      </c>
      <c r="K912" t="str">
        <f ca="1">IF(
   $O$7="Desbloqueado",
   CHOOSE(RANDBETWEEN(1,3),"Pago","Pendente","Atrasado"),
   Tabela_Movimentacao_Geral[[#This Row],[Status Financeiro]]
)</f>
        <v>Atrasado</v>
      </c>
      <c r="L912" t="str">
        <f ca="1">IF(
   $O$7="Desbloqueado",
   CHOOSE(RANDBETWEEN(1,3),"Entregue","Em Rota","Aguardando"),
   Tabela_Movimentacao_Geral[[#This Row],[Status Logistico]]
)</f>
        <v>Entregue</v>
      </c>
      <c r="M91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3" spans="1:13" x14ac:dyDescent="0.3">
      <c r="A913" t="str">
        <f t="shared" si="13"/>
        <v>T0912</v>
      </c>
      <c r="B913" s="1">
        <v>46094</v>
      </c>
      <c r="C913" t="str" cm="1">
        <f t="array" aca="1" ref="C913" ca="1">IF($O$7="Desbloqueado",
  _xlfn.LET(
    _xlpm.saldo_atual, SUM(($C$2:$C912="Entrada")*($F$2:$F912=Tabela_Movimentacao_Geral[[#This Row],[ID Produto]])*($H$2:$H912) - ($C$2:$C912="Saida")*($F$2:$F912=Tabela_Movimentacao_Geral[[#This Row],[ID Produto]])*($H$2:$H912)),
    IF(_xlpm.saldo_atual &gt; 0, IF(RANDBETWEEN(0,10)&gt;3,"Saida","Entrada"), "Entrada")
  ),
  Tabela_Movimentacao_Geral[[#This Row],[Tipo Fluxo]]
)</f>
        <v>Saida</v>
      </c>
      <c r="D9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9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913" t="str">
        <f ca="1">IF(
  $O$7="Desbloqueado",
  "PROD"&amp;TEXT(RANDBETWEEN(1,200),"000"),
  Tabela_Movimentacao_Geral[[#This Row],[ID Produto]]
)</f>
        <v>PROD182</v>
      </c>
      <c r="G913" t="str">
        <f ca="1">_xlfn.XLOOKUP(Tabela_Movimentacao_Geral[[#This Row],[ID Produto]], Tabela_Produtos[ID_Produto],Tabela_Produtos[Descricao_Produto],"Produto não encontrado")</f>
        <v>Fonte Redundante 750W</v>
      </c>
      <c r="H913" cm="1">
        <f t="array" aca="1" ref="H913" ca="1">IF(
   $O$7="Desbloqueado",
   _xlfn.LET(
     _xlpm.saldo_atual, SUM(($C$2:$C912="Entrada")*($F$2:$F912=Tabela_Movimentacao_Geral[[#This Row],[ID Produto]])*($H$2:$H912) - ($C$2:$C912="Saida")*($F$2:$F912=Tabela_Movimentacao_Geral[[#This Row],[ID Produto]])*($H$2:$H912)),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77</v>
      </c>
      <c r="I913" s="5">
        <f ca="1">_xlfn.XLOOKUP(Tabela_Movimentacao_Geral[[#This Row],[ID Produto]], Tabela_Produtos[ID_Produto],Tabela_Produtos[Preco_Unitario_Venda])</f>
        <v>1850</v>
      </c>
      <c r="J913" s="6">
        <f ca="1">Tabela_Movimentacao_Geral[[#This Row],[Quantidade]] * Tabela_Movimentacao_Geral[[#This Row],[Valor Unitário]]</f>
        <v>142450</v>
      </c>
      <c r="K913" t="str">
        <f ca="1">IF(
   $O$7="Desbloqueado",
   CHOOSE(RANDBETWEEN(1,3),"Pago","Pendente","Atrasado"),
   Tabela_Movimentacao_Geral[[#This Row],[Status Financeiro]]
)</f>
        <v>Pendente</v>
      </c>
      <c r="L913" t="str">
        <f ca="1">IF(
   $O$7="Desbloqueado",
   CHOOSE(RANDBETWEEN(1,3),"Entregue","Em Rota","Aguardando"),
   Tabela_Movimentacao_Geral[[#This Row],[Status Logistico]]
)</f>
        <v>Em Rota</v>
      </c>
      <c r="M91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4" spans="1:13" x14ac:dyDescent="0.3">
      <c r="A914" t="str">
        <f t="shared" si="13"/>
        <v>T0913</v>
      </c>
      <c r="B914" s="1">
        <v>46094</v>
      </c>
      <c r="C914" t="str" cm="1">
        <f t="array" aca="1" ref="C914" ca="1">IF($O$7="Desbloqueado",
  _xlfn.LET(
    _xlpm.saldo_atual, SUM(($C$2:$C913="Entrada")*($F$2:$F913=Tabela_Movimentacao_Geral[[#This Row],[ID Produto]])*($H$2:$H913) - ($C$2:$C913="Saida")*($F$2:$F913=Tabela_Movimentacao_Geral[[#This Row],[ID Produto]])*($H$2:$H913)),
    IF(_xlpm.saldo_atual &gt; 0, IF(RANDBETWEEN(0,10)&gt;3,"Saida","Entrada"), "Entrada")
  ),
  Tabela_Movimentacao_Geral[[#This Row],[Tipo Fluxo]]
)</f>
        <v>Saida</v>
      </c>
      <c r="D9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9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914" t="str">
        <f ca="1">IF(
  $O$7="Desbloqueado",
  "PROD"&amp;TEXT(RANDBETWEEN(1,200),"000"),
  Tabela_Movimentacao_Geral[[#This Row],[ID Produto]]
)</f>
        <v>PROD024</v>
      </c>
      <c r="G914" t="str">
        <f ca="1">_xlfn.XLOOKUP(Tabela_Movimentacao_Geral[[#This Row],[ID Produto]], Tabela_Produtos[ID_Produto],Tabela_Produtos[Descricao_Produto],"Produto não encontrado")</f>
        <v>Assinatura Adobe CC Anual</v>
      </c>
      <c r="H914" cm="1">
        <f t="array" aca="1" ref="H914" ca="1">IF(
   $O$7="Desbloqueado",
   _xlfn.LET(
     _xlpm.saldo_atual, SUM(($C$2:$C913="Entrada")*($F$2:$F913=Tabela_Movimentacao_Geral[[#This Row],[ID Produto]])*($H$2:$H913) - ($C$2:$C913="Saida")*($F$2:$F913=Tabela_Movimentacao_Geral[[#This Row],[ID Produto]])*($H$2:$H913)),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63</v>
      </c>
      <c r="I914" s="5">
        <f ca="1">_xlfn.XLOOKUP(Tabela_Movimentacao_Geral[[#This Row],[ID Produto]], Tabela_Produtos[ID_Produto],Tabela_Produtos[Preco_Unitario_Venda])</f>
        <v>2400</v>
      </c>
      <c r="J914" s="6">
        <f ca="1">Tabela_Movimentacao_Geral[[#This Row],[Quantidade]] * Tabela_Movimentacao_Geral[[#This Row],[Valor Unitário]]</f>
        <v>151200</v>
      </c>
      <c r="K914" t="str">
        <f ca="1">IF(
   $O$7="Desbloqueado",
   CHOOSE(RANDBETWEEN(1,3),"Pago","Pendente","Atrasado"),
   Tabela_Movimentacao_Geral[[#This Row],[Status Financeiro]]
)</f>
        <v>Pendente</v>
      </c>
      <c r="L914" t="str">
        <f ca="1">IF(
   $O$7="Desbloqueado",
   CHOOSE(RANDBETWEEN(1,3),"Entregue","Em Rota","Aguardando"),
   Tabela_Movimentacao_Geral[[#This Row],[Status Logistico]]
)</f>
        <v>Em Rota</v>
      </c>
      <c r="M91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5" spans="1:13" x14ac:dyDescent="0.3">
      <c r="A915" t="str">
        <f t="shared" si="13"/>
        <v>T0914</v>
      </c>
      <c r="B915" s="1">
        <v>46094</v>
      </c>
      <c r="C915" t="str" cm="1">
        <f t="array" aca="1" ref="C915" ca="1">IF($O$7="Desbloqueado",
  _xlfn.LET(
    _xlpm.saldo_atual, SUM(($C$2:$C914="Entrada")*($F$2:$F914=Tabela_Movimentacao_Geral[[#This Row],[ID Produto]])*($H$2:$H914) - ($C$2:$C914="Saida")*($F$2:$F914=Tabela_Movimentacao_Geral[[#This Row],[ID Produto]])*($H$2:$H914)),
    IF(_xlpm.saldo_atual &gt; 0, IF(RANDBETWEEN(0,10)&gt;3,"Saida","Entrada"), "Entrada")
  ),
  Tabela_Movimentacao_Geral[[#This Row],[Tipo Fluxo]]
)</f>
        <v>Saida</v>
      </c>
      <c r="D9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9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915" t="str">
        <f ca="1">IF(
  $O$7="Desbloqueado",
  "PROD"&amp;TEXT(RANDBETWEEN(1,200),"000"),
  Tabela_Movimentacao_Geral[[#This Row],[ID Produto]]
)</f>
        <v>PROD107</v>
      </c>
      <c r="G915" t="str">
        <f ca="1">_xlfn.XLOOKUP(Tabela_Movimentacao_Geral[[#This Row],[ID Produto]], Tabela_Produtos[ID_Produto],Tabela_Produtos[Descricao_Produto],"Produto não encontrado")</f>
        <v>Impressora Termica Cupom</v>
      </c>
      <c r="H915" cm="1">
        <f t="array" aca="1" ref="H915" ca="1">IF(
   $O$7="Desbloqueado",
   _xlfn.LET(
     _xlpm.saldo_atual, SUM(($C$2:$C914="Entrada")*($F$2:$F914=Tabela_Movimentacao_Geral[[#This Row],[ID Produto]])*($H$2:$H914) - ($C$2:$C914="Saida")*($F$2:$F914=Tabela_Movimentacao_Geral[[#This Row],[ID Produto]])*($H$2:$H914)),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145</v>
      </c>
      <c r="I915" s="5">
        <f ca="1">_xlfn.XLOOKUP(Tabela_Movimentacao_Geral[[#This Row],[ID Produto]], Tabela_Produtos[ID_Produto],Tabela_Produtos[Preco_Unitario_Venda])</f>
        <v>680</v>
      </c>
      <c r="J915" s="6">
        <f ca="1">Tabela_Movimentacao_Geral[[#This Row],[Quantidade]] * Tabela_Movimentacao_Geral[[#This Row],[Valor Unitário]]</f>
        <v>98600</v>
      </c>
      <c r="K915" t="str">
        <f ca="1">IF(
   $O$7="Desbloqueado",
   CHOOSE(RANDBETWEEN(1,3),"Pago","Pendente","Atrasado"),
   Tabela_Movimentacao_Geral[[#This Row],[Status Financeiro]]
)</f>
        <v>Pago</v>
      </c>
      <c r="L915" t="str">
        <f ca="1">IF(
   $O$7="Desbloqueado",
   CHOOSE(RANDBETWEEN(1,3),"Entregue","Em Rota","Aguardando"),
   Tabela_Movimentacao_Geral[[#This Row],[Status Logistico]]
)</f>
        <v>Aguardando</v>
      </c>
      <c r="M91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6" spans="1:13" x14ac:dyDescent="0.3">
      <c r="A916" t="str">
        <f t="shared" si="13"/>
        <v>T0915</v>
      </c>
      <c r="B916" s="1">
        <v>46094</v>
      </c>
      <c r="C916" t="str" cm="1">
        <f t="array" aca="1" ref="C916" ca="1">IF($O$7="Desbloqueado",
  _xlfn.LET(
    _xlpm.saldo_atual, SUM(($C$2:$C915="Entrada")*($F$2:$F915=Tabela_Movimentacao_Geral[[#This Row],[ID Produto]])*($H$2:$H915) - ($C$2:$C915="Saida")*($F$2:$F915=Tabela_Movimentacao_Geral[[#This Row],[ID Produto]])*($H$2:$H915)),
    IF(_xlpm.saldo_atual &gt; 0, IF(RANDBETWEEN(0,10)&gt;3,"Saida","Entrada"), "Entrada")
  ),
  Tabela_Movimentacao_Geral[[#This Row],[Tipo Fluxo]]
)</f>
        <v>Saida</v>
      </c>
      <c r="D9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9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916" t="str">
        <f ca="1">IF(
  $O$7="Desbloqueado",
  "PROD"&amp;TEXT(RANDBETWEEN(1,200),"000"),
  Tabela_Movimentacao_Geral[[#This Row],[ID Produto]]
)</f>
        <v>PROD057</v>
      </c>
      <c r="G916" t="str">
        <f ca="1">_xlfn.XLOOKUP(Tabela_Movimentacao_Geral[[#This Row],[ID Produto]], Tabela_Produtos[ID_Produto],Tabela_Produtos[Descricao_Produto],"Produto não encontrado")</f>
        <v>Caneta Esferografica Azul</v>
      </c>
      <c r="H916" cm="1">
        <f t="array" aca="1" ref="H916" ca="1">IF(
   $O$7="Desbloqueado",
   _xlfn.LET(
     _xlpm.saldo_atual, SUM(($C$2:$C915="Entrada")*($F$2:$F915=Tabela_Movimentacao_Geral[[#This Row],[ID Produto]])*($H$2:$H915) - ($C$2:$C915="Saida")*($F$2:$F915=Tabela_Movimentacao_Geral[[#This Row],[ID Produto]])*($H$2:$H915)),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505</v>
      </c>
      <c r="I916" s="5">
        <f ca="1">_xlfn.XLOOKUP(Tabela_Movimentacao_Geral[[#This Row],[ID Produto]], Tabela_Produtos[ID_Produto],Tabela_Produtos[Preco_Unitario_Venda])</f>
        <v>1.5</v>
      </c>
      <c r="J916" s="6">
        <f ca="1">Tabela_Movimentacao_Geral[[#This Row],[Quantidade]] * Tabela_Movimentacao_Geral[[#This Row],[Valor Unitário]]</f>
        <v>757.5</v>
      </c>
      <c r="K916" t="str">
        <f ca="1">IF(
   $O$7="Desbloqueado",
   CHOOSE(RANDBETWEEN(1,3),"Pago","Pendente","Atrasado"),
   Tabela_Movimentacao_Geral[[#This Row],[Status Financeiro]]
)</f>
        <v>Atrasado</v>
      </c>
      <c r="L916" t="str">
        <f ca="1">IF(
   $O$7="Desbloqueado",
   CHOOSE(RANDBETWEEN(1,3),"Entregue","Em Rota","Aguardando"),
   Tabela_Movimentacao_Geral[[#This Row],[Status Logistico]]
)</f>
        <v>Em Rota</v>
      </c>
      <c r="M91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7" spans="1:13" x14ac:dyDescent="0.3">
      <c r="A917" t="str">
        <f t="shared" si="13"/>
        <v>T0916</v>
      </c>
      <c r="B917" s="1">
        <v>46095</v>
      </c>
      <c r="C917" t="str" cm="1">
        <f t="array" aca="1" ref="C917" ca="1">IF($O$7="Desbloqueado",
  _xlfn.LET(
    _xlpm.saldo_atual, SUM(($C$2:$C916="Entrada")*($F$2:$F916=Tabela_Movimentacao_Geral[[#This Row],[ID Produto]])*($H$2:$H916) - ($C$2:$C916="Saida")*($F$2:$F916=Tabela_Movimentacao_Geral[[#This Row],[ID Produto]])*($H$2:$H916)),
    IF(_xlpm.saldo_atual &gt; 0, IF(RANDBETWEEN(0,10)&gt;3,"Saida","Entrada"), "Entrada")
  ),
  Tabela_Movimentacao_Geral[[#This Row],[Tipo Fluxo]]
)</f>
        <v>Saida</v>
      </c>
      <c r="D9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9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17" t="str">
        <f ca="1">IF(
  $O$7="Desbloqueado",
  "PROD"&amp;TEXT(RANDBETWEEN(1,200),"000"),
  Tabela_Movimentacao_Geral[[#This Row],[ID Produto]]
)</f>
        <v>PROD143</v>
      </c>
      <c r="G917" t="str">
        <f ca="1">_xlfn.XLOOKUP(Tabela_Movimentacao_Geral[[#This Row],[ID Produto]], Tabela_Produtos[ID_Produto],Tabela_Produtos[Descricao_Produto],"Produto não encontrado")</f>
        <v>Spray Limpa Contatos</v>
      </c>
      <c r="H917" cm="1">
        <f t="array" aca="1" ref="H917" ca="1">IF(
   $O$7="Desbloqueado",
   _xlfn.LET(
     _xlpm.saldo_atual, SUM(($C$2:$C916="Entrada")*($F$2:$F916=Tabela_Movimentacao_Geral[[#This Row],[ID Produto]])*($H$2:$H916) - ($C$2:$C916="Saida")*($F$2:$F916=Tabela_Movimentacao_Geral[[#This Row],[ID Produto]])*($H$2:$H916)),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917" s="5">
        <f ca="1">_xlfn.XLOOKUP(Tabela_Movimentacao_Geral[[#This Row],[ID Produto]], Tabela_Produtos[ID_Produto],Tabela_Produtos[Preco_Unitario_Venda])</f>
        <v>35</v>
      </c>
      <c r="J917" s="6">
        <f ca="1">Tabela_Movimentacao_Geral[[#This Row],[Quantidade]] * Tabela_Movimentacao_Geral[[#This Row],[Valor Unitário]]</f>
        <v>420</v>
      </c>
      <c r="K917" t="str">
        <f ca="1">IF(
   $O$7="Desbloqueado",
   CHOOSE(RANDBETWEEN(1,3),"Pago","Pendente","Atrasado"),
   Tabela_Movimentacao_Geral[[#This Row],[Status Financeiro]]
)</f>
        <v>Pendente</v>
      </c>
      <c r="L917" t="str">
        <f ca="1">IF(
   $O$7="Desbloqueado",
   CHOOSE(RANDBETWEEN(1,3),"Entregue","Em Rota","Aguardando"),
   Tabela_Movimentacao_Geral[[#This Row],[Status Logistico]]
)</f>
        <v>Entregue</v>
      </c>
      <c r="M91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8" spans="1:13" x14ac:dyDescent="0.3">
      <c r="A918" t="str">
        <f t="shared" si="13"/>
        <v>T0917</v>
      </c>
      <c r="B918" s="1">
        <v>46096</v>
      </c>
      <c r="C918" t="str" cm="1">
        <f t="array" aca="1" ref="C918" ca="1">IF($O$7="Desbloqueado",
  _xlfn.LET(
    _xlpm.saldo_atual, SUM(($C$2:$C917="Entrada")*($F$2:$F917=Tabela_Movimentacao_Geral[[#This Row],[ID Produto]])*($H$2:$H917) - ($C$2:$C917="Saida")*($F$2:$F917=Tabela_Movimentacao_Geral[[#This Row],[ID Produto]])*($H$2:$H917)),
    IF(_xlpm.saldo_atual &gt; 0, IF(RANDBETWEEN(0,10)&gt;3,"Saida","Entrada"), "Entrada")
  ),
  Tabela_Movimentacao_Geral[[#This Row],[Tipo Fluxo]]
)</f>
        <v>Saida</v>
      </c>
      <c r="D9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9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918" t="str">
        <f ca="1">IF(
  $O$7="Desbloqueado",
  "PROD"&amp;TEXT(RANDBETWEEN(1,200),"000"),
  Tabela_Movimentacao_Geral[[#This Row],[ID Produto]]
)</f>
        <v>PROD009</v>
      </c>
      <c r="G918" t="str">
        <f ca="1">_xlfn.XLOOKUP(Tabela_Movimentacao_Geral[[#This Row],[ID Produto]], Tabela_Produtos[ID_Produto],Tabela_Produtos[Descricao_Produto],"Produto não encontrado")</f>
        <v>Cabo HDMI 2.0 2m</v>
      </c>
      <c r="H918" cm="1">
        <f t="array" aca="1" ref="H918" ca="1">IF(
   $O$7="Desbloqueado",
   _xlfn.LET(
     _xlpm.saldo_atual, SUM(($C$2:$C917="Entrada")*($F$2:$F917=Tabela_Movimentacao_Geral[[#This Row],[ID Produto]])*($H$2:$H917) - ($C$2:$C917="Saida")*($F$2:$F917=Tabela_Movimentacao_Geral[[#This Row],[ID Produto]])*($H$2:$H917)),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25</v>
      </c>
      <c r="I918" s="5">
        <f ca="1">_xlfn.XLOOKUP(Tabela_Movimentacao_Geral[[#This Row],[ID Produto]], Tabela_Produtos[ID_Produto],Tabela_Produtos[Preco_Unitario_Venda])</f>
        <v>45</v>
      </c>
      <c r="J918" s="6">
        <f ca="1">Tabela_Movimentacao_Geral[[#This Row],[Quantidade]] * Tabela_Movimentacao_Geral[[#This Row],[Valor Unitário]]</f>
        <v>1125</v>
      </c>
      <c r="K918" t="str">
        <f ca="1">IF(
   $O$7="Desbloqueado",
   CHOOSE(RANDBETWEEN(1,3),"Pago","Pendente","Atrasado"),
   Tabela_Movimentacao_Geral[[#This Row],[Status Financeiro]]
)</f>
        <v>Pendente</v>
      </c>
      <c r="L918" t="str">
        <f ca="1">IF(
   $O$7="Desbloqueado",
   CHOOSE(RANDBETWEEN(1,3),"Entregue","Em Rota","Aguardando"),
   Tabela_Movimentacao_Geral[[#This Row],[Status Logistico]]
)</f>
        <v>Entregue</v>
      </c>
      <c r="M91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19" spans="1:13" x14ac:dyDescent="0.3">
      <c r="A919" t="str">
        <f t="shared" ref="A919:A982" si="14">"T"&amp;TEXT(ROW(A919)-1,"0000")</f>
        <v>T0918</v>
      </c>
      <c r="B919" s="1">
        <v>46096</v>
      </c>
      <c r="C919" t="str" cm="1">
        <f t="array" aca="1" ref="C919" ca="1">IF($O$7="Desbloqueado",
  _xlfn.LET(
    _xlpm.saldo_atual, SUM(($C$2:$C918="Entrada")*($F$2:$F918=Tabela_Movimentacao_Geral[[#This Row],[ID Produto]])*($H$2:$H918) - ($C$2:$C918="Saida")*($F$2:$F918=Tabela_Movimentacao_Geral[[#This Row],[ID Produto]])*($H$2:$H918)),
    IF(_xlpm.saldo_atual &gt; 0, IF(RANDBETWEEN(0,10)&gt;3,"Saida","Entrada"), "Entrada")
  ),
  Tabela_Movimentacao_Geral[[#This Row],[Tipo Fluxo]]
)</f>
        <v>Entrada</v>
      </c>
      <c r="D9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9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919" t="str">
        <f ca="1">IF(
  $O$7="Desbloqueado",
  "PROD"&amp;TEXT(RANDBETWEEN(1,200),"000"),
  Tabela_Movimentacao_Geral[[#This Row],[ID Produto]]
)</f>
        <v>PROD132</v>
      </c>
      <c r="G919" t="str">
        <f ca="1">_xlfn.XLOOKUP(Tabela_Movimentacao_Geral[[#This Row],[ID Produto]], Tabela_Produtos[ID_Produto],Tabela_Produtos[Descricao_Produto],"Produto não encontrado")</f>
        <v>Cooler para Gabinete 120mm</v>
      </c>
      <c r="H919" cm="1">
        <f t="array" aca="1" ref="H919" ca="1">IF(
   $O$7="Desbloqueado",
   _xlfn.LET(
     _xlpm.saldo_atual, SUM(($C$2:$C918="Entrada")*($F$2:$F918=Tabela_Movimentacao_Geral[[#This Row],[ID Produto]])*($H$2:$H918) - ($C$2:$C918="Saida")*($F$2:$F918=Tabela_Movimentacao_Geral[[#This Row],[ID Produto]])*($H$2:$H918)),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97</v>
      </c>
      <c r="I919" s="5">
        <f ca="1">_xlfn.XLOOKUP(Tabela_Movimentacao_Geral[[#This Row],[ID Produto]], Tabela_Produtos[ID_Produto],Tabela_Produtos[Preco_Unitario_Venda])</f>
        <v>45</v>
      </c>
      <c r="J919" s="6">
        <f ca="1">Tabela_Movimentacao_Geral[[#This Row],[Quantidade]] * Tabela_Movimentacao_Geral[[#This Row],[Valor Unitário]]</f>
        <v>4365</v>
      </c>
      <c r="K919" t="str">
        <f ca="1">IF(
   $O$7="Desbloqueado",
   CHOOSE(RANDBETWEEN(1,3),"Pago","Pendente","Atrasado"),
   Tabela_Movimentacao_Geral[[#This Row],[Status Financeiro]]
)</f>
        <v>Pago</v>
      </c>
      <c r="L919" t="str">
        <f ca="1">IF(
   $O$7="Desbloqueado",
   CHOOSE(RANDBETWEEN(1,3),"Entregue","Em Rota","Aguardando"),
   Tabela_Movimentacao_Geral[[#This Row],[Status Logistico]]
)</f>
        <v>Entregue</v>
      </c>
      <c r="M91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46097</v>
      </c>
    </row>
    <row r="920" spans="1:13" x14ac:dyDescent="0.3">
      <c r="A920" t="str">
        <f t="shared" si="14"/>
        <v>T0919</v>
      </c>
      <c r="B920" s="1">
        <v>46096</v>
      </c>
      <c r="C920" t="str" cm="1">
        <f t="array" aca="1" ref="C920" ca="1">IF($O$7="Desbloqueado",
  _xlfn.LET(
    _xlpm.saldo_atual, SUM(($C$2:$C919="Entrada")*($F$2:$F919=Tabela_Movimentacao_Geral[[#This Row],[ID Produto]])*($H$2:$H919) - ($C$2:$C919="Saida")*($F$2:$F919=Tabela_Movimentacao_Geral[[#This Row],[ID Produto]])*($H$2:$H919)),
    IF(_xlpm.saldo_atual &gt; 0, IF(RANDBETWEEN(0,10)&gt;3,"Saida","Entrada"), "Entrada")
  ),
  Tabela_Movimentacao_Geral[[#This Row],[Tipo Fluxo]]
)</f>
        <v>Entrada</v>
      </c>
      <c r="D9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9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920" t="str">
        <f ca="1">IF(
  $O$7="Desbloqueado",
  "PROD"&amp;TEXT(RANDBETWEEN(1,200),"000"),
  Tabela_Movimentacao_Geral[[#This Row],[ID Produto]]
)</f>
        <v>PROD179</v>
      </c>
      <c r="G920" t="str">
        <f ca="1">_xlfn.XLOOKUP(Tabela_Movimentacao_Geral[[#This Row],[ID Produto]], Tabela_Produtos[ID_Produto],Tabela_Produtos[Descricao_Produto],"Produto não encontrado")</f>
        <v>Mesa de Reuniao 2.0m</v>
      </c>
      <c r="H920" cm="1">
        <f t="array" aca="1" ref="H920" ca="1">IF(
   $O$7="Desbloqueado",
   _xlfn.LET(
     _xlpm.saldo_atual, SUM(($C$2:$C919="Entrada")*($F$2:$F919=Tabela_Movimentacao_Geral[[#This Row],[ID Produto]])*($H$2:$H919) - ($C$2:$C919="Saida")*($F$2:$F919=Tabela_Movimentacao_Geral[[#This Row],[ID Produto]])*($H$2:$H919)),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920" s="5">
        <f ca="1">_xlfn.XLOOKUP(Tabela_Movimentacao_Geral[[#This Row],[ID Produto]], Tabela_Produtos[ID_Produto],Tabela_Produtos[Preco_Unitario_Venda])</f>
        <v>1800</v>
      </c>
      <c r="J920" s="6">
        <f ca="1">Tabela_Movimentacao_Geral[[#This Row],[Quantidade]] * Tabela_Movimentacao_Geral[[#This Row],[Valor Unitário]]</f>
        <v>55800</v>
      </c>
      <c r="K920" t="str">
        <f ca="1">IF(
   $O$7="Desbloqueado",
   CHOOSE(RANDBETWEEN(1,3),"Pago","Pendente","Atrasado"),
   Tabela_Movimentacao_Geral[[#This Row],[Status Financeiro]]
)</f>
        <v>Atrasado</v>
      </c>
      <c r="L920" t="str">
        <f ca="1">IF(
   $O$7="Desbloqueado",
   CHOOSE(RANDBETWEEN(1,3),"Entregue","Em Rota","Aguardando"),
   Tabela_Movimentacao_Geral[[#This Row],[Status Logistico]]
)</f>
        <v>Aguardando</v>
      </c>
      <c r="M92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46098</v>
      </c>
    </row>
    <row r="921" spans="1:13" x14ac:dyDescent="0.3">
      <c r="A921" t="str">
        <f t="shared" si="14"/>
        <v>T0920</v>
      </c>
      <c r="B921" s="1">
        <v>46097</v>
      </c>
      <c r="C921" t="str" cm="1">
        <f t="array" aca="1" ref="C921" ca="1">IF($O$7="Desbloqueado",
  _xlfn.LET(
    _xlpm.saldo_atual, SUM(($C$2:$C920="Entrada")*($F$2:$F920=Tabela_Movimentacao_Geral[[#This Row],[ID Produto]])*($H$2:$H920) - ($C$2:$C920="Saida")*($F$2:$F920=Tabela_Movimentacao_Geral[[#This Row],[ID Produto]])*($H$2:$H920)),
    IF(_xlpm.saldo_atual &gt; 0, IF(RANDBETWEEN(0,10)&gt;3,"Saida","Entrada"), "Entrada")
  ),
  Tabela_Movimentacao_Geral[[#This Row],[Tipo Fluxo]]
)</f>
        <v>Saida</v>
      </c>
      <c r="D9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9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21" t="str">
        <f ca="1">IF(
  $O$7="Desbloqueado",
  "PROD"&amp;TEXT(RANDBETWEEN(1,200),"000"),
  Tabela_Movimentacao_Geral[[#This Row],[ID Produto]]
)</f>
        <v>PROD162</v>
      </c>
      <c r="G921" t="str">
        <f ca="1">_xlfn.XLOOKUP(Tabela_Movimentacao_Geral[[#This Row],[ID Produto]], Tabela_Produtos[ID_Produto],Tabela_Produtos[Descricao_Produto],"Produto não encontrado")</f>
        <v>Organizador de Mesa Acril</v>
      </c>
      <c r="H921" cm="1">
        <f t="array" aca="1" ref="H921" ca="1">IF(
   $O$7="Desbloqueado",
   _xlfn.LET(
     _xlpm.saldo_atual, SUM(($C$2:$C920="Entrada")*($F$2:$F920=Tabela_Movimentacao_Geral[[#This Row],[ID Produto]])*($H$2:$H920) - ($C$2:$C920="Saida")*($F$2:$F920=Tabela_Movimentacao_Geral[[#This Row],[ID Produto]])*($H$2:$H920)),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95</v>
      </c>
      <c r="I921" s="5">
        <f ca="1">_xlfn.XLOOKUP(Tabela_Movimentacao_Geral[[#This Row],[ID Produto]], Tabela_Produtos[ID_Produto],Tabela_Produtos[Preco_Unitario_Venda])</f>
        <v>55</v>
      </c>
      <c r="J921" s="6">
        <f ca="1">Tabela_Movimentacao_Geral[[#This Row],[Quantidade]] * Tabela_Movimentacao_Geral[[#This Row],[Valor Unitário]]</f>
        <v>5225</v>
      </c>
      <c r="K921" t="str">
        <f ca="1">IF(
   $O$7="Desbloqueado",
   CHOOSE(RANDBETWEEN(1,3),"Pago","Pendente","Atrasado"),
   Tabela_Movimentacao_Geral[[#This Row],[Status Financeiro]]
)</f>
        <v>Pendente</v>
      </c>
      <c r="L921" t="str">
        <f ca="1">IF(
   $O$7="Desbloqueado",
   CHOOSE(RANDBETWEEN(1,3),"Entregue","Em Rota","Aguardando"),
   Tabela_Movimentacao_Geral[[#This Row],[Status Logistico]]
)</f>
        <v>Em Rota</v>
      </c>
      <c r="M92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22" spans="1:13" x14ac:dyDescent="0.3">
      <c r="A922" t="str">
        <f t="shared" si="14"/>
        <v>T0921</v>
      </c>
      <c r="B922" s="1">
        <v>46098</v>
      </c>
      <c r="C922" t="str" cm="1">
        <f t="array" aca="1" ref="C922" ca="1">IF($O$7="Desbloqueado",
  _xlfn.LET(
    _xlpm.saldo_atual, SUM(($C$2:$C921="Entrada")*($F$2:$F921=Tabela_Movimentacao_Geral[[#This Row],[ID Produto]])*($H$2:$H921) - ($C$2:$C921="Saida")*($F$2:$F921=Tabela_Movimentacao_Geral[[#This Row],[ID Produto]])*($H$2:$H921)),
    IF(_xlpm.saldo_atual &gt; 0, IF(RANDBETWEEN(0,10)&gt;3,"Saida","Entrada"), "Entrada")
  ),
  Tabela_Movimentacao_Geral[[#This Row],[Tipo Fluxo]]
)</f>
        <v>Entrada</v>
      </c>
      <c r="D92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92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922" t="str">
        <f ca="1">IF(
  $O$7="Desbloqueado",
  "PROD"&amp;TEXT(RANDBETWEEN(1,200),"000"),
  Tabela_Movimentacao_Geral[[#This Row],[ID Produto]]
)</f>
        <v>PROD016</v>
      </c>
      <c r="G922" t="str">
        <f ca="1">_xlfn.XLOOKUP(Tabela_Movimentacao_Geral[[#This Row],[ID Produto]], Tabela_Produtos[ID_Produto],Tabela_Produtos[Descricao_Produto],"Produto não encontrado")</f>
        <v>Filtro de Linha 6 Tomadas</v>
      </c>
      <c r="H922" cm="1">
        <f t="array" aca="1" ref="H922" ca="1">IF(
   $O$7="Desbloqueado",
   _xlfn.LET(
     _xlpm.saldo_atual, SUM(($C$2:$C921="Entrada")*($F$2:$F921=Tabela_Movimentacao_Geral[[#This Row],[ID Produto]])*($H$2:$H921) - ($C$2:$C921="Saida")*($F$2:$F921=Tabela_Movimentacao_Geral[[#This Row],[ID Produto]])*($H$2:$H921)),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922" s="5">
        <f ca="1">_xlfn.XLOOKUP(Tabela_Movimentacao_Geral[[#This Row],[ID Produto]], Tabela_Produtos[ID_Produto],Tabela_Produtos[Preco_Unitario_Venda])</f>
        <v>55</v>
      </c>
      <c r="J922" s="6">
        <f ca="1">Tabela_Movimentacao_Geral[[#This Row],[Quantidade]] * Tabela_Movimentacao_Geral[[#This Row],[Valor Unitário]]</f>
        <v>1045</v>
      </c>
      <c r="K922" t="str">
        <f ca="1">IF(
   $O$7="Desbloqueado",
   CHOOSE(RANDBETWEEN(1,3),"Pago","Pendente","Atrasado"),
   Tabela_Movimentacao_Geral[[#This Row],[Status Financeiro]]
)</f>
        <v>Atrasado</v>
      </c>
      <c r="L922" t="str">
        <f ca="1">IF(
   $O$7="Desbloqueado",
   CHOOSE(RANDBETWEEN(1,3),"Entregue","Em Rota","Aguardando"),
   Tabela_Movimentacao_Geral[[#This Row],[Status Logistico]]
)</f>
        <v>Em Rota</v>
      </c>
      <c r="M92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46099</v>
      </c>
    </row>
    <row r="923" spans="1:13" x14ac:dyDescent="0.3">
      <c r="A923" t="str">
        <f t="shared" si="14"/>
        <v>T0922</v>
      </c>
      <c r="B923" s="1">
        <v>46099</v>
      </c>
      <c r="C923" t="str" cm="1">
        <f t="array" aca="1" ref="C923" ca="1">IF($O$7="Desbloqueado",
  _xlfn.LET(
    _xlpm.saldo_atual, SUM(($C$2:$C922="Entrada")*($F$2:$F922=Tabela_Movimentacao_Geral[[#This Row],[ID Produto]])*($H$2:$H922) - ($C$2:$C922="Saida")*($F$2:$F922=Tabela_Movimentacao_Geral[[#This Row],[ID Produto]])*($H$2:$H922)),
    IF(_xlpm.saldo_atual &gt; 0, IF(RANDBETWEEN(0,10)&gt;3,"Saida","Entrada"), "Entrada")
  ),
  Tabela_Movimentacao_Geral[[#This Row],[Tipo Fluxo]]
)</f>
        <v>Saida</v>
      </c>
      <c r="D92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92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923" t="str">
        <f ca="1">IF(
  $O$7="Desbloqueado",
  "PROD"&amp;TEXT(RANDBETWEEN(1,200),"000"),
  Tabela_Movimentacao_Geral[[#This Row],[ID Produto]]
)</f>
        <v>PROD162</v>
      </c>
      <c r="G923" t="str">
        <f ca="1">_xlfn.XLOOKUP(Tabela_Movimentacao_Geral[[#This Row],[ID Produto]], Tabela_Produtos[ID_Produto],Tabela_Produtos[Descricao_Produto],"Produto não encontrado")</f>
        <v>Organizador de Mesa Acril</v>
      </c>
      <c r="H923" cm="1">
        <f t="array" aca="1" ref="H923" ca="1">IF(
   $O$7="Desbloqueado",
   _xlfn.LET(
     _xlpm.saldo_atual, SUM(($C$2:$C922="Entrada")*($F$2:$F922=Tabela_Movimentacao_Geral[[#This Row],[ID Produto]])*($H$2:$H922) - ($C$2:$C922="Saida")*($F$2:$F922=Tabela_Movimentacao_Geral[[#This Row],[ID Produto]])*($H$2:$H922)),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28</v>
      </c>
      <c r="I923" s="5">
        <f ca="1">_xlfn.XLOOKUP(Tabela_Movimentacao_Geral[[#This Row],[ID Produto]], Tabela_Produtos[ID_Produto],Tabela_Produtos[Preco_Unitario_Venda])</f>
        <v>55</v>
      </c>
      <c r="J923" s="6">
        <f ca="1">Tabela_Movimentacao_Geral[[#This Row],[Quantidade]] * Tabela_Movimentacao_Geral[[#This Row],[Valor Unitário]]</f>
        <v>1540</v>
      </c>
      <c r="K923" t="str">
        <f ca="1">IF(
   $O$7="Desbloqueado",
   CHOOSE(RANDBETWEEN(1,3),"Pago","Pendente","Atrasado"),
   Tabela_Movimentacao_Geral[[#This Row],[Status Financeiro]]
)</f>
        <v>Pendente</v>
      </c>
      <c r="L923" t="str">
        <f ca="1">IF(
   $O$7="Desbloqueado",
   CHOOSE(RANDBETWEEN(1,3),"Entregue","Em Rota","Aguardando"),
   Tabela_Movimentacao_Geral[[#This Row],[Status Logistico]]
)</f>
        <v>Aguardando</v>
      </c>
      <c r="M92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24" spans="1:13" x14ac:dyDescent="0.3">
      <c r="A924" t="str">
        <f t="shared" si="14"/>
        <v>T0923</v>
      </c>
      <c r="B924" s="1">
        <v>46099</v>
      </c>
      <c r="C924" t="str" cm="1">
        <f t="array" aca="1" ref="C924" ca="1">IF($O$7="Desbloqueado",
  _xlfn.LET(
    _xlpm.saldo_atual, SUM(($C$2:$C923="Entrada")*($F$2:$F923=Tabela_Movimentacao_Geral[[#This Row],[ID Produto]])*($H$2:$H923) - ($C$2:$C923="Saida")*($F$2:$F923=Tabela_Movimentacao_Geral[[#This Row],[ID Produto]])*($H$2:$H923)),
    IF(_xlpm.saldo_atual &gt; 0, IF(RANDBETWEEN(0,10)&gt;3,"Saida","Entrada"), "Entrada")
  ),
  Tabela_Movimentacao_Geral[[#This Row],[Tipo Fluxo]]
)</f>
        <v>Saida</v>
      </c>
      <c r="D92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92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924" t="str">
        <f ca="1">IF(
  $O$7="Desbloqueado",
  "PROD"&amp;TEXT(RANDBETWEEN(1,200),"000"),
  Tabela_Movimentacao_Geral[[#This Row],[ID Produto]]
)</f>
        <v>PROD154</v>
      </c>
      <c r="G924" t="str">
        <f ca="1">_xlfn.XLOOKUP(Tabela_Movimentacao_Geral[[#This Row],[ID Produto]], Tabela_Produtos[ID_Produto],Tabela_Produtos[Descricao_Produto],"Produto não encontrado")</f>
        <v>Estilete Largo Profissional</v>
      </c>
      <c r="H924" cm="1">
        <f t="array" aca="1" ref="H924" ca="1">IF(
   $O$7="Desbloqueado",
   _xlfn.LET(
     _xlpm.saldo_atual, SUM(($C$2:$C923="Entrada")*($F$2:$F923=Tabela_Movimentacao_Geral[[#This Row],[ID Produto]])*($H$2:$H923) - ($C$2:$C923="Saida")*($F$2:$F923=Tabela_Movimentacao_Geral[[#This Row],[ID Produto]])*($H$2:$H923)),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64</v>
      </c>
      <c r="I924" s="5">
        <f ca="1">_xlfn.XLOOKUP(Tabela_Movimentacao_Geral[[#This Row],[ID Produto]], Tabela_Produtos[ID_Produto],Tabela_Produtos[Preco_Unitario_Venda])</f>
        <v>18</v>
      </c>
      <c r="J924" s="6">
        <f ca="1">Tabela_Movimentacao_Geral[[#This Row],[Quantidade]] * Tabela_Movimentacao_Geral[[#This Row],[Valor Unitário]]</f>
        <v>1152</v>
      </c>
      <c r="K924" t="str">
        <f ca="1">IF(
   $O$7="Desbloqueado",
   CHOOSE(RANDBETWEEN(1,3),"Pago","Pendente","Atrasado"),
   Tabela_Movimentacao_Geral[[#This Row],[Status Financeiro]]
)</f>
        <v>Pendente</v>
      </c>
      <c r="L924" t="str">
        <f ca="1">IF(
   $O$7="Desbloqueado",
   CHOOSE(RANDBETWEEN(1,3),"Entregue","Em Rota","Aguardando"),
   Tabela_Movimentacao_Geral[[#This Row],[Status Logistico]]
)</f>
        <v>Aguardando</v>
      </c>
      <c r="M92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25" spans="1:13" x14ac:dyDescent="0.3">
      <c r="A925" t="str">
        <f t="shared" si="14"/>
        <v>T0924</v>
      </c>
      <c r="B925" s="1">
        <v>46099</v>
      </c>
      <c r="C925" t="str" cm="1">
        <f t="array" aca="1" ref="C925" ca="1">IF($O$7="Desbloqueado",
  _xlfn.LET(
    _xlpm.saldo_atual, SUM(($C$2:$C924="Entrada")*($F$2:$F924=Tabela_Movimentacao_Geral[[#This Row],[ID Produto]])*($H$2:$H924) - ($C$2:$C924="Saida")*($F$2:$F924=Tabela_Movimentacao_Geral[[#This Row],[ID Produto]])*($H$2:$H924)),
    IF(_xlpm.saldo_atual &gt; 0, IF(RANDBETWEEN(0,10)&gt;3,"Saida","Entrada"), "Entrada")
  ),
  Tabela_Movimentacao_Geral[[#This Row],[Tipo Fluxo]]
)</f>
        <v>Saida</v>
      </c>
      <c r="D92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92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925" t="str">
        <f ca="1">IF(
  $O$7="Desbloqueado",
  "PROD"&amp;TEXT(RANDBETWEEN(1,200),"000"),
  Tabela_Movimentacao_Geral[[#This Row],[ID Produto]]
)</f>
        <v>PROD072</v>
      </c>
      <c r="G925" t="str">
        <f ca="1">_xlfn.XLOOKUP(Tabela_Movimentacao_Geral[[#This Row],[ID Produto]], Tabela_Produtos[ID_Produto],Tabela_Produtos[Descricao_Produto],"Produto não encontrado")</f>
        <v>Agenda Diaria Executiva</v>
      </c>
      <c r="H925" cm="1">
        <f t="array" aca="1" ref="H925" ca="1">IF(
   $O$7="Desbloqueado",
   _xlfn.LET(
     _xlpm.saldo_atual, SUM(($C$2:$C924="Entrada")*($F$2:$F924=Tabela_Movimentacao_Geral[[#This Row],[ID Produto]])*($H$2:$H924) - ($C$2:$C924="Saida")*($F$2:$F924=Tabela_Movimentacao_Geral[[#This Row],[ID Produto]])*($H$2:$H924)),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53</v>
      </c>
      <c r="I925" s="5">
        <f ca="1">_xlfn.XLOOKUP(Tabela_Movimentacao_Geral[[#This Row],[ID Produto]], Tabela_Produtos[ID_Produto],Tabela_Produtos[Preco_Unitario_Venda])</f>
        <v>45</v>
      </c>
      <c r="J925" s="6">
        <f ca="1">Tabela_Movimentacao_Geral[[#This Row],[Quantidade]] * Tabela_Movimentacao_Geral[[#This Row],[Valor Unitário]]</f>
        <v>2385</v>
      </c>
      <c r="K925" t="str">
        <f ca="1">IF(
   $O$7="Desbloqueado",
   CHOOSE(RANDBETWEEN(1,3),"Pago","Pendente","Atrasado"),
   Tabela_Movimentacao_Geral[[#This Row],[Status Financeiro]]
)</f>
        <v>Pendente</v>
      </c>
      <c r="L925" t="str">
        <f ca="1">IF(
   $O$7="Desbloqueado",
   CHOOSE(RANDBETWEEN(1,3),"Entregue","Em Rota","Aguardando"),
   Tabela_Movimentacao_Geral[[#This Row],[Status Logistico]]
)</f>
        <v>Aguardando</v>
      </c>
      <c r="M92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26" spans="1:13" x14ac:dyDescent="0.3">
      <c r="A926" t="str">
        <f t="shared" si="14"/>
        <v>T0925</v>
      </c>
      <c r="B926" s="1">
        <v>46100</v>
      </c>
      <c r="C926" t="str" cm="1">
        <f t="array" aca="1" ref="C926" ca="1">IF($O$7="Desbloqueado",
  _xlfn.LET(
    _xlpm.saldo_atual, SUM(($C$2:$C925="Entrada")*($F$2:$F925=Tabela_Movimentacao_Geral[[#This Row],[ID Produto]])*($H$2:$H925) - ($C$2:$C925="Saida")*($F$2:$F925=Tabela_Movimentacao_Geral[[#This Row],[ID Produto]])*($H$2:$H925)),
    IF(_xlpm.saldo_atual &gt; 0, IF(RANDBETWEEN(0,10)&gt;3,"Saida","Entrada"), "Entrada")
  ),
  Tabela_Movimentacao_Geral[[#This Row],[Tipo Fluxo]]
)</f>
        <v>Saida</v>
      </c>
      <c r="D92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92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926" t="str">
        <f ca="1">IF(
  $O$7="Desbloqueado",
  "PROD"&amp;TEXT(RANDBETWEEN(1,200),"000"),
  Tabela_Movimentacao_Geral[[#This Row],[ID Produto]]
)</f>
        <v>PROD112</v>
      </c>
      <c r="G926" t="str">
        <f ca="1">_xlfn.XLOOKUP(Tabela_Movimentacao_Geral[[#This Row],[ID Produto]], Tabela_Produtos[ID_Produto],Tabela_Produtos[Descricao_Produto],"Produto não encontrado")</f>
        <v>Webcam 4K Streaming</v>
      </c>
      <c r="H926" cm="1">
        <f t="array" aca="1" ref="H926" ca="1">IF(
   $O$7="Desbloqueado",
   _xlfn.LET(
     _xlpm.saldo_atual, SUM(($C$2:$C925="Entrada")*($F$2:$F925=Tabela_Movimentacao_Geral[[#This Row],[ID Produto]])*($H$2:$H925) - ($C$2:$C925="Saida")*($F$2:$F925=Tabela_Movimentacao_Geral[[#This Row],[ID Produto]])*($H$2:$H925)),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926" s="5">
        <f ca="1">_xlfn.XLOOKUP(Tabela_Movimentacao_Geral[[#This Row],[ID Produto]], Tabela_Produtos[ID_Produto],Tabela_Produtos[Preco_Unitario_Venda])</f>
        <v>1100</v>
      </c>
      <c r="J926" s="6">
        <f ca="1">Tabela_Movimentacao_Geral[[#This Row],[Quantidade]] * Tabela_Movimentacao_Geral[[#This Row],[Valor Unitário]]</f>
        <v>29700</v>
      </c>
      <c r="K926" t="str">
        <f ca="1">IF(
   $O$7="Desbloqueado",
   CHOOSE(RANDBETWEEN(1,3),"Pago","Pendente","Atrasado"),
   Tabela_Movimentacao_Geral[[#This Row],[Status Financeiro]]
)</f>
        <v>Pago</v>
      </c>
      <c r="L926" t="str">
        <f ca="1">IF(
   $O$7="Desbloqueado",
   CHOOSE(RANDBETWEEN(1,3),"Entregue","Em Rota","Aguardando"),
   Tabela_Movimentacao_Geral[[#This Row],[Status Logistico]]
)</f>
        <v>Entregue</v>
      </c>
      <c r="M92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27" spans="1:13" x14ac:dyDescent="0.3">
      <c r="A927" t="str">
        <f t="shared" si="14"/>
        <v>T0926</v>
      </c>
      <c r="B927" s="1">
        <v>46100</v>
      </c>
      <c r="C927" t="str" cm="1">
        <f t="array" aca="1" ref="C927" ca="1">IF($O$7="Desbloqueado",
  _xlfn.LET(
    _xlpm.saldo_atual, SUM(($C$2:$C926="Entrada")*($F$2:$F926=Tabela_Movimentacao_Geral[[#This Row],[ID Produto]])*($H$2:$H926) - ($C$2:$C926="Saida")*($F$2:$F926=Tabela_Movimentacao_Geral[[#This Row],[ID Produto]])*($H$2:$H926)),
    IF(_xlpm.saldo_atual &gt; 0, IF(RANDBETWEEN(0,10)&gt;3,"Saida","Entrada"), "Entrada")
  ),
  Tabela_Movimentacao_Geral[[#This Row],[Tipo Fluxo]]
)</f>
        <v>Saida</v>
      </c>
      <c r="D92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92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927" t="str">
        <f ca="1">IF(
  $O$7="Desbloqueado",
  "PROD"&amp;TEXT(RANDBETWEEN(1,200),"000"),
  Tabela_Movimentacao_Geral[[#This Row],[ID Produto]]
)</f>
        <v>PROD033</v>
      </c>
      <c r="G927" t="str">
        <f ca="1">_xlfn.XLOOKUP(Tabela_Movimentacao_Geral[[#This Row],[ID Produto]], Tabela_Produtos[ID_Produto],Tabela_Produtos[Descricao_Produto],"Produto não encontrado")</f>
        <v>Pendrive 64GB USB 3.1</v>
      </c>
      <c r="H927" cm="1">
        <f t="array" aca="1" ref="H927" ca="1">IF(
   $O$7="Desbloqueado",
   _xlfn.LET(
     _xlpm.saldo_atual, SUM(($C$2:$C926="Entrada")*($F$2:$F926=Tabela_Movimentacao_Geral[[#This Row],[ID Produto]])*($H$2:$H926) - ($C$2:$C926="Saida")*($F$2:$F926=Tabela_Movimentacao_Geral[[#This Row],[ID Produto]])*($H$2:$H926)),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927" s="5">
        <f ca="1">_xlfn.XLOOKUP(Tabela_Movimentacao_Geral[[#This Row],[ID Produto]], Tabela_Produtos[ID_Produto],Tabela_Produtos[Preco_Unitario_Venda])</f>
        <v>65</v>
      </c>
      <c r="J927" s="6">
        <f ca="1">Tabela_Movimentacao_Geral[[#This Row],[Quantidade]] * Tabela_Movimentacao_Geral[[#This Row],[Valor Unitário]]</f>
        <v>1040</v>
      </c>
      <c r="K927" t="str">
        <f ca="1">IF(
   $O$7="Desbloqueado",
   CHOOSE(RANDBETWEEN(1,3),"Pago","Pendente","Atrasado"),
   Tabela_Movimentacao_Geral[[#This Row],[Status Financeiro]]
)</f>
        <v>Atrasado</v>
      </c>
      <c r="L927" t="str">
        <f ca="1">IF(
   $O$7="Desbloqueado",
   CHOOSE(RANDBETWEEN(1,3),"Entregue","Em Rota","Aguardando"),
   Tabela_Movimentacao_Geral[[#This Row],[Status Logistico]]
)</f>
        <v>Aguardando</v>
      </c>
      <c r="M92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28" spans="1:13" x14ac:dyDescent="0.3">
      <c r="A928" t="str">
        <f t="shared" si="14"/>
        <v>T0927</v>
      </c>
      <c r="B928" s="1">
        <v>46100</v>
      </c>
      <c r="C928" t="str" cm="1">
        <f t="array" aca="1" ref="C928" ca="1">IF($O$7="Desbloqueado",
  _xlfn.LET(
    _xlpm.saldo_atual, SUM(($C$2:$C927="Entrada")*($F$2:$F927=Tabela_Movimentacao_Geral[[#This Row],[ID Produto]])*($H$2:$H927) - ($C$2:$C927="Saida")*($F$2:$F927=Tabela_Movimentacao_Geral[[#This Row],[ID Produto]])*($H$2:$H927)),
    IF(_xlpm.saldo_atual &gt; 0, IF(RANDBETWEEN(0,10)&gt;3,"Saida","Entrada"), "Entrada")
  ),
  Tabela_Movimentacao_Geral[[#This Row],[Tipo Fluxo]]
)</f>
        <v>Saida</v>
      </c>
      <c r="D92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92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928" t="str">
        <f ca="1">IF(
  $O$7="Desbloqueado",
  "PROD"&amp;TEXT(RANDBETWEEN(1,200),"000"),
  Tabela_Movimentacao_Geral[[#This Row],[ID Produto]]
)</f>
        <v>PROD025</v>
      </c>
      <c r="G928" t="str">
        <f ca="1">_xlfn.XLOOKUP(Tabela_Movimentacao_Geral[[#This Row],[ID Produto]], Tabela_Produtos[ID_Produto],Tabela_Produtos[Descricao_Produto],"Produto não encontrado")</f>
        <v>Software de Backup Cloud</v>
      </c>
      <c r="H928" cm="1">
        <f t="array" aca="1" ref="H928" ca="1">IF(
   $O$7="Desbloqueado",
   _xlfn.LET(
     _xlpm.saldo_atual, SUM(($C$2:$C927="Entrada")*($F$2:$F927=Tabela_Movimentacao_Geral[[#This Row],[ID Produto]])*($H$2:$H927) - ($C$2:$C927="Saida")*($F$2:$F927=Tabela_Movimentacao_Geral[[#This Row],[ID Produto]])*($H$2:$H927)),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928" s="5">
        <f ca="1">_xlfn.XLOOKUP(Tabela_Movimentacao_Geral[[#This Row],[ID Produto]], Tabela_Produtos[ID_Produto],Tabela_Produtos[Preco_Unitario_Venda])</f>
        <v>85</v>
      </c>
      <c r="J928" s="6">
        <f ca="1">Tabela_Movimentacao_Geral[[#This Row],[Quantidade]] * Tabela_Movimentacao_Geral[[#This Row],[Valor Unitário]]</f>
        <v>170</v>
      </c>
      <c r="K928" t="str">
        <f ca="1">IF(
   $O$7="Desbloqueado",
   CHOOSE(RANDBETWEEN(1,3),"Pago","Pendente","Atrasado"),
   Tabela_Movimentacao_Geral[[#This Row],[Status Financeiro]]
)</f>
        <v>Pago</v>
      </c>
      <c r="L928" t="str">
        <f ca="1">IF(
   $O$7="Desbloqueado",
   CHOOSE(RANDBETWEEN(1,3),"Entregue","Em Rota","Aguardando"),
   Tabela_Movimentacao_Geral[[#This Row],[Status Logistico]]
)</f>
        <v>Entregue</v>
      </c>
      <c r="M92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29" spans="1:13" x14ac:dyDescent="0.3">
      <c r="A929" t="str">
        <f t="shared" si="14"/>
        <v>T0928</v>
      </c>
      <c r="B929" s="1">
        <v>46101</v>
      </c>
      <c r="C929" t="str" cm="1">
        <f t="array" aca="1" ref="C929" ca="1">IF($O$7="Desbloqueado",
  _xlfn.LET(
    _xlpm.saldo_atual, SUM(($C$2:$C928="Entrada")*($F$2:$F928=Tabela_Movimentacao_Geral[[#This Row],[ID Produto]])*($H$2:$H928) - ($C$2:$C928="Saida")*($F$2:$F928=Tabela_Movimentacao_Geral[[#This Row],[ID Produto]])*($H$2:$H928)),
    IF(_xlpm.saldo_atual &gt; 0, IF(RANDBETWEEN(0,10)&gt;3,"Saida","Entrada"), "Entrada")
  ),
  Tabela_Movimentacao_Geral[[#This Row],[Tipo Fluxo]]
)</f>
        <v>Saida</v>
      </c>
      <c r="D92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CLI012</v>
      </c>
      <c r="E92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Padaria Real</v>
      </c>
      <c r="F929" t="str">
        <f ca="1">IF(
  $O$7="Desbloqueado",
  "PROD"&amp;TEXT(RANDBETWEEN(1,200),"000"),
  Tabela_Movimentacao_Geral[[#This Row],[ID Produto]]
)</f>
        <v>PROD080</v>
      </c>
      <c r="G929" t="str">
        <f ca="1">_xlfn.XLOOKUP(Tabela_Movimentacao_Geral[[#This Row],[ID Produto]], Tabela_Produtos[ID_Produto],Tabela_Produtos[Descricao_Produto],"Produto não encontrado")</f>
        <v>Quadro de Avisos Cortica</v>
      </c>
      <c r="H929" cm="1">
        <f t="array" aca="1" ref="H929" ca="1">IF(
   $O$7="Desbloqueado",
   _xlfn.LET(
     _xlpm.saldo_atual, SUM(($C$2:$C928="Entrada")*($F$2:$F928=Tabela_Movimentacao_Geral[[#This Row],[ID Produto]])*($H$2:$H928) - ($C$2:$C928="Saida")*($F$2:$F928=Tabela_Movimentacao_Geral[[#This Row],[ID Produto]])*($H$2:$H928)),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929" s="5">
        <f ca="1">_xlfn.XLOOKUP(Tabela_Movimentacao_Geral[[#This Row],[ID Produto]], Tabela_Produtos[ID_Produto],Tabela_Produtos[Preco_Unitario_Venda])</f>
        <v>110</v>
      </c>
      <c r="J929" s="6">
        <f ca="1">Tabela_Movimentacao_Geral[[#This Row],[Quantidade]] * Tabela_Movimentacao_Geral[[#This Row],[Valor Unitário]]</f>
        <v>1650</v>
      </c>
      <c r="K929" t="str">
        <f ca="1">IF(
   $O$7="Desbloqueado",
   CHOOSE(RANDBETWEEN(1,3),"Pago","Pendente","Atrasado"),
   Tabela_Movimentacao_Geral[[#This Row],[Status Financeiro]]
)</f>
        <v>Pago</v>
      </c>
      <c r="L929" t="str">
        <f ca="1">IF(
   $O$7="Desbloqueado",
   CHOOSE(RANDBETWEEN(1,3),"Entregue","Em Rota","Aguardando"),
   Tabela_Movimentacao_Geral[[#This Row],[Status Logistico]]
)</f>
        <v>Aguardando</v>
      </c>
      <c r="M92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30" spans="1:13" x14ac:dyDescent="0.3">
      <c r="A930" t="str">
        <f t="shared" si="14"/>
        <v>T0929</v>
      </c>
      <c r="B930" s="1">
        <v>46102</v>
      </c>
      <c r="C930" t="str" cm="1">
        <f t="array" aca="1" ref="C930" ca="1">IF($O$7="Desbloqueado",
  _xlfn.LET(
    _xlpm.saldo_atual, SUM(($C$2:$C929="Entrada")*($F$2:$F929=Tabela_Movimentacao_Geral[[#This Row],[ID Produto]])*($H$2:$H929) - ($C$2:$C929="Saida")*($F$2:$F929=Tabela_Movimentacao_Geral[[#This Row],[ID Produto]])*($H$2:$H929)),
    IF(_xlpm.saldo_atual &gt; 0, IF(RANDBETWEEN(0,10)&gt;3,"Saida","Entrada"), "Entrada")
  ),
  Tabela_Movimentacao_Geral[[#This Row],[Tipo Fluxo]]
)</f>
        <v>Saida</v>
      </c>
      <c r="D93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93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930" t="str">
        <f ca="1">IF(
  $O$7="Desbloqueado",
  "PROD"&amp;TEXT(RANDBETWEEN(1,200),"000"),
  Tabela_Movimentacao_Geral[[#This Row],[ID Produto]]
)</f>
        <v>PROD191</v>
      </c>
      <c r="G930" t="str">
        <f ca="1">_xlfn.XLOOKUP(Tabela_Movimentacao_Geral[[#This Row],[ID Produto]], Tabela_Produtos[ID_Produto],Tabela_Produtos[Descricao_Produto],"Produto não encontrado")</f>
        <v>Antena Wi-Fi High Gain</v>
      </c>
      <c r="H930" cm="1">
        <f t="array" aca="1" ref="H930" ca="1">IF(
   $O$7="Desbloqueado",
   _xlfn.LET(
     _xlpm.saldo_atual, SUM(($C$2:$C929="Entrada")*($F$2:$F929=Tabela_Movimentacao_Geral[[#This Row],[ID Produto]])*($H$2:$H929) - ($C$2:$C929="Saida")*($F$2:$F929=Tabela_Movimentacao_Geral[[#This Row],[ID Produto]])*($H$2:$H929)),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930" s="5">
        <f ca="1">_xlfn.XLOOKUP(Tabela_Movimentacao_Geral[[#This Row],[ID Produto]], Tabela_Produtos[ID_Produto],Tabela_Produtos[Preco_Unitario_Venda])</f>
        <v>145</v>
      </c>
      <c r="J930" s="6">
        <f ca="1">Tabela_Movimentacao_Geral[[#This Row],[Quantidade]] * Tabela_Movimentacao_Geral[[#This Row],[Valor Unitário]]</f>
        <v>2755</v>
      </c>
      <c r="K930" t="str">
        <f ca="1">IF(
   $O$7="Desbloqueado",
   CHOOSE(RANDBETWEEN(1,3),"Pago","Pendente","Atrasado"),
   Tabela_Movimentacao_Geral[[#This Row],[Status Financeiro]]
)</f>
        <v>Atrasado</v>
      </c>
      <c r="L930" t="str">
        <f ca="1">IF(
   $O$7="Desbloqueado",
   CHOOSE(RANDBETWEEN(1,3),"Entregue","Em Rota","Aguardando"),
   Tabela_Movimentacao_Geral[[#This Row],[Status Logistico]]
)</f>
        <v>Aguardando</v>
      </c>
      <c r="M93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31" spans="1:13" x14ac:dyDescent="0.3">
      <c r="A931" t="str">
        <f t="shared" si="14"/>
        <v>T0930</v>
      </c>
      <c r="B931" s="1">
        <v>46102</v>
      </c>
      <c r="C931" t="str" cm="1">
        <f t="array" aca="1" ref="C931" ca="1">IF($O$7="Desbloqueado",
  _xlfn.LET(
    _xlpm.saldo_atual, SUM(($C$2:$C930="Entrada")*($F$2:$F930=Tabela_Movimentacao_Geral[[#This Row],[ID Produto]])*($H$2:$H930) - ($C$2:$C930="Saida")*($F$2:$F930=Tabela_Movimentacao_Geral[[#This Row],[ID Produto]])*($H$2:$H930)),
    IF(_xlpm.saldo_atual &gt; 0, IF(RANDBETWEEN(0,10)&gt;3,"Saida","Entrada"), "Entrada")
  ),
  Tabela_Movimentacao_Geral[[#This Row],[Tipo Fluxo]]
)</f>
        <v>Entrada</v>
      </c>
      <c r="D93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93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931" t="str">
        <f ca="1">IF(
  $O$7="Desbloqueado",
  "PROD"&amp;TEXT(RANDBETWEEN(1,200),"000"),
  Tabela_Movimentacao_Geral[[#This Row],[ID Produto]]
)</f>
        <v>PROD117</v>
      </c>
      <c r="G931" t="str">
        <f ca="1">_xlfn.XLOOKUP(Tabela_Movimentacao_Geral[[#This Row],[ID Produto]], Tabela_Produtos[ID_Produto],Tabela_Produtos[Descricao_Produto],"Produto não encontrado")</f>
        <v>Adaptador Wi-Fi USB 5G</v>
      </c>
      <c r="H931" cm="1">
        <f t="array" aca="1" ref="H931" ca="1">IF(
   $O$7="Desbloqueado",
   _xlfn.LET(
     _xlpm.saldo_atual, SUM(($C$2:$C930="Entrada")*($F$2:$F930=Tabela_Movimentacao_Geral[[#This Row],[ID Produto]])*($H$2:$H930) - ($C$2:$C930="Saida")*($F$2:$F930=Tabela_Movimentacao_Geral[[#This Row],[ID Produto]])*($H$2:$H930)),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88</v>
      </c>
      <c r="I931" s="5">
        <f ca="1">_xlfn.XLOOKUP(Tabela_Movimentacao_Geral[[#This Row],[ID Produto]], Tabela_Produtos[ID_Produto],Tabela_Produtos[Preco_Unitario_Venda])</f>
        <v>95</v>
      </c>
      <c r="J931" s="6">
        <f ca="1">Tabela_Movimentacao_Geral[[#This Row],[Quantidade]] * Tabela_Movimentacao_Geral[[#This Row],[Valor Unitário]]</f>
        <v>8360</v>
      </c>
      <c r="K931" t="str">
        <f ca="1">IF(
   $O$7="Desbloqueado",
   CHOOSE(RANDBETWEEN(1,3),"Pago","Pendente","Atrasado"),
   Tabela_Movimentacao_Geral[[#This Row],[Status Financeiro]]
)</f>
        <v>Atrasado</v>
      </c>
      <c r="L931" t="str">
        <f ca="1">IF(
   $O$7="Desbloqueado",
   CHOOSE(RANDBETWEEN(1,3),"Entregue","Em Rota","Aguardando"),
   Tabela_Movimentacao_Geral[[#This Row],[Status Logistico]]
)</f>
        <v>Entregue</v>
      </c>
      <c r="M93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46110</v>
      </c>
    </row>
    <row r="932" spans="1:13" x14ac:dyDescent="0.3">
      <c r="A932" t="str">
        <f t="shared" si="14"/>
        <v>T0931</v>
      </c>
      <c r="B932" s="1">
        <v>46102</v>
      </c>
      <c r="C932" t="str" cm="1">
        <f t="array" aca="1" ref="C932" ca="1">IF($O$7="Desbloqueado",
  _xlfn.LET(
    _xlpm.saldo_atual, SUM(($C$2:$C931="Entrada")*($F$2:$F931=Tabela_Movimentacao_Geral[[#This Row],[ID Produto]])*($H$2:$H931) - ($C$2:$C931="Saida")*($F$2:$F931=Tabela_Movimentacao_Geral[[#This Row],[ID Produto]])*($H$2:$H931)),
    IF(_xlpm.saldo_atual &gt; 0, IF(RANDBETWEEN(0,10)&gt;3,"Saida","Entrada"), "Entrada")
  ),
  Tabela_Movimentacao_Geral[[#This Row],[Tipo Fluxo]]
)</f>
        <v>Saida</v>
      </c>
      <c r="D93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93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932" t="str">
        <f ca="1">IF(
  $O$7="Desbloqueado",
  "PROD"&amp;TEXT(RANDBETWEEN(1,200),"000"),
  Tabela_Movimentacao_Geral[[#This Row],[ID Produto]]
)</f>
        <v>PROD077</v>
      </c>
      <c r="G932" t="str">
        <f ca="1">_xlfn.XLOOKUP(Tabela_Movimentacao_Geral[[#This Row],[ID Produto]], Tabela_Produtos[ID_Produto],Tabela_Produtos[Descricao_Produto],"Produto não encontrado")</f>
        <v>Lixeira de Escritorio 10L</v>
      </c>
      <c r="H932" cm="1">
        <f t="array" aca="1" ref="H932" ca="1">IF(
   $O$7="Desbloqueado",
   _xlfn.LET(
     _xlpm.saldo_atual, SUM(($C$2:$C931="Entrada")*($F$2:$F931=Tabela_Movimentacao_Geral[[#This Row],[ID Produto]])*($H$2:$H931) - ($C$2:$C931="Saida")*($F$2:$F931=Tabela_Movimentacao_Geral[[#This Row],[ID Produto]])*($H$2:$H931)),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116</v>
      </c>
      <c r="I932" s="5">
        <f ca="1">_xlfn.XLOOKUP(Tabela_Movimentacao_Geral[[#This Row],[ID Produto]], Tabela_Produtos[ID_Produto],Tabela_Produtos[Preco_Unitario_Venda])</f>
        <v>28</v>
      </c>
      <c r="J932" s="6">
        <f ca="1">Tabela_Movimentacao_Geral[[#This Row],[Quantidade]] * Tabela_Movimentacao_Geral[[#This Row],[Valor Unitário]]</f>
        <v>3248</v>
      </c>
      <c r="K932" t="str">
        <f ca="1">IF(
   $O$7="Desbloqueado",
   CHOOSE(RANDBETWEEN(1,3),"Pago","Pendente","Atrasado"),
   Tabela_Movimentacao_Geral[[#This Row],[Status Financeiro]]
)</f>
        <v>Atrasado</v>
      </c>
      <c r="L932" t="str">
        <f ca="1">IF(
   $O$7="Desbloqueado",
   CHOOSE(RANDBETWEEN(1,3),"Entregue","Em Rota","Aguardando"),
   Tabela_Movimentacao_Geral[[#This Row],[Status Logistico]]
)</f>
        <v>Em Rota</v>
      </c>
      <c r="M93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33" spans="1:13" x14ac:dyDescent="0.3">
      <c r="A933" t="str">
        <f t="shared" si="14"/>
        <v>T0932</v>
      </c>
      <c r="B933" s="1">
        <v>46102</v>
      </c>
      <c r="C933" t="str" cm="1">
        <f t="array" aca="1" ref="C933" ca="1">IF($O$7="Desbloqueado",
  _xlfn.LET(
    _xlpm.saldo_atual, SUM(($C$2:$C932="Entrada")*($F$2:$F932=Tabela_Movimentacao_Geral[[#This Row],[ID Produto]])*($H$2:$H932) - ($C$2:$C932="Saida")*($F$2:$F932=Tabela_Movimentacao_Geral[[#This Row],[ID Produto]])*($H$2:$H932)),
    IF(_xlpm.saldo_atual &gt; 0, IF(RANDBETWEEN(0,10)&gt;3,"Saida","Entrada"), "Entrada")
  ),
  Tabela_Movimentacao_Geral[[#This Row],[Tipo Fluxo]]
)</f>
        <v>Entrada</v>
      </c>
      <c r="D93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93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933" t="str">
        <f ca="1">IF(
  $O$7="Desbloqueado",
  "PROD"&amp;TEXT(RANDBETWEEN(1,200),"000"),
  Tabela_Movimentacao_Geral[[#This Row],[ID Produto]]
)</f>
        <v>PROD147</v>
      </c>
      <c r="G933" t="str">
        <f ca="1">_xlfn.XLOOKUP(Tabela_Movimentacao_Geral[[#This Row],[ID Produto]], Tabela_Produtos[ID_Produto],Tabela_Produtos[Descricao_Produto],"Produto não encontrado")</f>
        <v>Testador de Cabo de Rede</v>
      </c>
      <c r="H933" cm="1">
        <f t="array" aca="1" ref="H933" ca="1">IF(
   $O$7="Desbloqueado",
   _xlfn.LET(
     _xlpm.saldo_atual, SUM(($C$2:$C932="Entrada")*($F$2:$F932=Tabela_Movimentacao_Geral[[#This Row],[ID Produto]])*($H$2:$H932) - ($C$2:$C932="Saida")*($F$2:$F932=Tabela_Movimentacao_Geral[[#This Row],[ID Produto]])*($H$2:$H932)),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933" s="5">
        <f ca="1">_xlfn.XLOOKUP(Tabela_Movimentacao_Geral[[#This Row],[ID Produto]], Tabela_Produtos[ID_Produto],Tabela_Produtos[Preco_Unitario_Venda])</f>
        <v>65</v>
      </c>
      <c r="J933" s="6">
        <f ca="1">Tabela_Movimentacao_Geral[[#This Row],[Quantidade]] * Tabela_Movimentacao_Geral[[#This Row],[Valor Unitário]]</f>
        <v>520</v>
      </c>
      <c r="K933" t="str">
        <f ca="1">IF(
   $O$7="Desbloqueado",
   CHOOSE(RANDBETWEEN(1,3),"Pago","Pendente","Atrasado"),
   Tabela_Movimentacao_Geral[[#This Row],[Status Financeiro]]
)</f>
        <v>Pendente</v>
      </c>
      <c r="L933" t="str">
        <f ca="1">IF(
   $O$7="Desbloqueado",
   CHOOSE(RANDBETWEEN(1,3),"Entregue","Em Rota","Aguardando"),
   Tabela_Movimentacao_Geral[[#This Row],[Status Logistico]]
)</f>
        <v>Entregue</v>
      </c>
      <c r="M93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46103</v>
      </c>
    </row>
    <row r="934" spans="1:13" x14ac:dyDescent="0.3">
      <c r="A934" t="str">
        <f t="shared" si="14"/>
        <v>T0933</v>
      </c>
      <c r="B934" s="1">
        <v>46102</v>
      </c>
      <c r="C934" t="str" cm="1">
        <f t="array" aca="1" ref="C934" ca="1">IF($O$7="Desbloqueado",
  _xlfn.LET(
    _xlpm.saldo_atual, SUM(($C$2:$C933="Entrada")*($F$2:$F933=Tabela_Movimentacao_Geral[[#This Row],[ID Produto]])*($H$2:$H933) - ($C$2:$C933="Saida")*($F$2:$F933=Tabela_Movimentacao_Geral[[#This Row],[ID Produto]])*($H$2:$H933)),
    IF(_xlpm.saldo_atual &gt; 0, IF(RANDBETWEEN(0,10)&gt;3,"Saida","Entrada"), "Entrada")
  ),
  Tabela_Movimentacao_Geral[[#This Row],[Tipo Fluxo]]
)</f>
        <v>Entrada</v>
      </c>
      <c r="D93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93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934" t="str">
        <f ca="1">IF(
  $O$7="Desbloqueado",
  "PROD"&amp;TEXT(RANDBETWEEN(1,200),"000"),
  Tabela_Movimentacao_Geral[[#This Row],[ID Produto]]
)</f>
        <v>PROD070</v>
      </c>
      <c r="G934" t="str">
        <f ca="1">_xlfn.XLOOKUP(Tabela_Movimentacao_Geral[[#This Row],[ID Produto]], Tabela_Produtos[ID_Produto],Tabela_Produtos[Descricao_Produto],"Produto não encontrado")</f>
        <v>Marcador para Quadro Azul</v>
      </c>
      <c r="H934" cm="1">
        <f t="array" aca="1" ref="H934" ca="1">IF(
   $O$7="Desbloqueado",
   _xlfn.LET(
     _xlpm.saldo_atual, SUM(($C$2:$C933="Entrada")*($F$2:$F933=Tabela_Movimentacao_Geral[[#This Row],[ID Produto]])*($H$2:$H933) - ($C$2:$C933="Saida")*($F$2:$F933=Tabela_Movimentacao_Geral[[#This Row],[ID Produto]])*($H$2:$H933)),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87</v>
      </c>
      <c r="I934" s="5">
        <f ca="1">_xlfn.XLOOKUP(Tabela_Movimentacao_Geral[[#This Row],[ID Produto]], Tabela_Produtos[ID_Produto],Tabela_Produtos[Preco_Unitario_Venda])</f>
        <v>7.5</v>
      </c>
      <c r="J934" s="6">
        <f ca="1">Tabela_Movimentacao_Geral[[#This Row],[Quantidade]] * Tabela_Movimentacao_Geral[[#This Row],[Valor Unitário]]</f>
        <v>652.5</v>
      </c>
      <c r="K934" t="str">
        <f ca="1">IF(
   $O$7="Desbloqueado",
   CHOOSE(RANDBETWEEN(1,3),"Pago","Pendente","Atrasado"),
   Tabela_Movimentacao_Geral[[#This Row],[Status Financeiro]]
)</f>
        <v>Pago</v>
      </c>
      <c r="L934" t="str">
        <f ca="1">IF(
   $O$7="Desbloqueado",
   CHOOSE(RANDBETWEEN(1,3),"Entregue","Em Rota","Aguardando"),
   Tabela_Movimentacao_Geral[[#This Row],[Status Logistico]]
)</f>
        <v>Entregue</v>
      </c>
      <c r="M93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46105</v>
      </c>
    </row>
    <row r="935" spans="1:13" x14ac:dyDescent="0.3">
      <c r="A935" t="str">
        <f t="shared" si="14"/>
        <v>T0934</v>
      </c>
      <c r="B935" s="1">
        <v>46103</v>
      </c>
      <c r="C935" t="str" cm="1">
        <f t="array" aca="1" ref="C935" ca="1">IF($O$7="Desbloqueado",
  _xlfn.LET(
    _xlpm.saldo_atual, SUM(($C$2:$C934="Entrada")*($F$2:$F934=Tabela_Movimentacao_Geral[[#This Row],[ID Produto]])*($H$2:$H934) - ($C$2:$C934="Saida")*($F$2:$F934=Tabela_Movimentacao_Geral[[#This Row],[ID Produto]])*($H$2:$H934)),
    IF(_xlpm.saldo_atual &gt; 0, IF(RANDBETWEEN(0,10)&gt;3,"Saida","Entrada"), "Entrada")
  ),
  Tabela_Movimentacao_Geral[[#This Row],[Tipo Fluxo]]
)</f>
        <v>Entrada</v>
      </c>
      <c r="D93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93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935" t="str">
        <f ca="1">IF(
  $O$7="Desbloqueado",
  "PROD"&amp;TEXT(RANDBETWEEN(1,200),"000"),
  Tabela_Movimentacao_Geral[[#This Row],[ID Produto]]
)</f>
        <v>PROD180</v>
      </c>
      <c r="G935" t="str">
        <f ca="1">_xlfn.XLOOKUP(Tabela_Movimentacao_Geral[[#This Row],[ID Produto]], Tabela_Produtos[ID_Produto],Tabela_Produtos[Descricao_Produto],"Produto não encontrado")</f>
        <v>Gaveteiro 3 Gavetas</v>
      </c>
      <c r="H935" cm="1">
        <f t="array" aca="1" ref="H935" ca="1">IF(
   $O$7="Desbloqueado",
   _xlfn.LET(
     _xlpm.saldo_atual, SUM(($C$2:$C934="Entrada")*($F$2:$F934=Tabela_Movimentacao_Geral[[#This Row],[ID Produto]])*($H$2:$H934) - ($C$2:$C934="Saida")*($F$2:$F934=Tabela_Movimentacao_Geral[[#This Row],[ID Produto]])*($H$2:$H934)),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935" s="5">
        <f ca="1">_xlfn.XLOOKUP(Tabela_Movimentacao_Geral[[#This Row],[ID Produto]], Tabela_Produtos[ID_Produto],Tabela_Produtos[Preco_Unitario_Venda])</f>
        <v>450</v>
      </c>
      <c r="J935" s="6">
        <f ca="1">Tabela_Movimentacao_Geral[[#This Row],[Quantidade]] * Tabela_Movimentacao_Geral[[#This Row],[Valor Unitário]]</f>
        <v>19800</v>
      </c>
      <c r="K935" t="str">
        <f ca="1">IF(
   $O$7="Desbloqueado",
   CHOOSE(RANDBETWEEN(1,3),"Pago","Pendente","Atrasado"),
   Tabela_Movimentacao_Geral[[#This Row],[Status Financeiro]]
)</f>
        <v>Pendente</v>
      </c>
      <c r="L935" t="str">
        <f ca="1">IF(
   $O$7="Desbloqueado",
   CHOOSE(RANDBETWEEN(1,3),"Entregue","Em Rota","Aguardando"),
   Tabela_Movimentacao_Geral[[#This Row],[Status Logistico]]
)</f>
        <v>Aguardando</v>
      </c>
      <c r="M93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46106</v>
      </c>
    </row>
    <row r="936" spans="1:13" x14ac:dyDescent="0.3">
      <c r="A936" t="str">
        <f t="shared" si="14"/>
        <v>T0935</v>
      </c>
      <c r="B936" s="1">
        <v>46103</v>
      </c>
      <c r="C936" t="str" cm="1">
        <f t="array" aca="1" ref="C936" ca="1">IF($O$7="Desbloqueado",
  _xlfn.LET(
    _xlpm.saldo_atual, SUM(($C$2:$C935="Entrada")*($F$2:$F935=Tabela_Movimentacao_Geral[[#This Row],[ID Produto]])*($H$2:$H935) - ($C$2:$C935="Saida")*($F$2:$F935=Tabela_Movimentacao_Geral[[#This Row],[ID Produto]])*($H$2:$H935)),
    IF(_xlpm.saldo_atual &gt; 0, IF(RANDBETWEEN(0,10)&gt;3,"Saida","Entrada"), "Entrada")
  ),
  Tabela_Movimentacao_Geral[[#This Row],[Tipo Fluxo]]
)</f>
        <v>Saida</v>
      </c>
      <c r="D93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93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936" t="str">
        <f ca="1">IF(
  $O$7="Desbloqueado",
  "PROD"&amp;TEXT(RANDBETWEEN(1,200),"000"),
  Tabela_Movimentacao_Geral[[#This Row],[ID Produto]]
)</f>
        <v>PROD012</v>
      </c>
      <c r="G936" t="str">
        <f ca="1">_xlfn.XLOOKUP(Tabela_Movimentacao_Geral[[#This Row],[ID Produto]], Tabela_Produtos[ID_Produto],Tabela_Produtos[Descricao_Produto],"Produto não encontrado")</f>
        <v>Webcam 1080p Business</v>
      </c>
      <c r="H936" cm="1">
        <f t="array" aca="1" ref="H936" ca="1">IF(
   $O$7="Desbloqueado",
   _xlfn.LET(
     _xlpm.saldo_atual, SUM(($C$2:$C935="Entrada")*($F$2:$F935=Tabela_Movimentacao_Geral[[#This Row],[ID Produto]])*($H$2:$H935) - ($C$2:$C935="Saida")*($F$2:$F935=Tabela_Movimentacao_Geral[[#This Row],[ID Produto]])*($H$2:$H935)),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936" s="5">
        <f ca="1">_xlfn.XLOOKUP(Tabela_Movimentacao_Geral[[#This Row],[ID Produto]], Tabela_Produtos[ID_Produto],Tabela_Produtos[Preco_Unitario_Venda])</f>
        <v>450</v>
      </c>
      <c r="J936" s="6">
        <f ca="1">Tabela_Movimentacao_Geral[[#This Row],[Quantidade]] * Tabela_Movimentacao_Geral[[#This Row],[Valor Unitário]]</f>
        <v>1800</v>
      </c>
      <c r="K936" t="str">
        <f ca="1">IF(
   $O$7="Desbloqueado",
   CHOOSE(RANDBETWEEN(1,3),"Pago","Pendente","Atrasado"),
   Tabela_Movimentacao_Geral[[#This Row],[Status Financeiro]]
)</f>
        <v>Atrasado</v>
      </c>
      <c r="L936" t="str">
        <f ca="1">IF(
   $O$7="Desbloqueado",
   CHOOSE(RANDBETWEEN(1,3),"Entregue","Em Rota","Aguardando"),
   Tabela_Movimentacao_Geral[[#This Row],[Status Logistico]]
)</f>
        <v>Aguardando</v>
      </c>
      <c r="M93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37" spans="1:13" x14ac:dyDescent="0.3">
      <c r="A937" t="str">
        <f t="shared" si="14"/>
        <v>T0936</v>
      </c>
      <c r="B937" s="1">
        <v>46104</v>
      </c>
      <c r="C937" t="str" cm="1">
        <f t="array" aca="1" ref="C937" ca="1">IF($O$7="Desbloqueado",
  _xlfn.LET(
    _xlpm.saldo_atual, SUM(($C$2:$C936="Entrada")*($F$2:$F936=Tabela_Movimentacao_Geral[[#This Row],[ID Produto]])*($H$2:$H936) - ($C$2:$C936="Saida")*($F$2:$F936=Tabela_Movimentacao_Geral[[#This Row],[ID Produto]])*($H$2:$H936)),
    IF(_xlpm.saldo_atual &gt; 0, IF(RANDBETWEEN(0,10)&gt;3,"Saida","Entrada"), "Entrada")
  ),
  Tabela_Movimentacao_Geral[[#This Row],[Tipo Fluxo]]
)</f>
        <v>Entrada</v>
      </c>
      <c r="D93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93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937" t="str">
        <f ca="1">IF(
  $O$7="Desbloqueado",
  "PROD"&amp;TEXT(RANDBETWEEN(1,200),"000"),
  Tabela_Movimentacao_Geral[[#This Row],[ID Produto]]
)</f>
        <v>PROD184</v>
      </c>
      <c r="G937" t="str">
        <f ca="1">_xlfn.XLOOKUP(Tabela_Movimentacao_Geral[[#This Row],[ID Produto]], Tabela_Produtos[ID_Produto],Tabela_Produtos[Descricao_Produto],"Produto não encontrado")</f>
        <v>Cabo Serial Console</v>
      </c>
      <c r="H937" cm="1">
        <f t="array" aca="1" ref="H937" ca="1">IF(
   $O$7="Desbloqueado",
   _xlfn.LET(
     _xlpm.saldo_atual, SUM(($C$2:$C936="Entrada")*($F$2:$F936=Tabela_Movimentacao_Geral[[#This Row],[ID Produto]])*($H$2:$H936) - ($C$2:$C936="Saida")*($F$2:$F936=Tabela_Movimentacao_Geral[[#This Row],[ID Produto]])*($H$2:$H936)),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</v>
      </c>
      <c r="I937" s="5">
        <f ca="1">_xlfn.XLOOKUP(Tabela_Movimentacao_Geral[[#This Row],[ID Produto]], Tabela_Produtos[ID_Produto],Tabela_Produtos[Preco_Unitario_Venda])</f>
        <v>45</v>
      </c>
      <c r="J937" s="6">
        <f ca="1">Tabela_Movimentacao_Geral[[#This Row],[Quantidade]] * Tabela_Movimentacao_Geral[[#This Row],[Valor Unitário]]</f>
        <v>1440</v>
      </c>
      <c r="K937" t="str">
        <f ca="1">IF(
   $O$7="Desbloqueado",
   CHOOSE(RANDBETWEEN(1,3),"Pago","Pendente","Atrasado"),
   Tabela_Movimentacao_Geral[[#This Row],[Status Financeiro]]
)</f>
        <v>Pendente</v>
      </c>
      <c r="L937" t="str">
        <f ca="1">IF(
   $O$7="Desbloqueado",
   CHOOSE(RANDBETWEEN(1,3),"Entregue","Em Rota","Aguardando"),
   Tabela_Movimentacao_Geral[[#This Row],[Status Logistico]]
)</f>
        <v>Entregue</v>
      </c>
      <c r="M93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46106</v>
      </c>
    </row>
    <row r="938" spans="1:13" x14ac:dyDescent="0.3">
      <c r="A938" t="str">
        <f t="shared" si="14"/>
        <v>T0937</v>
      </c>
      <c r="B938" s="1">
        <v>46104</v>
      </c>
      <c r="C938" t="str" cm="1">
        <f t="array" aca="1" ref="C938" ca="1">IF($O$7="Desbloqueado",
  _xlfn.LET(
    _xlpm.saldo_atual, SUM(($C$2:$C937="Entrada")*($F$2:$F937=Tabela_Movimentacao_Geral[[#This Row],[ID Produto]])*($H$2:$H937) - ($C$2:$C937="Saida")*($F$2:$F937=Tabela_Movimentacao_Geral[[#This Row],[ID Produto]])*($H$2:$H937)),
    IF(_xlpm.saldo_atual &gt; 0, IF(RANDBETWEEN(0,10)&gt;3,"Saida","Entrada"), "Entrada")
  ),
  Tabela_Movimentacao_Geral[[#This Row],[Tipo Fluxo]]
)</f>
        <v>Saida</v>
      </c>
      <c r="D93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93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938" t="str">
        <f ca="1">IF(
  $O$7="Desbloqueado",
  "PROD"&amp;TEXT(RANDBETWEEN(1,200),"000"),
  Tabela_Movimentacao_Geral[[#This Row],[ID Produto]]
)</f>
        <v>PROD007</v>
      </c>
      <c r="G938" t="str">
        <f ca="1">_xlfn.XLOOKUP(Tabela_Movimentacao_Geral[[#This Row],[ID Produto]], Tabela_Produtos[ID_Produto],Tabela_Produtos[Descricao_Produto],"Produto não encontrado")</f>
        <v>Impressora Laser Color</v>
      </c>
      <c r="H938" cm="1">
        <f t="array" aca="1" ref="H938" ca="1">IF(
   $O$7="Desbloqueado",
   _xlfn.LET(
     _xlpm.saldo_atual, SUM(($C$2:$C937="Entrada")*($F$2:$F937=Tabela_Movimentacao_Geral[[#This Row],[ID Produto]])*($H$2:$H937) - ($C$2:$C937="Saida")*($F$2:$F937=Tabela_Movimentacao_Geral[[#This Row],[ID Produto]])*($H$2:$H937)),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938" s="5">
        <f ca="1">_xlfn.XLOOKUP(Tabela_Movimentacao_Geral[[#This Row],[ID Produto]], Tabela_Produtos[ID_Produto],Tabela_Produtos[Preco_Unitario_Venda])</f>
        <v>1800</v>
      </c>
      <c r="J938" s="6">
        <f ca="1">Tabela_Movimentacao_Geral[[#This Row],[Quantidade]] * Tabela_Movimentacao_Geral[[#This Row],[Valor Unitário]]</f>
        <v>36000</v>
      </c>
      <c r="K938" t="str">
        <f ca="1">IF(
   $O$7="Desbloqueado",
   CHOOSE(RANDBETWEEN(1,3),"Pago","Pendente","Atrasado"),
   Tabela_Movimentacao_Geral[[#This Row],[Status Financeiro]]
)</f>
        <v>Pago</v>
      </c>
      <c r="L938" t="str">
        <f ca="1">IF(
   $O$7="Desbloqueado",
   CHOOSE(RANDBETWEEN(1,3),"Entregue","Em Rota","Aguardando"),
   Tabela_Movimentacao_Geral[[#This Row],[Status Logistico]]
)</f>
        <v>Aguardando</v>
      </c>
      <c r="M93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39" spans="1:13" x14ac:dyDescent="0.3">
      <c r="A939" t="str">
        <f t="shared" si="14"/>
        <v>T0938</v>
      </c>
      <c r="B939" s="1">
        <v>46104</v>
      </c>
      <c r="C939" t="str" cm="1">
        <f t="array" aca="1" ref="C939" ca="1">IF($O$7="Desbloqueado",
  _xlfn.LET(
    _xlpm.saldo_atual, SUM(($C$2:$C938="Entrada")*($F$2:$F938=Tabela_Movimentacao_Geral[[#This Row],[ID Produto]])*($H$2:$H938) - ($C$2:$C938="Saida")*($F$2:$F938=Tabela_Movimentacao_Geral[[#This Row],[ID Produto]])*($H$2:$H938)),
    IF(_xlpm.saldo_atual &gt; 0, IF(RANDBETWEEN(0,10)&gt;3,"Saida","Entrada"), "Entrada")
  ),
  Tabela_Movimentacao_Geral[[#This Row],[Tipo Fluxo]]
)</f>
        <v>Saida</v>
      </c>
      <c r="D93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93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939" t="str">
        <f ca="1">IF(
  $O$7="Desbloqueado",
  "PROD"&amp;TEXT(RANDBETWEEN(1,200),"000"),
  Tabela_Movimentacao_Geral[[#This Row],[ID Produto]]
)</f>
        <v>PROD102</v>
      </c>
      <c r="G939" t="str">
        <f ca="1">_xlfn.XLOOKUP(Tabela_Movimentacao_Geral[[#This Row],[ID Produto]], Tabela_Produtos[ID_Produto],Tabela_Produtos[Descricao_Produto],"Produto não encontrado")</f>
        <v>Teclado Wireless Logi</v>
      </c>
      <c r="H939" cm="1">
        <f t="array" aca="1" ref="H939" ca="1">IF(
   $O$7="Desbloqueado",
   _xlfn.LET(
     _xlpm.saldo_atual, SUM(($C$2:$C938="Entrada")*($F$2:$F938=Tabela_Movimentacao_Geral[[#This Row],[ID Produto]])*($H$2:$H938) - ($C$2:$C938="Saida")*($F$2:$F938=Tabela_Movimentacao_Geral[[#This Row],[ID Produto]])*($H$2:$H938)),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939" s="5">
        <f ca="1">_xlfn.XLOOKUP(Tabela_Movimentacao_Geral[[#This Row],[ID Produto]], Tabela_Produtos[ID_Produto],Tabela_Produtos[Preco_Unitario_Venda])</f>
        <v>290</v>
      </c>
      <c r="J939" s="6">
        <f ca="1">Tabela_Movimentacao_Geral[[#This Row],[Quantidade]] * Tabela_Movimentacao_Geral[[#This Row],[Valor Unitário]]</f>
        <v>4640</v>
      </c>
      <c r="K939" t="str">
        <f ca="1">IF(
   $O$7="Desbloqueado",
   CHOOSE(RANDBETWEEN(1,3),"Pago","Pendente","Atrasado"),
   Tabela_Movimentacao_Geral[[#This Row],[Status Financeiro]]
)</f>
        <v>Atrasado</v>
      </c>
      <c r="L939" t="str">
        <f ca="1">IF(
   $O$7="Desbloqueado",
   CHOOSE(RANDBETWEEN(1,3),"Entregue","Em Rota","Aguardando"),
   Tabela_Movimentacao_Geral[[#This Row],[Status Logistico]]
)</f>
        <v>Entregue</v>
      </c>
      <c r="M93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40" spans="1:13" x14ac:dyDescent="0.3">
      <c r="A940" t="str">
        <f t="shared" si="14"/>
        <v>T0939</v>
      </c>
      <c r="B940" s="1">
        <v>46105</v>
      </c>
      <c r="C940" t="str" cm="1">
        <f t="array" aca="1" ref="C940" ca="1">IF($O$7="Desbloqueado",
  _xlfn.LET(
    _xlpm.saldo_atual, SUM(($C$2:$C939="Entrada")*($F$2:$F939=Tabela_Movimentacao_Geral[[#This Row],[ID Produto]])*($H$2:$H939) - ($C$2:$C939="Saida")*($F$2:$F939=Tabela_Movimentacao_Geral[[#This Row],[ID Produto]])*($H$2:$H939)),
    IF(_xlpm.saldo_atual &gt; 0, IF(RANDBETWEEN(0,10)&gt;3,"Saida","Entrada"), "Entrada")
  ),
  Tabela_Movimentacao_Geral[[#This Row],[Tipo Fluxo]]
)</f>
        <v>Saida</v>
      </c>
      <c r="D94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94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940" t="str">
        <f ca="1">IF(
  $O$7="Desbloqueado",
  "PROD"&amp;TEXT(RANDBETWEEN(1,200),"000"),
  Tabela_Movimentacao_Geral[[#This Row],[ID Produto]]
)</f>
        <v>PROD152</v>
      </c>
      <c r="G940" t="str">
        <f ca="1">_xlfn.XLOOKUP(Tabela_Movimentacao_Geral[[#This Row],[ID Produto]], Tabela_Produtos[ID_Produto],Tabela_Produtos[Descricao_Produto],"Produto não encontrado")</f>
        <v>Bloco de Notas Espiral</v>
      </c>
      <c r="H940" cm="1">
        <f t="array" aca="1" ref="H940" ca="1">IF(
   $O$7="Desbloqueado",
   _xlfn.LET(
     _xlpm.saldo_atual, SUM(($C$2:$C939="Entrada")*($F$2:$F939=Tabela_Movimentacao_Geral[[#This Row],[ID Produto]])*($H$2:$H939) - ($C$2:$C939="Saida")*($F$2:$F939=Tabela_Movimentacao_Geral[[#This Row],[ID Produto]])*($H$2:$H939)),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940" s="5">
        <f ca="1">_xlfn.XLOOKUP(Tabela_Movimentacao_Geral[[#This Row],[ID Produto]], Tabela_Produtos[ID_Produto],Tabela_Produtos[Preco_Unitario_Venda])</f>
        <v>12</v>
      </c>
      <c r="J940" s="6">
        <f ca="1">Tabela_Movimentacao_Geral[[#This Row],[Quantidade]] * Tabela_Movimentacao_Geral[[#This Row],[Valor Unitário]]</f>
        <v>180</v>
      </c>
      <c r="K940" t="str">
        <f ca="1">IF(
   $O$7="Desbloqueado",
   CHOOSE(RANDBETWEEN(1,3),"Pago","Pendente","Atrasado"),
   Tabela_Movimentacao_Geral[[#This Row],[Status Financeiro]]
)</f>
        <v>Atrasado</v>
      </c>
      <c r="L940" t="str">
        <f ca="1">IF(
   $O$7="Desbloqueado",
   CHOOSE(RANDBETWEEN(1,3),"Entregue","Em Rota","Aguardando"),
   Tabela_Movimentacao_Geral[[#This Row],[Status Logistico]]
)</f>
        <v>Aguardando</v>
      </c>
      <c r="M94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41" spans="1:13" x14ac:dyDescent="0.3">
      <c r="A941" t="str">
        <f t="shared" si="14"/>
        <v>T0940</v>
      </c>
      <c r="B941" s="1">
        <v>46107</v>
      </c>
      <c r="C941" t="str" cm="1">
        <f t="array" aca="1" ref="C941" ca="1">IF($O$7="Desbloqueado",
  _xlfn.LET(
    _xlpm.saldo_atual, SUM(($C$2:$C940="Entrada")*($F$2:$F940=Tabela_Movimentacao_Geral[[#This Row],[ID Produto]])*($H$2:$H940) - ($C$2:$C940="Saida")*($F$2:$F940=Tabela_Movimentacao_Geral[[#This Row],[ID Produto]])*($H$2:$H940)),
    IF(_xlpm.saldo_atual &gt; 0, IF(RANDBETWEEN(0,10)&gt;3,"Saida","Entrada"), "Entrada")
  ),
  Tabela_Movimentacao_Geral[[#This Row],[Tipo Fluxo]]
)</f>
        <v>Saida</v>
      </c>
      <c r="D94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94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941" t="str">
        <f ca="1">IF(
  $O$7="Desbloqueado",
  "PROD"&amp;TEXT(RANDBETWEEN(1,200),"000"),
  Tabela_Movimentacao_Geral[[#This Row],[ID Produto]]
)</f>
        <v>PROD084</v>
      </c>
      <c r="G941" t="str">
        <f ca="1">_xlfn.XLOOKUP(Tabela_Movimentacao_Geral[[#This Row],[ID Produto]], Tabela_Produtos[ID_Produto],Tabela_Produtos[Descricao_Produto],"Produto não encontrado")</f>
        <v>Placa de Rede Fibra 10G</v>
      </c>
      <c r="H941" cm="1">
        <f t="array" aca="1" ref="H941" ca="1">IF(
   $O$7="Desbloqueado",
   _xlfn.LET(
     _xlpm.saldo_atual, SUM(($C$2:$C940="Entrada")*($F$2:$F940=Tabela_Movimentacao_Geral[[#This Row],[ID Produto]])*($H$2:$H940) - ($C$2:$C940="Saida")*($F$2:$F940=Tabela_Movimentacao_Geral[[#This Row],[ID Produto]])*($H$2:$H940)),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62</v>
      </c>
      <c r="I941" s="5">
        <f ca="1">_xlfn.XLOOKUP(Tabela_Movimentacao_Geral[[#This Row],[ID Produto]], Tabela_Produtos[ID_Produto],Tabela_Produtos[Preco_Unitario_Venda])</f>
        <v>950</v>
      </c>
      <c r="J941" s="6">
        <f ca="1">Tabela_Movimentacao_Geral[[#This Row],[Quantidade]] * Tabela_Movimentacao_Geral[[#This Row],[Valor Unitário]]</f>
        <v>58900</v>
      </c>
      <c r="K941" t="str">
        <f ca="1">IF(
   $O$7="Desbloqueado",
   CHOOSE(RANDBETWEEN(1,3),"Pago","Pendente","Atrasado"),
   Tabela_Movimentacao_Geral[[#This Row],[Status Financeiro]]
)</f>
        <v>Atrasado</v>
      </c>
      <c r="L941" t="str">
        <f ca="1">IF(
   $O$7="Desbloqueado",
   CHOOSE(RANDBETWEEN(1,3),"Entregue","Em Rota","Aguardando"),
   Tabela_Movimentacao_Geral[[#This Row],[Status Logistico]]
)</f>
        <v>Em Rota</v>
      </c>
      <c r="M94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42" spans="1:13" x14ac:dyDescent="0.3">
      <c r="A942" t="str">
        <f t="shared" si="14"/>
        <v>T0941</v>
      </c>
      <c r="B942" s="1">
        <v>46107</v>
      </c>
      <c r="C942" t="str" cm="1">
        <f t="array" aca="1" ref="C942" ca="1">IF($O$7="Desbloqueado",
  _xlfn.LET(
    _xlpm.saldo_atual, SUM(($C$2:$C941="Entrada")*($F$2:$F941=Tabela_Movimentacao_Geral[[#This Row],[ID Produto]])*($H$2:$H941) - ($C$2:$C941="Saida")*($F$2:$F941=Tabela_Movimentacao_Geral[[#This Row],[ID Produto]])*($H$2:$H941)),
    IF(_xlpm.saldo_atual &gt; 0, IF(RANDBETWEEN(0,10)&gt;3,"Saida","Entrada"), "Entrada")
  ),
  Tabela_Movimentacao_Geral[[#This Row],[Tipo Fluxo]]
)</f>
        <v>Entrada</v>
      </c>
      <c r="D94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94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942" t="str">
        <f ca="1">IF(
  $O$7="Desbloqueado",
  "PROD"&amp;TEXT(RANDBETWEEN(1,200),"000"),
  Tabela_Movimentacao_Geral[[#This Row],[ID Produto]]
)</f>
        <v>PROD197</v>
      </c>
      <c r="G942" t="str">
        <f ca="1">_xlfn.XLOOKUP(Tabela_Movimentacao_Geral[[#This Row],[ID Produto]], Tabela_Produtos[ID_Produto],Tabela_Produtos[Descricao_Produto],"Produto não encontrado")</f>
        <v>Soprador Térmico 1800W</v>
      </c>
      <c r="H942" cm="1">
        <f t="array" aca="1" ref="H942" ca="1">IF(
   $O$7="Desbloqueado",
   _xlfn.LET(
     _xlpm.saldo_atual, SUM(($C$2:$C941="Entrada")*($F$2:$F941=Tabela_Movimentacao_Geral[[#This Row],[ID Produto]])*($H$2:$H941) - ($C$2:$C941="Saida")*($F$2:$F941=Tabela_Movimentacao_Geral[[#This Row],[ID Produto]])*($H$2:$H941)),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60</v>
      </c>
      <c r="I942" s="5">
        <f ca="1">_xlfn.XLOOKUP(Tabela_Movimentacao_Geral[[#This Row],[ID Produto]], Tabela_Produtos[ID_Produto],Tabela_Produtos[Preco_Unitario_Venda])</f>
        <v>280</v>
      </c>
      <c r="J942" s="6">
        <f ca="1">Tabela_Movimentacao_Geral[[#This Row],[Quantidade]] * Tabela_Movimentacao_Geral[[#This Row],[Valor Unitário]]</f>
        <v>16800</v>
      </c>
      <c r="K942" t="str">
        <f ca="1">IF(
   $O$7="Desbloqueado",
   CHOOSE(RANDBETWEEN(1,3),"Pago","Pendente","Atrasado"),
   Tabela_Movimentacao_Geral[[#This Row],[Status Financeiro]]
)</f>
        <v>Pago</v>
      </c>
      <c r="L942" t="str">
        <f ca="1">IF(
   $O$7="Desbloqueado",
   CHOOSE(RANDBETWEEN(1,3),"Entregue","Em Rota","Aguardando"),
   Tabela_Movimentacao_Geral[[#This Row],[Status Logistico]]
)</f>
        <v>Aguardando</v>
      </c>
      <c r="M94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46114</v>
      </c>
    </row>
    <row r="943" spans="1:13" x14ac:dyDescent="0.3">
      <c r="A943" t="str">
        <f t="shared" si="14"/>
        <v>T0942</v>
      </c>
      <c r="B943" s="1">
        <v>46108</v>
      </c>
      <c r="C943" t="str" cm="1">
        <f t="array" aca="1" ref="C943" ca="1">IF($O$7="Desbloqueado",
  _xlfn.LET(
    _xlpm.saldo_atual, SUM(($C$2:$C942="Entrada")*($F$2:$F942=Tabela_Movimentacao_Geral[[#This Row],[ID Produto]])*($H$2:$H942) - ($C$2:$C942="Saida")*($F$2:$F942=Tabela_Movimentacao_Geral[[#This Row],[ID Produto]])*($H$2:$H942)),
    IF(_xlpm.saldo_atual &gt; 0, IF(RANDBETWEEN(0,10)&gt;3,"Saida","Entrada"), "Entrada")
  ),
  Tabela_Movimentacao_Geral[[#This Row],[Tipo Fluxo]]
)</f>
        <v>Saida</v>
      </c>
      <c r="D94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94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943" t="str">
        <f ca="1">IF(
  $O$7="Desbloqueado",
  "PROD"&amp;TEXT(RANDBETWEEN(1,200),"000"),
  Tabela_Movimentacao_Geral[[#This Row],[ID Produto]]
)</f>
        <v>PROD112</v>
      </c>
      <c r="G943" t="str">
        <f ca="1">_xlfn.XLOOKUP(Tabela_Movimentacao_Geral[[#This Row],[ID Produto]], Tabela_Produtos[ID_Produto],Tabela_Produtos[Descricao_Produto],"Produto não encontrado")</f>
        <v>Webcam 4K Streaming</v>
      </c>
      <c r="H943" cm="1">
        <f t="array" aca="1" ref="H943" ca="1">IF(
   $O$7="Desbloqueado",
   _xlfn.LET(
     _xlpm.saldo_atual, SUM(($C$2:$C942="Entrada")*($F$2:$F942=Tabela_Movimentacao_Geral[[#This Row],[ID Produto]])*($H$2:$H942) - ($C$2:$C942="Saida")*($F$2:$F942=Tabela_Movimentacao_Geral[[#This Row],[ID Produto]])*($H$2:$H942)),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943" s="5">
        <f ca="1">_xlfn.XLOOKUP(Tabela_Movimentacao_Geral[[#This Row],[ID Produto]], Tabela_Produtos[ID_Produto],Tabela_Produtos[Preco_Unitario_Venda])</f>
        <v>1100</v>
      </c>
      <c r="J943" s="6">
        <f ca="1">Tabela_Movimentacao_Geral[[#This Row],[Quantidade]] * Tabela_Movimentacao_Geral[[#This Row],[Valor Unitário]]</f>
        <v>6600</v>
      </c>
      <c r="K943" t="str">
        <f ca="1">IF(
   $O$7="Desbloqueado",
   CHOOSE(RANDBETWEEN(1,3),"Pago","Pendente","Atrasado"),
   Tabela_Movimentacao_Geral[[#This Row],[Status Financeiro]]
)</f>
        <v>Atrasado</v>
      </c>
      <c r="L943" t="str">
        <f ca="1">IF(
   $O$7="Desbloqueado",
   CHOOSE(RANDBETWEEN(1,3),"Entregue","Em Rota","Aguardando"),
   Tabela_Movimentacao_Geral[[#This Row],[Status Logistico]]
)</f>
        <v>Entregue</v>
      </c>
      <c r="M94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44" spans="1:13" x14ac:dyDescent="0.3">
      <c r="A944" t="str">
        <f t="shared" si="14"/>
        <v>T0943</v>
      </c>
      <c r="B944" s="1">
        <v>46109</v>
      </c>
      <c r="C944" t="str" cm="1">
        <f t="array" aca="1" ref="C944" ca="1">IF($O$7="Desbloqueado",
  _xlfn.LET(
    _xlpm.saldo_atual, SUM(($C$2:$C943="Entrada")*($F$2:$F943=Tabela_Movimentacao_Geral[[#This Row],[ID Produto]])*($H$2:$H943) - ($C$2:$C943="Saida")*($F$2:$F943=Tabela_Movimentacao_Geral[[#This Row],[ID Produto]])*($H$2:$H943)),
    IF(_xlpm.saldo_atual &gt; 0, IF(RANDBETWEEN(0,10)&gt;3,"Saida","Entrada"), "Entrada")
  ),
  Tabela_Movimentacao_Geral[[#This Row],[Tipo Fluxo]]
)</f>
        <v>Saida</v>
      </c>
      <c r="D94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94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44" t="str">
        <f ca="1">IF(
  $O$7="Desbloqueado",
  "PROD"&amp;TEXT(RANDBETWEEN(1,200),"000"),
  Tabela_Movimentacao_Geral[[#This Row],[ID Produto]]
)</f>
        <v>PROD084</v>
      </c>
      <c r="G944" t="str">
        <f ca="1">_xlfn.XLOOKUP(Tabela_Movimentacao_Geral[[#This Row],[ID Produto]], Tabela_Produtos[ID_Produto],Tabela_Produtos[Descricao_Produto],"Produto não encontrado")</f>
        <v>Placa de Rede Fibra 10G</v>
      </c>
      <c r="H944" cm="1">
        <f t="array" aca="1" ref="H944" ca="1">IF(
   $O$7="Desbloqueado",
   _xlfn.LET(
     _xlpm.saldo_atual, SUM(($C$2:$C943="Entrada")*($F$2:$F943=Tabela_Movimentacao_Geral[[#This Row],[ID Produto]])*($H$2:$H943) - ($C$2:$C943="Saida")*($F$2:$F943=Tabela_Movimentacao_Geral[[#This Row],[ID Produto]])*($H$2:$H943)),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944" s="5">
        <f ca="1">_xlfn.XLOOKUP(Tabela_Movimentacao_Geral[[#This Row],[ID Produto]], Tabela_Produtos[ID_Produto],Tabela_Produtos[Preco_Unitario_Venda])</f>
        <v>950</v>
      </c>
      <c r="J944" s="6">
        <f ca="1">Tabela_Movimentacao_Geral[[#This Row],[Quantidade]] * Tabela_Movimentacao_Geral[[#This Row],[Valor Unitário]]</f>
        <v>3800</v>
      </c>
      <c r="K944" t="str">
        <f ca="1">IF(
   $O$7="Desbloqueado",
   CHOOSE(RANDBETWEEN(1,3),"Pago","Pendente","Atrasado"),
   Tabela_Movimentacao_Geral[[#This Row],[Status Financeiro]]
)</f>
        <v>Pago</v>
      </c>
      <c r="L944" t="str">
        <f ca="1">IF(
   $O$7="Desbloqueado",
   CHOOSE(RANDBETWEEN(1,3),"Entregue","Em Rota","Aguardando"),
   Tabela_Movimentacao_Geral[[#This Row],[Status Logistico]]
)</f>
        <v>Entregue</v>
      </c>
      <c r="M94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45" spans="1:13" x14ac:dyDescent="0.3">
      <c r="A945" t="str">
        <f t="shared" si="14"/>
        <v>T0944</v>
      </c>
      <c r="B945" s="1">
        <v>46110</v>
      </c>
      <c r="C945" t="str" cm="1">
        <f t="array" aca="1" ref="C945" ca="1">IF($O$7="Desbloqueado",
  _xlfn.LET(
    _xlpm.saldo_atual, SUM(($C$2:$C944="Entrada")*($F$2:$F944=Tabela_Movimentacao_Geral[[#This Row],[ID Produto]])*($H$2:$H944) - ($C$2:$C944="Saida")*($F$2:$F944=Tabela_Movimentacao_Geral[[#This Row],[ID Produto]])*($H$2:$H944)),
    IF(_xlpm.saldo_atual &gt; 0, IF(RANDBETWEEN(0,10)&gt;3,"Saida","Entrada"), "Entrada")
  ),
  Tabela_Movimentacao_Geral[[#This Row],[Tipo Fluxo]]
)</f>
        <v>Saida</v>
      </c>
      <c r="D94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94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945" t="str">
        <f ca="1">IF(
  $O$7="Desbloqueado",
  "PROD"&amp;TEXT(RANDBETWEEN(1,200),"000"),
  Tabela_Movimentacao_Geral[[#This Row],[ID Produto]]
)</f>
        <v>PROD078</v>
      </c>
      <c r="G945" t="str">
        <f ca="1">_xlfn.XLOOKUP(Tabela_Movimentacao_Geral[[#This Row],[ID Produto]], Tabela_Produtos[ID_Produto],Tabela_Produtos[Descricao_Produto],"Produto não encontrado")</f>
        <v>Porta Canetas Telado</v>
      </c>
      <c r="H945" cm="1">
        <f t="array" aca="1" ref="H945" ca="1">IF(
   $O$7="Desbloqueado",
   _xlfn.LET(
     _xlpm.saldo_atual, SUM(($C$2:$C944="Entrada")*($F$2:$F944=Tabela_Movimentacao_Geral[[#This Row],[ID Produto]])*($H$2:$H944) - ($C$2:$C944="Saida")*($F$2:$F944=Tabela_Movimentacao_Geral[[#This Row],[ID Produto]])*($H$2:$H944)),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945" s="5">
        <f ca="1">_xlfn.XLOOKUP(Tabela_Movimentacao_Geral[[#This Row],[ID Produto]], Tabela_Produtos[ID_Produto],Tabela_Produtos[Preco_Unitario_Venda])</f>
        <v>15</v>
      </c>
      <c r="J945" s="6">
        <f ca="1">Tabela_Movimentacao_Geral[[#This Row],[Quantidade]] * Tabela_Movimentacao_Geral[[#This Row],[Valor Unitário]]</f>
        <v>165</v>
      </c>
      <c r="K945" t="str">
        <f ca="1">IF(
   $O$7="Desbloqueado",
   CHOOSE(RANDBETWEEN(1,3),"Pago","Pendente","Atrasado"),
   Tabela_Movimentacao_Geral[[#This Row],[Status Financeiro]]
)</f>
        <v>Pendente</v>
      </c>
      <c r="L945" t="str">
        <f ca="1">IF(
   $O$7="Desbloqueado",
   CHOOSE(RANDBETWEEN(1,3),"Entregue","Em Rota","Aguardando"),
   Tabela_Movimentacao_Geral[[#This Row],[Status Logistico]]
)</f>
        <v>Em Rota</v>
      </c>
      <c r="M94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46" spans="1:13" x14ac:dyDescent="0.3">
      <c r="A946" t="str">
        <f t="shared" si="14"/>
        <v>T0945</v>
      </c>
      <c r="B946" s="1">
        <v>46110</v>
      </c>
      <c r="C946" t="str" cm="1">
        <f t="array" aca="1" ref="C946" ca="1">IF($O$7="Desbloqueado",
  _xlfn.LET(
    _xlpm.saldo_atual, SUM(($C$2:$C945="Entrada")*($F$2:$F945=Tabela_Movimentacao_Geral[[#This Row],[ID Produto]])*($H$2:$H945) - ($C$2:$C945="Saida")*($F$2:$F945=Tabela_Movimentacao_Geral[[#This Row],[ID Produto]])*($H$2:$H945)),
    IF(_xlpm.saldo_atual &gt; 0, IF(RANDBETWEEN(0,10)&gt;3,"Saida","Entrada"), "Entrada")
  ),
  Tabela_Movimentacao_Geral[[#This Row],[Tipo Fluxo]]
)</f>
        <v>Entrada</v>
      </c>
      <c r="D94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94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946" t="str">
        <f ca="1">IF(
  $O$7="Desbloqueado",
  "PROD"&amp;TEXT(RANDBETWEEN(1,200),"000"),
  Tabela_Movimentacao_Geral[[#This Row],[ID Produto]]
)</f>
        <v>PROD131</v>
      </c>
      <c r="G946" t="str">
        <f ca="1">_xlfn.XLOOKUP(Tabela_Movimentacao_Geral[[#This Row],[ID Produto]], Tabela_Produtos[ID_Produto],Tabela_Produtos[Descricao_Produto],"Produto não encontrado")</f>
        <v>Bateria Nobreak 12V 7Ah</v>
      </c>
      <c r="H946" cm="1">
        <f t="array" aca="1" ref="H946" ca="1">IF(
   $O$7="Desbloqueado",
   _xlfn.LET(
     _xlpm.saldo_atual, SUM(($C$2:$C945="Entrada")*($F$2:$F945=Tabela_Movimentacao_Geral[[#This Row],[ID Produto]])*($H$2:$H945) - ($C$2:$C945="Saida")*($F$2:$F945=Tabela_Movimentacao_Geral[[#This Row],[ID Produto]])*($H$2:$H945)),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946" s="5">
        <f ca="1">_xlfn.XLOOKUP(Tabela_Movimentacao_Geral[[#This Row],[ID Produto]], Tabela_Produtos[ID_Produto],Tabela_Produtos[Preco_Unitario_Venda])</f>
        <v>145</v>
      </c>
      <c r="J946" s="6">
        <f ca="1">Tabela_Movimentacao_Geral[[#This Row],[Quantidade]] * Tabela_Movimentacao_Geral[[#This Row],[Valor Unitário]]</f>
        <v>6380</v>
      </c>
      <c r="K946" t="str">
        <f ca="1">IF(
   $O$7="Desbloqueado",
   CHOOSE(RANDBETWEEN(1,3),"Pago","Pendente","Atrasado"),
   Tabela_Movimentacao_Geral[[#This Row],[Status Financeiro]]
)</f>
        <v>Atrasado</v>
      </c>
      <c r="L946" t="str">
        <f ca="1">IF(
   $O$7="Desbloqueado",
   CHOOSE(RANDBETWEEN(1,3),"Entregue","Em Rota","Aguardando"),
   Tabela_Movimentacao_Geral[[#This Row],[Status Logistico]]
)</f>
        <v>Entregue</v>
      </c>
      <c r="M94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46117</v>
      </c>
    </row>
    <row r="947" spans="1:13" x14ac:dyDescent="0.3">
      <c r="A947" t="str">
        <f t="shared" si="14"/>
        <v>T0946</v>
      </c>
      <c r="B947" s="1">
        <v>46110</v>
      </c>
      <c r="C947" t="str" cm="1">
        <f t="array" aca="1" ref="C947" ca="1">IF($O$7="Desbloqueado",
  _xlfn.LET(
    _xlpm.saldo_atual, SUM(($C$2:$C946="Entrada")*($F$2:$F946=Tabela_Movimentacao_Geral[[#This Row],[ID Produto]])*($H$2:$H946) - ($C$2:$C946="Saida")*($F$2:$F946=Tabela_Movimentacao_Geral[[#This Row],[ID Produto]])*($H$2:$H946)),
    IF(_xlpm.saldo_atual &gt; 0, IF(RANDBETWEEN(0,10)&gt;3,"Saida","Entrada"), "Entrada")
  ),
  Tabela_Movimentacao_Geral[[#This Row],[Tipo Fluxo]]
)</f>
        <v>Entrada</v>
      </c>
      <c r="D94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94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947" t="str">
        <f ca="1">IF(
  $O$7="Desbloqueado",
  "PROD"&amp;TEXT(RANDBETWEEN(1,200),"000"),
  Tabela_Movimentacao_Geral[[#This Row],[ID Produto]]
)</f>
        <v>PROD142</v>
      </c>
      <c r="G947" t="str">
        <f ca="1">_xlfn.XLOOKUP(Tabela_Movimentacao_Geral[[#This Row],[ID Produto]], Tabela_Produtos[ID_Produto],Tabela_Produtos[Descricao_Produto],"Produto não encontrado")</f>
        <v>Trava de Seguranca Note</v>
      </c>
      <c r="H947" cm="1">
        <f t="array" aca="1" ref="H947" ca="1">IF(
   $O$7="Desbloqueado",
   _xlfn.LET(
     _xlpm.saldo_atual, SUM(($C$2:$C946="Entrada")*($F$2:$F946=Tabela_Movimentacao_Geral[[#This Row],[ID Produto]])*($H$2:$H946) - ($C$2:$C946="Saida")*($F$2:$F946=Tabela_Movimentacao_Geral[[#This Row],[ID Produto]])*($H$2:$H946)),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947" s="5">
        <f ca="1">_xlfn.XLOOKUP(Tabela_Movimentacao_Geral[[#This Row],[ID Produto]], Tabela_Produtos[ID_Produto],Tabela_Produtos[Preco_Unitario_Venda])</f>
        <v>85</v>
      </c>
      <c r="J947" s="6">
        <f ca="1">Tabela_Movimentacao_Geral[[#This Row],[Quantidade]] * Tabela_Movimentacao_Geral[[#This Row],[Valor Unitário]]</f>
        <v>3230</v>
      </c>
      <c r="K947" t="str">
        <f ca="1">IF(
   $O$7="Desbloqueado",
   CHOOSE(RANDBETWEEN(1,3),"Pago","Pendente","Atrasado"),
   Tabela_Movimentacao_Geral[[#This Row],[Status Financeiro]]
)</f>
        <v>Pendente</v>
      </c>
      <c r="L947" t="str">
        <f ca="1">IF(
   $O$7="Desbloqueado",
   CHOOSE(RANDBETWEEN(1,3),"Entregue","Em Rota","Aguardando"),
   Tabela_Movimentacao_Geral[[#This Row],[Status Logistico]]
)</f>
        <v>Em Rota</v>
      </c>
      <c r="M94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46122</v>
      </c>
    </row>
    <row r="948" spans="1:13" x14ac:dyDescent="0.3">
      <c r="A948" t="str">
        <f t="shared" si="14"/>
        <v>T0947</v>
      </c>
      <c r="B948" s="1">
        <v>46111</v>
      </c>
      <c r="C948" t="str" cm="1">
        <f t="array" aca="1" ref="C948" ca="1">IF($O$7="Desbloqueado",
  _xlfn.LET(
    _xlpm.saldo_atual, SUM(($C$2:$C947="Entrada")*($F$2:$F947=Tabela_Movimentacao_Geral[[#This Row],[ID Produto]])*($H$2:$H947) - ($C$2:$C947="Saida")*($F$2:$F947=Tabela_Movimentacao_Geral[[#This Row],[ID Produto]])*($H$2:$H947)),
    IF(_xlpm.saldo_atual &gt; 0, IF(RANDBETWEEN(0,10)&gt;3,"Saida","Entrada"), "Entrada")
  ),
  Tabela_Movimentacao_Geral[[#This Row],[Tipo Fluxo]]
)</f>
        <v>Entrada</v>
      </c>
      <c r="D94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94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948" t="str">
        <f ca="1">IF(
  $O$7="Desbloqueado",
  "PROD"&amp;TEXT(RANDBETWEEN(1,200),"000"),
  Tabela_Movimentacao_Geral[[#This Row],[ID Produto]]
)</f>
        <v>PROD178</v>
      </c>
      <c r="G948" t="str">
        <f ca="1">_xlfn.XLOOKUP(Tabela_Movimentacao_Geral[[#This Row],[ID Produto]], Tabela_Produtos[ID_Produto],Tabela_Produtos[Descricao_Produto],"Produto não encontrado")</f>
        <v>Armario de Aco 2 Portas</v>
      </c>
      <c r="H948" cm="1">
        <f t="array" aca="1" ref="H948" ca="1">IF(
   $O$7="Desbloqueado",
   _xlfn.LET(
     _xlpm.saldo_atual, SUM(($C$2:$C947="Entrada")*($F$2:$F947=Tabela_Movimentacao_Geral[[#This Row],[ID Produto]])*($H$2:$H947) - ($C$2:$C947="Saida")*($F$2:$F947=Tabela_Movimentacao_Geral[[#This Row],[ID Produto]])*($H$2:$H947)),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20</v>
      </c>
      <c r="I948" s="5">
        <f ca="1">_xlfn.XLOOKUP(Tabela_Movimentacao_Geral[[#This Row],[ID Produto]], Tabela_Produtos[ID_Produto],Tabela_Produtos[Preco_Unitario_Venda])</f>
        <v>850</v>
      </c>
      <c r="J948" s="6">
        <f ca="1">Tabela_Movimentacao_Geral[[#This Row],[Quantidade]] * Tabela_Movimentacao_Geral[[#This Row],[Valor Unitário]]</f>
        <v>17000</v>
      </c>
      <c r="K948" t="str">
        <f ca="1">IF(
   $O$7="Desbloqueado",
   CHOOSE(RANDBETWEEN(1,3),"Pago","Pendente","Atrasado"),
   Tabela_Movimentacao_Geral[[#This Row],[Status Financeiro]]
)</f>
        <v>Atrasado</v>
      </c>
      <c r="L948" t="str">
        <f ca="1">IF(
   $O$7="Desbloqueado",
   CHOOSE(RANDBETWEEN(1,3),"Entregue","Em Rota","Aguardando"),
   Tabela_Movimentacao_Geral[[#This Row],[Status Logistico]]
)</f>
        <v>Aguardando</v>
      </c>
      <c r="M94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46123</v>
      </c>
    </row>
    <row r="949" spans="1:13" x14ac:dyDescent="0.3">
      <c r="A949" t="str">
        <f t="shared" si="14"/>
        <v>T0948</v>
      </c>
      <c r="B949" s="1">
        <v>46111</v>
      </c>
      <c r="C949" t="str" cm="1">
        <f t="array" aca="1" ref="C949" ca="1">IF($O$7="Desbloqueado",
  _xlfn.LET(
    _xlpm.saldo_atual, SUM(($C$2:$C948="Entrada")*($F$2:$F948=Tabela_Movimentacao_Geral[[#This Row],[ID Produto]])*($H$2:$H948) - ($C$2:$C948="Saida")*($F$2:$F948=Tabela_Movimentacao_Geral[[#This Row],[ID Produto]])*($H$2:$H948)),
    IF(_xlpm.saldo_atual &gt; 0, IF(RANDBETWEEN(0,10)&gt;3,"Saida","Entrada"), "Entrada")
  ),
  Tabela_Movimentacao_Geral[[#This Row],[Tipo Fluxo]]
)</f>
        <v>Entrada</v>
      </c>
      <c r="D94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94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949" t="str">
        <f ca="1">IF(
  $O$7="Desbloqueado",
  "PROD"&amp;TEXT(RANDBETWEEN(1,200),"000"),
  Tabela_Movimentacao_Geral[[#This Row],[ID Produto]]
)</f>
        <v>PROD164</v>
      </c>
      <c r="G949" t="str">
        <f ca="1">_xlfn.XLOOKUP(Tabela_Movimentacao_Geral[[#This Row],[ID Produto]], Tabela_Produtos[ID_Produto],Tabela_Produtos[Descricao_Produto],"Produto não encontrado")</f>
        <v>Carimbo Datador Autom</v>
      </c>
      <c r="H949" cm="1">
        <f t="array" aca="1" ref="H949" ca="1">IF(
   $O$7="Desbloqueado",
   _xlfn.LET(
     _xlpm.saldo_atual, SUM(($C$2:$C948="Entrada")*($F$2:$F948=Tabela_Movimentacao_Geral[[#This Row],[ID Produto]])*($H$2:$H948) - ($C$2:$C948="Saida")*($F$2:$F948=Tabela_Movimentacao_Geral[[#This Row],[ID Produto]])*($H$2:$H948)),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44</v>
      </c>
      <c r="I949" s="5">
        <f ca="1">_xlfn.XLOOKUP(Tabela_Movimentacao_Geral[[#This Row],[ID Produto]], Tabela_Produtos[ID_Produto],Tabela_Produtos[Preco_Unitario_Venda])</f>
        <v>65</v>
      </c>
      <c r="J949" s="6">
        <f ca="1">Tabela_Movimentacao_Geral[[#This Row],[Quantidade]] * Tabela_Movimentacao_Geral[[#This Row],[Valor Unitário]]</f>
        <v>2860</v>
      </c>
      <c r="K949" t="str">
        <f ca="1">IF(
   $O$7="Desbloqueado",
   CHOOSE(RANDBETWEEN(1,3),"Pago","Pendente","Atrasado"),
   Tabela_Movimentacao_Geral[[#This Row],[Status Financeiro]]
)</f>
        <v>Atrasado</v>
      </c>
      <c r="L949" t="str">
        <f ca="1">IF(
   $O$7="Desbloqueado",
   CHOOSE(RANDBETWEEN(1,3),"Entregue","Em Rota","Aguardando"),
   Tabela_Movimentacao_Geral[[#This Row],[Status Logistico]]
)</f>
        <v>Entregue</v>
      </c>
      <c r="M94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46113</v>
      </c>
    </row>
    <row r="950" spans="1:13" x14ac:dyDescent="0.3">
      <c r="A950" t="str">
        <f t="shared" si="14"/>
        <v>T0949</v>
      </c>
      <c r="B950" s="1">
        <v>46111</v>
      </c>
      <c r="C950" t="str" cm="1">
        <f t="array" aca="1" ref="C950" ca="1">IF($O$7="Desbloqueado",
  _xlfn.LET(
    _xlpm.saldo_atual, SUM(($C$2:$C949="Entrada")*($F$2:$F949=Tabela_Movimentacao_Geral[[#This Row],[ID Produto]])*($H$2:$H949) - ($C$2:$C949="Saida")*($F$2:$F949=Tabela_Movimentacao_Geral[[#This Row],[ID Produto]])*($H$2:$H949)),
    IF(_xlpm.saldo_atual &gt; 0, IF(RANDBETWEEN(0,10)&gt;3,"Saida","Entrada"), "Entrada")
  ),
  Tabela_Movimentacao_Geral[[#This Row],[Tipo Fluxo]]
)</f>
        <v>Entrada</v>
      </c>
      <c r="D95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95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950" t="str">
        <f ca="1">IF(
  $O$7="Desbloqueado",
  "PROD"&amp;TEXT(RANDBETWEEN(1,200),"000"),
  Tabela_Movimentacao_Geral[[#This Row],[ID Produto]]
)</f>
        <v>PROD150</v>
      </c>
      <c r="G950" t="str">
        <f ca="1">_xlfn.XLOOKUP(Tabela_Movimentacao_Geral[[#This Row],[ID Produto]], Tabela_Produtos[ID_Produto],Tabela_Produtos[Descricao_Produto],"Produto não encontrado")</f>
        <v>Lanterna de Led Inspeção</v>
      </c>
      <c r="H950" cm="1">
        <f t="array" aca="1" ref="H950" ca="1">IF(
   $O$7="Desbloqueado",
   _xlfn.LET(
     _xlpm.saldo_atual, SUM(($C$2:$C949="Entrada")*($F$2:$F949=Tabela_Movimentacao_Geral[[#This Row],[ID Produto]])*($H$2:$H949) - ($C$2:$C949="Saida")*($F$2:$F949=Tabela_Movimentacao_Geral[[#This Row],[ID Produto]])*($H$2:$H949)),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97</v>
      </c>
      <c r="I950" s="5">
        <f ca="1">_xlfn.XLOOKUP(Tabela_Movimentacao_Geral[[#This Row],[ID Produto]], Tabela_Produtos[ID_Produto],Tabela_Produtos[Preco_Unitario_Venda])</f>
        <v>55</v>
      </c>
      <c r="J950" s="6">
        <f ca="1">Tabela_Movimentacao_Geral[[#This Row],[Quantidade]] * Tabela_Movimentacao_Geral[[#This Row],[Valor Unitário]]</f>
        <v>5335</v>
      </c>
      <c r="K950" t="str">
        <f ca="1">IF(
   $O$7="Desbloqueado",
   CHOOSE(RANDBETWEEN(1,3),"Pago","Pendente","Atrasado"),
   Tabela_Movimentacao_Geral[[#This Row],[Status Financeiro]]
)</f>
        <v>Atrasado</v>
      </c>
      <c r="L950" t="str">
        <f ca="1">IF(
   $O$7="Desbloqueado",
   CHOOSE(RANDBETWEEN(1,3),"Entregue","Em Rota","Aguardando"),
   Tabela_Movimentacao_Geral[[#This Row],[Status Logistico]]
)</f>
        <v>Entregue</v>
      </c>
      <c r="M95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46112</v>
      </c>
    </row>
    <row r="951" spans="1:13" x14ac:dyDescent="0.3">
      <c r="A951" t="str">
        <f t="shared" si="14"/>
        <v>T0950</v>
      </c>
      <c r="B951" s="1">
        <v>46112</v>
      </c>
      <c r="C951" t="str" cm="1">
        <f t="array" aca="1" ref="C951" ca="1">IF($O$7="Desbloqueado",
  _xlfn.LET(
    _xlpm.saldo_atual, SUM(($C$2:$C950="Entrada")*($F$2:$F950=Tabela_Movimentacao_Geral[[#This Row],[ID Produto]])*($H$2:$H950) - ($C$2:$C950="Saida")*($F$2:$F950=Tabela_Movimentacao_Geral[[#This Row],[ID Produto]])*($H$2:$H950)),
    IF(_xlpm.saldo_atual &gt; 0, IF(RANDBETWEEN(0,10)&gt;3,"Saida","Entrada"), "Entrada")
  ),
  Tabela_Movimentacao_Geral[[#This Row],[Tipo Fluxo]]
)</f>
        <v>Saida</v>
      </c>
      <c r="D95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95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951" t="str">
        <f ca="1">IF(
  $O$7="Desbloqueado",
  "PROD"&amp;TEXT(RANDBETWEEN(1,200),"000"),
  Tabela_Movimentacao_Geral[[#This Row],[ID Produto]]
)</f>
        <v>PROD082</v>
      </c>
      <c r="G951" t="str">
        <f ca="1">_xlfn.XLOOKUP(Tabela_Movimentacao_Geral[[#This Row],[ID Produto]], Tabela_Produtos[ID_Produto],Tabela_Produtos[Descricao_Produto],"Produto não encontrado")</f>
        <v>HD SAS 600GB 15K</v>
      </c>
      <c r="H951" cm="1">
        <f t="array" aca="1" ref="H951" ca="1">IF(
   $O$7="Desbloqueado",
   _xlfn.LET(
     _xlpm.saldo_atual, SUM(($C$2:$C950="Entrada")*($F$2:$F950=Tabela_Movimentacao_Geral[[#This Row],[ID Produto]])*($H$2:$H950) - ($C$2:$C950="Saida")*($F$2:$F950=Tabela_Movimentacao_Geral[[#This Row],[ID Produto]])*($H$2:$H950)),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66</v>
      </c>
      <c r="I951" s="5">
        <f ca="1">_xlfn.XLOOKUP(Tabela_Movimentacao_Geral[[#This Row],[ID Produto]], Tabela_Produtos[ID_Produto],Tabela_Produtos[Preco_Unitario_Venda])</f>
        <v>1800</v>
      </c>
      <c r="J951" s="6">
        <f ca="1">Tabela_Movimentacao_Geral[[#This Row],[Quantidade]] * Tabela_Movimentacao_Geral[[#This Row],[Valor Unitário]]</f>
        <v>118800</v>
      </c>
      <c r="K951" t="str">
        <f ca="1">IF(
   $O$7="Desbloqueado",
   CHOOSE(RANDBETWEEN(1,3),"Pago","Pendente","Atrasado"),
   Tabela_Movimentacao_Geral[[#This Row],[Status Financeiro]]
)</f>
        <v>Pendente</v>
      </c>
      <c r="L951" t="str">
        <f ca="1">IF(
   $O$7="Desbloqueado",
   CHOOSE(RANDBETWEEN(1,3),"Entregue","Em Rota","Aguardando"),
   Tabela_Movimentacao_Geral[[#This Row],[Status Logistico]]
)</f>
        <v>Aguardando</v>
      </c>
      <c r="M95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52" spans="1:13" x14ac:dyDescent="0.3">
      <c r="A952" t="str">
        <f t="shared" si="14"/>
        <v>T0951</v>
      </c>
      <c r="B952" s="1">
        <v>46112</v>
      </c>
      <c r="C952" t="str" cm="1">
        <f t="array" aca="1" ref="C952" ca="1">IF($O$7="Desbloqueado",
  _xlfn.LET(
    _xlpm.saldo_atual, SUM(($C$2:$C951="Entrada")*($F$2:$F951=Tabela_Movimentacao_Geral[[#This Row],[ID Produto]])*($H$2:$H951) - ($C$2:$C951="Saida")*($F$2:$F951=Tabela_Movimentacao_Geral[[#This Row],[ID Produto]])*($H$2:$H951)),
    IF(_xlpm.saldo_atual &gt; 0, IF(RANDBETWEEN(0,10)&gt;3,"Saida","Entrada"), "Entrada")
  ),
  Tabela_Movimentacao_Geral[[#This Row],[Tipo Fluxo]]
)</f>
        <v>Saida</v>
      </c>
      <c r="D95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95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952" t="str">
        <f ca="1">IF(
  $O$7="Desbloqueado",
  "PROD"&amp;TEXT(RANDBETWEEN(1,200),"000"),
  Tabela_Movimentacao_Geral[[#This Row],[ID Produto]]
)</f>
        <v>PROD095</v>
      </c>
      <c r="G952" t="str">
        <f ca="1">_xlfn.XLOOKUP(Tabela_Movimentacao_Geral[[#This Row],[ID Produto]], Tabela_Produtos[ID_Produto],Tabela_Produtos[Descricao_Produto],"Produto não encontrado")</f>
        <v>Controladora RAID PCIe</v>
      </c>
      <c r="H952" cm="1">
        <f t="array" aca="1" ref="H952" ca="1">IF(
   $O$7="Desbloqueado",
   _xlfn.LET(
     _xlpm.saldo_atual, SUM(($C$2:$C951="Entrada")*($F$2:$F951=Tabela_Movimentacao_Geral[[#This Row],[ID Produto]])*($H$2:$H951) - ($C$2:$C951="Saida")*($F$2:$F951=Tabela_Movimentacao_Geral[[#This Row],[ID Produto]])*($H$2:$H951)),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81</v>
      </c>
      <c r="I952" s="5">
        <f ca="1">_xlfn.XLOOKUP(Tabela_Movimentacao_Geral[[#This Row],[ID Produto]], Tabela_Produtos[ID_Produto],Tabela_Produtos[Preco_Unitario_Venda])</f>
        <v>2100</v>
      </c>
      <c r="J952" s="6">
        <f ca="1">Tabela_Movimentacao_Geral[[#This Row],[Quantidade]] * Tabela_Movimentacao_Geral[[#This Row],[Valor Unitário]]</f>
        <v>170100</v>
      </c>
      <c r="K952" t="str">
        <f ca="1">IF(
   $O$7="Desbloqueado",
   CHOOSE(RANDBETWEEN(1,3),"Pago","Pendente","Atrasado"),
   Tabela_Movimentacao_Geral[[#This Row],[Status Financeiro]]
)</f>
        <v>Pago</v>
      </c>
      <c r="L952" t="str">
        <f ca="1">IF(
   $O$7="Desbloqueado",
   CHOOSE(RANDBETWEEN(1,3),"Entregue","Em Rota","Aguardando"),
   Tabela_Movimentacao_Geral[[#This Row],[Status Logistico]]
)</f>
        <v>Aguardando</v>
      </c>
      <c r="M95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53" spans="1:13" x14ac:dyDescent="0.3">
      <c r="A953" t="str">
        <f t="shared" si="14"/>
        <v>T0952</v>
      </c>
      <c r="B953" s="1">
        <v>46112</v>
      </c>
      <c r="C953" t="str" cm="1">
        <f t="array" aca="1" ref="C953" ca="1">IF($O$7="Desbloqueado",
  _xlfn.LET(
    _xlpm.saldo_atual, SUM(($C$2:$C952="Entrada")*($F$2:$F952=Tabela_Movimentacao_Geral[[#This Row],[ID Produto]])*($H$2:$H952) - ($C$2:$C952="Saida")*($F$2:$F952=Tabela_Movimentacao_Geral[[#This Row],[ID Produto]])*($H$2:$H952)),
    IF(_xlpm.saldo_atual &gt; 0, IF(RANDBETWEEN(0,10)&gt;3,"Saida","Entrada"), "Entrada")
  ),
  Tabela_Movimentacao_Geral[[#This Row],[Tipo Fluxo]]
)</f>
        <v>Entrada</v>
      </c>
      <c r="D95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95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953" t="str">
        <f ca="1">IF(
  $O$7="Desbloqueado",
  "PROD"&amp;TEXT(RANDBETWEEN(1,200),"000"),
  Tabela_Movimentacao_Geral[[#This Row],[ID Produto]]
)</f>
        <v>PROD200</v>
      </c>
      <c r="G953" t="str">
        <f ca="1">_xlfn.XLOOKUP(Tabela_Movimentacao_Geral[[#This Row],[ID Produto]], Tabela_Produtos[ID_Produto],Tabela_Produtos[Descricao_Produto],"Produto não encontrado")</f>
        <v>Estacao de Solda Prof</v>
      </c>
      <c r="H953" cm="1">
        <f t="array" aca="1" ref="H953" ca="1">IF(
   $O$7="Desbloqueado",
   _xlfn.LET(
     _xlpm.saldo_atual, SUM(($C$2:$C952="Entrada")*($F$2:$F952=Tabela_Movimentacao_Geral[[#This Row],[ID Produto]])*($H$2:$H952) - ($C$2:$C952="Saida")*($F$2:$F952=Tabela_Movimentacao_Geral[[#This Row],[ID Produto]])*($H$2:$H952)),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953" s="5">
        <f ca="1">_xlfn.XLOOKUP(Tabela_Movimentacao_Geral[[#This Row],[ID Produto]], Tabela_Produtos[ID_Produto],Tabela_Produtos[Preco_Unitario_Venda])</f>
        <v>1200</v>
      </c>
      <c r="J953" s="6">
        <f ca="1">Tabela_Movimentacao_Geral[[#This Row],[Quantidade]] * Tabela_Movimentacao_Geral[[#This Row],[Valor Unitário]]</f>
        <v>26400</v>
      </c>
      <c r="K953" t="str">
        <f ca="1">IF(
   $O$7="Desbloqueado",
   CHOOSE(RANDBETWEEN(1,3),"Pago","Pendente","Atrasado"),
   Tabela_Movimentacao_Geral[[#This Row],[Status Financeiro]]
)</f>
        <v>Atrasado</v>
      </c>
      <c r="L953" t="str">
        <f ca="1">IF(
   $O$7="Desbloqueado",
   CHOOSE(RANDBETWEEN(1,3),"Entregue","Em Rota","Aguardando"),
   Tabela_Movimentacao_Geral[[#This Row],[Status Logistico]]
)</f>
        <v>Em Rota</v>
      </c>
      <c r="M95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46119</v>
      </c>
    </row>
    <row r="954" spans="1:13" x14ac:dyDescent="0.3">
      <c r="A954" t="str">
        <f t="shared" si="14"/>
        <v>T0953</v>
      </c>
      <c r="B954" s="1">
        <v>46112</v>
      </c>
      <c r="C954" t="str" cm="1">
        <f t="array" aca="1" ref="C954" ca="1">IF($O$7="Desbloqueado",
  _xlfn.LET(
    _xlpm.saldo_atual, SUM(($C$2:$C953="Entrada")*($F$2:$F953=Tabela_Movimentacao_Geral[[#This Row],[ID Produto]])*($H$2:$H953) - ($C$2:$C953="Saida")*($F$2:$F953=Tabela_Movimentacao_Geral[[#This Row],[ID Produto]])*($H$2:$H953)),
    IF(_xlpm.saldo_atual &gt; 0, IF(RANDBETWEEN(0,10)&gt;3,"Saida","Entrada"), "Entrada")
  ),
  Tabela_Movimentacao_Geral[[#This Row],[Tipo Fluxo]]
)</f>
        <v>Saida</v>
      </c>
      <c r="D95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95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54" t="str">
        <f ca="1">IF(
  $O$7="Desbloqueado",
  "PROD"&amp;TEXT(RANDBETWEEN(1,200),"000"),
  Tabela_Movimentacao_Geral[[#This Row],[ID Produto]]
)</f>
        <v>PROD059</v>
      </c>
      <c r="G954" t="str">
        <f ca="1">_xlfn.XLOOKUP(Tabela_Movimentacao_Geral[[#This Row],[ID Produto]], Tabela_Produtos[ID_Produto],Tabela_Produtos[Descricao_Produto],"Produto não encontrado")</f>
        <v>Lapiseira 0.7mm</v>
      </c>
      <c r="H954" cm="1">
        <f t="array" aca="1" ref="H954" ca="1">IF(
   $O$7="Desbloqueado",
   _xlfn.LET(
     _xlpm.saldo_atual, SUM(($C$2:$C953="Entrada")*($F$2:$F953=Tabela_Movimentacao_Geral[[#This Row],[ID Produto]])*($H$2:$H953) - ($C$2:$C953="Saida")*($F$2:$F953=Tabela_Movimentacao_Geral[[#This Row],[ID Produto]])*($H$2:$H953)),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954" s="5">
        <f ca="1">_xlfn.XLOOKUP(Tabela_Movimentacao_Geral[[#This Row],[ID Produto]], Tabela_Produtos[ID_Produto],Tabela_Produtos[Preco_Unitario_Venda])</f>
        <v>12</v>
      </c>
      <c r="J954" s="6">
        <f ca="1">Tabela_Movimentacao_Geral[[#This Row],[Quantidade]] * Tabela_Movimentacao_Geral[[#This Row],[Valor Unitário]]</f>
        <v>516</v>
      </c>
      <c r="K954" t="str">
        <f ca="1">IF(
   $O$7="Desbloqueado",
   CHOOSE(RANDBETWEEN(1,3),"Pago","Pendente","Atrasado"),
   Tabela_Movimentacao_Geral[[#This Row],[Status Financeiro]]
)</f>
        <v>Pendente</v>
      </c>
      <c r="L954" t="str">
        <f ca="1">IF(
   $O$7="Desbloqueado",
   CHOOSE(RANDBETWEEN(1,3),"Entregue","Em Rota","Aguardando"),
   Tabela_Movimentacao_Geral[[#This Row],[Status Logistico]]
)</f>
        <v>Aguardando</v>
      </c>
      <c r="M95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55" spans="1:13" x14ac:dyDescent="0.3">
      <c r="A955" t="str">
        <f t="shared" si="14"/>
        <v>T0954</v>
      </c>
      <c r="B955" s="1">
        <v>46113</v>
      </c>
      <c r="C955" t="str" cm="1">
        <f t="array" aca="1" ref="C955" ca="1">IF($O$7="Desbloqueado",
  _xlfn.LET(
    _xlpm.saldo_atual, SUM(($C$2:$C954="Entrada")*($F$2:$F954=Tabela_Movimentacao_Geral[[#This Row],[ID Produto]])*($H$2:$H954) - ($C$2:$C954="Saida")*($F$2:$F954=Tabela_Movimentacao_Geral[[#This Row],[ID Produto]])*($H$2:$H954)),
    IF(_xlpm.saldo_atual &gt; 0, IF(RANDBETWEEN(0,10)&gt;3,"Saida","Entrada"), "Entrada")
  ),
  Tabela_Movimentacao_Geral[[#This Row],[Tipo Fluxo]]
)</f>
        <v>Saida</v>
      </c>
      <c r="D95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95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955" t="str">
        <f ca="1">IF(
  $O$7="Desbloqueado",
  "PROD"&amp;TEXT(RANDBETWEEN(1,200),"000"),
  Tabela_Movimentacao_Geral[[#This Row],[ID Produto]]
)</f>
        <v>PROD190</v>
      </c>
      <c r="G955" t="str">
        <f ca="1">_xlfn.XLOOKUP(Tabela_Movimentacao_Geral[[#This Row],[ID Produto]], Tabela_Produtos[ID_Produto],Tabela_Produtos[Descricao_Produto],"Produto não encontrado")</f>
        <v>Firewall Hardware Mid</v>
      </c>
      <c r="H955" cm="1">
        <f t="array" aca="1" ref="H955" ca="1">IF(
   $O$7="Desbloqueado",
   _xlfn.LET(
     _xlpm.saldo_atual, SUM(($C$2:$C954="Entrada")*($F$2:$F954=Tabela_Movimentacao_Geral[[#This Row],[ID Produto]])*($H$2:$H954) - ($C$2:$C954="Saida")*($F$2:$F954=Tabela_Movimentacao_Geral[[#This Row],[ID Produto]])*($H$2:$H954)),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955" s="5">
        <f ca="1">_xlfn.XLOOKUP(Tabela_Movimentacao_Geral[[#This Row],[ID Produto]], Tabela_Produtos[ID_Produto],Tabela_Produtos[Preco_Unitario_Venda])</f>
        <v>8500</v>
      </c>
      <c r="J955" s="6">
        <f ca="1">Tabela_Movimentacao_Geral[[#This Row],[Quantidade]] * Tabela_Movimentacao_Geral[[#This Row],[Valor Unitário]]</f>
        <v>8500</v>
      </c>
      <c r="K955" t="str">
        <f ca="1">IF(
   $O$7="Desbloqueado",
   CHOOSE(RANDBETWEEN(1,3),"Pago","Pendente","Atrasado"),
   Tabela_Movimentacao_Geral[[#This Row],[Status Financeiro]]
)</f>
        <v>Pendente</v>
      </c>
      <c r="L955" t="str">
        <f ca="1">IF(
   $O$7="Desbloqueado",
   CHOOSE(RANDBETWEEN(1,3),"Entregue","Em Rota","Aguardando"),
   Tabela_Movimentacao_Geral[[#This Row],[Status Logistico]]
)</f>
        <v>Em Rota</v>
      </c>
      <c r="M95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56" spans="1:13" x14ac:dyDescent="0.3">
      <c r="A956" t="str">
        <f t="shared" si="14"/>
        <v>T0955</v>
      </c>
      <c r="B956" s="1">
        <v>46114</v>
      </c>
      <c r="C956" t="str" cm="1">
        <f t="array" aca="1" ref="C956" ca="1">IF($O$7="Desbloqueado",
  _xlfn.LET(
    _xlpm.saldo_atual, SUM(($C$2:$C955="Entrada")*($F$2:$F955=Tabela_Movimentacao_Geral[[#This Row],[ID Produto]])*($H$2:$H955) - ($C$2:$C955="Saida")*($F$2:$F955=Tabela_Movimentacao_Geral[[#This Row],[ID Produto]])*($H$2:$H955)),
    IF(_xlpm.saldo_atual &gt; 0, IF(RANDBETWEEN(0,10)&gt;3,"Saida","Entrada"), "Entrada")
  ),
  Tabela_Movimentacao_Geral[[#This Row],[Tipo Fluxo]]
)</f>
        <v>Entrada</v>
      </c>
      <c r="D95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FORN017</v>
      </c>
      <c r="E95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BitSafe</v>
      </c>
      <c r="F956" t="str">
        <f ca="1">IF(
  $O$7="Desbloqueado",
  "PROD"&amp;TEXT(RANDBETWEEN(1,200),"000"),
  Tabela_Movimentacao_Geral[[#This Row],[ID Produto]]
)</f>
        <v>PROD004</v>
      </c>
      <c r="G956" t="str">
        <f ca="1">_xlfn.XLOOKUP(Tabela_Movimentacao_Geral[[#This Row],[ID Produto]], Tabela_Produtos[ID_Produto],Tabela_Produtos[Descricao_Produto],"Produto não encontrado")</f>
        <v>Cadeira Ergonomica Office</v>
      </c>
      <c r="H956" cm="1">
        <f t="array" aca="1" ref="H956" ca="1">IF(
   $O$7="Desbloqueado",
   _xlfn.LET(
     _xlpm.saldo_atual, SUM(($C$2:$C955="Entrada")*($F$2:$F955=Tabela_Movimentacao_Geral[[#This Row],[ID Produto]])*($H$2:$H955) - ($C$2:$C955="Saida")*($F$2:$F955=Tabela_Movimentacao_Geral[[#This Row],[ID Produto]])*($H$2:$H955)),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27</v>
      </c>
      <c r="I956" s="5">
        <f ca="1">_xlfn.XLOOKUP(Tabela_Movimentacao_Geral[[#This Row],[ID Produto]], Tabela_Produtos[ID_Produto],Tabela_Produtos[Preco_Unitario_Venda])</f>
        <v>1200</v>
      </c>
      <c r="J956" s="6">
        <f ca="1">Tabela_Movimentacao_Geral[[#This Row],[Quantidade]] * Tabela_Movimentacao_Geral[[#This Row],[Valor Unitário]]</f>
        <v>32400</v>
      </c>
      <c r="K956" t="str">
        <f ca="1">IF(
   $O$7="Desbloqueado",
   CHOOSE(RANDBETWEEN(1,3),"Pago","Pendente","Atrasado"),
   Tabela_Movimentacao_Geral[[#This Row],[Status Financeiro]]
)</f>
        <v>Pendente</v>
      </c>
      <c r="L956" t="str">
        <f ca="1">IF(
   $O$7="Desbloqueado",
   CHOOSE(RANDBETWEEN(1,3),"Entregue","Em Rota","Aguardando"),
   Tabela_Movimentacao_Geral[[#This Row],[Status Logistico]]
)</f>
        <v>Entregue</v>
      </c>
      <c r="M95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46117</v>
      </c>
    </row>
    <row r="957" spans="1:13" x14ac:dyDescent="0.3">
      <c r="A957" t="str">
        <f t="shared" si="14"/>
        <v>T0956</v>
      </c>
      <c r="B957" s="1">
        <v>46114</v>
      </c>
      <c r="C957" t="str" cm="1">
        <f t="array" aca="1" ref="C957" ca="1">IF($O$7="Desbloqueado",
  _xlfn.LET(
    _xlpm.saldo_atual, SUM(($C$2:$C956="Entrada")*($F$2:$F956=Tabela_Movimentacao_Geral[[#This Row],[ID Produto]])*($H$2:$H956) - ($C$2:$C956="Saida")*($F$2:$F956=Tabela_Movimentacao_Geral[[#This Row],[ID Produto]])*($H$2:$H956)),
    IF(_xlpm.saldo_atual &gt; 0, IF(RANDBETWEEN(0,10)&gt;3,"Saida","Entrada"), "Entrada")
  ),
  Tabela_Movimentacao_Geral[[#This Row],[Tipo Fluxo]]
)</f>
        <v>Entrada</v>
      </c>
      <c r="D95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95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957" t="str">
        <f ca="1">IF(
  $O$7="Desbloqueado",
  "PROD"&amp;TEXT(RANDBETWEEN(1,200),"000"),
  Tabela_Movimentacao_Geral[[#This Row],[ID Produto]]
)</f>
        <v>PROD003</v>
      </c>
      <c r="G957" t="str">
        <f ca="1">_xlfn.XLOOKUP(Tabela_Movimentacao_Geral[[#This Row],[ID Produto]], Tabela_Produtos[ID_Produto],Tabela_Produtos[Descricao_Produto],"Produto não encontrado")</f>
        <v>Mouse Sem Fio Optico</v>
      </c>
      <c r="H957" cm="1">
        <f t="array" aca="1" ref="H957" ca="1">IF(
   $O$7="Desbloqueado",
   _xlfn.LET(
     _xlpm.saldo_atual, SUM(($C$2:$C956="Entrada")*($F$2:$F956=Tabela_Movimentacao_Geral[[#This Row],[ID Produto]])*($H$2:$H956) - ($C$2:$C956="Saida")*($F$2:$F956=Tabela_Movimentacao_Geral[[#This Row],[ID Produto]])*($H$2:$H956)),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957" s="5">
        <f ca="1">_xlfn.XLOOKUP(Tabela_Movimentacao_Geral[[#This Row],[ID Produto]], Tabela_Produtos[ID_Produto],Tabela_Produtos[Preco_Unitario_Venda])</f>
        <v>120</v>
      </c>
      <c r="J957" s="6">
        <f ca="1">Tabela_Movimentacao_Geral[[#This Row],[Quantidade]] * Tabela_Movimentacao_Geral[[#This Row],[Valor Unitário]]</f>
        <v>4560</v>
      </c>
      <c r="K957" t="str">
        <f ca="1">IF(
   $O$7="Desbloqueado",
   CHOOSE(RANDBETWEEN(1,3),"Pago","Pendente","Atrasado"),
   Tabela_Movimentacao_Geral[[#This Row],[Status Financeiro]]
)</f>
        <v>Atrasado</v>
      </c>
      <c r="L957" t="str">
        <f ca="1">IF(
   $O$7="Desbloqueado",
   CHOOSE(RANDBETWEEN(1,3),"Entregue","Em Rota","Aguardando"),
   Tabela_Movimentacao_Geral[[#This Row],[Status Logistico]]
)</f>
        <v>Em Rota</v>
      </c>
      <c r="M95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46115</v>
      </c>
    </row>
    <row r="958" spans="1:13" x14ac:dyDescent="0.3">
      <c r="A958" t="str">
        <f t="shared" si="14"/>
        <v>T0957</v>
      </c>
      <c r="B958" s="1">
        <v>46114</v>
      </c>
      <c r="C958" t="str" cm="1">
        <f t="array" aca="1" ref="C958" ca="1">IF($O$7="Desbloqueado",
  _xlfn.LET(
    _xlpm.saldo_atual, SUM(($C$2:$C957="Entrada")*($F$2:$F957=Tabela_Movimentacao_Geral[[#This Row],[ID Produto]])*($H$2:$H957) - ($C$2:$C957="Saida")*($F$2:$F957=Tabela_Movimentacao_Geral[[#This Row],[ID Produto]])*($H$2:$H957)),
    IF(_xlpm.saldo_atual &gt; 0, IF(RANDBETWEEN(0,10)&gt;3,"Saida","Entrada"), "Entrada")
  ),
  Tabela_Movimentacao_Geral[[#This Row],[Tipo Fluxo]]
)</f>
        <v>Entrada</v>
      </c>
      <c r="D95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95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958" t="str">
        <f ca="1">IF(
  $O$7="Desbloqueado",
  "PROD"&amp;TEXT(RANDBETWEEN(1,200),"000"),
  Tabela_Movimentacao_Geral[[#This Row],[ID Produto]]
)</f>
        <v>PROD056</v>
      </c>
      <c r="G958" t="str">
        <f ca="1">_xlfn.XLOOKUP(Tabela_Movimentacao_Geral[[#This Row],[ID Produto]], Tabela_Produtos[ID_Produto],Tabela_Produtos[Descricao_Produto],"Produto não encontrado")</f>
        <v>Envelope Pardo A4 50un</v>
      </c>
      <c r="H958" cm="1">
        <f t="array" aca="1" ref="H958" ca="1">IF(
   $O$7="Desbloqueado",
   _xlfn.LET(
     _xlpm.saldo_atual, SUM(($C$2:$C957="Entrada")*($F$2:$F957=Tabela_Movimentacao_Geral[[#This Row],[ID Produto]])*($H$2:$H957) - ($C$2:$C957="Saida")*($F$2:$F957=Tabela_Movimentacao_Geral[[#This Row],[ID Produto]])*($H$2:$H957)),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35</v>
      </c>
      <c r="I958" s="5">
        <f ca="1">_xlfn.XLOOKUP(Tabela_Movimentacao_Geral[[#This Row],[ID Produto]], Tabela_Produtos[ID_Produto],Tabela_Produtos[Preco_Unitario_Venda])</f>
        <v>25</v>
      </c>
      <c r="J958" s="6">
        <f ca="1">Tabela_Movimentacao_Geral[[#This Row],[Quantidade]] * Tabela_Movimentacao_Geral[[#This Row],[Valor Unitário]]</f>
        <v>875</v>
      </c>
      <c r="K958" t="str">
        <f ca="1">IF(
   $O$7="Desbloqueado",
   CHOOSE(RANDBETWEEN(1,3),"Pago","Pendente","Atrasado"),
   Tabela_Movimentacao_Geral[[#This Row],[Status Financeiro]]
)</f>
        <v>Pendente</v>
      </c>
      <c r="L958" t="str">
        <f ca="1">IF(
   $O$7="Desbloqueado",
   CHOOSE(RANDBETWEEN(1,3),"Entregue","Em Rota","Aguardando"),
   Tabela_Movimentacao_Geral[[#This Row],[Status Logistico]]
)</f>
        <v>Aguardando</v>
      </c>
      <c r="M95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46116</v>
      </c>
    </row>
    <row r="959" spans="1:13" x14ac:dyDescent="0.3">
      <c r="A959" t="str">
        <f t="shared" si="14"/>
        <v>T0958</v>
      </c>
      <c r="B959" s="1">
        <v>46114</v>
      </c>
      <c r="C959" t="str" cm="1">
        <f t="array" aca="1" ref="C959" ca="1">IF($O$7="Desbloqueado",
  _xlfn.LET(
    _xlpm.saldo_atual, SUM(($C$2:$C958="Entrada")*($F$2:$F958=Tabela_Movimentacao_Geral[[#This Row],[ID Produto]])*($H$2:$H958) - ($C$2:$C958="Saida")*($F$2:$F958=Tabela_Movimentacao_Geral[[#This Row],[ID Produto]])*($H$2:$H958)),
    IF(_xlpm.saldo_atual &gt; 0, IF(RANDBETWEEN(0,10)&gt;3,"Saida","Entrada"), "Entrada")
  ),
  Tabela_Movimentacao_Geral[[#This Row],[Tipo Fluxo]]
)</f>
        <v>Saida</v>
      </c>
      <c r="D95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95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959" t="str">
        <f ca="1">IF(
  $O$7="Desbloqueado",
  "PROD"&amp;TEXT(RANDBETWEEN(1,200),"000"),
  Tabela_Movimentacao_Geral[[#This Row],[ID Produto]]
)</f>
        <v>PROD168</v>
      </c>
      <c r="G959" t="str">
        <f ca="1">_xlfn.XLOOKUP(Tabela_Movimentacao_Geral[[#This Row],[ID Produto]], Tabela_Produtos[ID_Produto],Tabela_Produtos[Descricao_Produto],"Produto não encontrado")</f>
        <v>Pasta Catalogo 50 Envelopes</v>
      </c>
      <c r="H959" cm="1">
        <f t="array" aca="1" ref="H959" ca="1">IF(
   $O$7="Desbloqueado",
   _xlfn.LET(
     _xlpm.saldo_atual, SUM(($C$2:$C958="Entrada")*($F$2:$F958=Tabela_Movimentacao_Geral[[#This Row],[ID Produto]])*($H$2:$H958) - ($C$2:$C958="Saida")*($F$2:$F958=Tabela_Movimentacao_Geral[[#This Row],[ID Produto]])*($H$2:$H958)),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959" s="5">
        <f ca="1">_xlfn.XLOOKUP(Tabela_Movimentacao_Geral[[#This Row],[ID Produto]], Tabela_Produtos[ID_Produto],Tabela_Produtos[Preco_Unitario_Venda])</f>
        <v>45</v>
      </c>
      <c r="J959" s="6">
        <f ca="1">Tabela_Movimentacao_Geral[[#This Row],[Quantidade]] * Tabela_Movimentacao_Geral[[#This Row],[Valor Unitário]]</f>
        <v>1035</v>
      </c>
      <c r="K959" t="str">
        <f ca="1">IF(
   $O$7="Desbloqueado",
   CHOOSE(RANDBETWEEN(1,3),"Pago","Pendente","Atrasado"),
   Tabela_Movimentacao_Geral[[#This Row],[Status Financeiro]]
)</f>
        <v>Pendente</v>
      </c>
      <c r="L959" t="str">
        <f ca="1">IF(
   $O$7="Desbloqueado",
   CHOOSE(RANDBETWEEN(1,3),"Entregue","Em Rota","Aguardando"),
   Tabela_Movimentacao_Geral[[#This Row],[Status Logistico]]
)</f>
        <v>Entregue</v>
      </c>
      <c r="M95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60" spans="1:13" x14ac:dyDescent="0.3">
      <c r="A960" t="str">
        <f t="shared" si="14"/>
        <v>T0959</v>
      </c>
      <c r="B960" s="1">
        <v>46115</v>
      </c>
      <c r="C960" t="str" cm="1">
        <f t="array" aca="1" ref="C960" ca="1">IF($O$7="Desbloqueado",
  _xlfn.LET(
    _xlpm.saldo_atual, SUM(($C$2:$C959="Entrada")*($F$2:$F959=Tabela_Movimentacao_Geral[[#This Row],[ID Produto]])*($H$2:$H959) - ($C$2:$C959="Saida")*($F$2:$F959=Tabela_Movimentacao_Geral[[#This Row],[ID Produto]])*($H$2:$H959)),
    IF(_xlpm.saldo_atual &gt; 0, IF(RANDBETWEEN(0,10)&gt;3,"Saida","Entrada"), "Entrada")
  ),
  Tabela_Movimentacao_Geral[[#This Row],[Tipo Fluxo]]
)</f>
        <v>Entrada</v>
      </c>
      <c r="D96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96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960" t="str">
        <f ca="1">IF(
  $O$7="Desbloqueado",
  "PROD"&amp;TEXT(RANDBETWEEN(1,200),"000"),
  Tabela_Movimentacao_Geral[[#This Row],[ID Produto]]
)</f>
        <v>PROD130</v>
      </c>
      <c r="G960" t="str">
        <f ca="1">_xlfn.XLOOKUP(Tabela_Movimentacao_Geral[[#This Row],[ID Produto]], Tabela_Produtos[ID_Produto],Tabela_Produtos[Descricao_Produto],"Produto não encontrado")</f>
        <v>Maleta Rigida Notebook</v>
      </c>
      <c r="H960" cm="1">
        <f t="array" aca="1" ref="H960" ca="1">IF(
   $O$7="Desbloqueado",
   _xlfn.LET(
     _xlpm.saldo_atual, SUM(($C$2:$C959="Entrada")*($F$2:$F959=Tabela_Movimentacao_Geral[[#This Row],[ID Produto]])*($H$2:$H959) - ($C$2:$C959="Saida")*($F$2:$F959=Tabela_Movimentacao_Geral[[#This Row],[ID Produto]])*($H$2:$H959)),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43</v>
      </c>
      <c r="I960" s="5">
        <f ca="1">_xlfn.XLOOKUP(Tabela_Movimentacao_Geral[[#This Row],[ID Produto]], Tabela_Produtos[ID_Produto],Tabela_Produtos[Preco_Unitario_Venda])</f>
        <v>380</v>
      </c>
      <c r="J960" s="6">
        <f ca="1">Tabela_Movimentacao_Geral[[#This Row],[Quantidade]] * Tabela_Movimentacao_Geral[[#This Row],[Valor Unitário]]</f>
        <v>16340</v>
      </c>
      <c r="K960" t="str">
        <f ca="1">IF(
   $O$7="Desbloqueado",
   CHOOSE(RANDBETWEEN(1,3),"Pago","Pendente","Atrasado"),
   Tabela_Movimentacao_Geral[[#This Row],[Status Financeiro]]
)</f>
        <v>Pendente</v>
      </c>
      <c r="L960" t="str">
        <f ca="1">IF(
   $O$7="Desbloqueado",
   CHOOSE(RANDBETWEEN(1,3),"Entregue","Em Rota","Aguardando"),
   Tabela_Movimentacao_Geral[[#This Row],[Status Logistico]]
)</f>
        <v>Em Rota</v>
      </c>
      <c r="M96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46122</v>
      </c>
    </row>
    <row r="961" spans="1:13" x14ac:dyDescent="0.3">
      <c r="A961" t="str">
        <f t="shared" si="14"/>
        <v>T0960</v>
      </c>
      <c r="B961" s="1">
        <v>46116</v>
      </c>
      <c r="C961" t="str" cm="1">
        <f t="array" aca="1" ref="C961" ca="1">IF($O$7="Desbloqueado",
  _xlfn.LET(
    _xlpm.saldo_atual, SUM(($C$2:$C960="Entrada")*($F$2:$F960=Tabela_Movimentacao_Geral[[#This Row],[ID Produto]])*($H$2:$H960) - ($C$2:$C960="Saida")*($F$2:$F960=Tabela_Movimentacao_Geral[[#This Row],[ID Produto]])*($H$2:$H960)),
    IF(_xlpm.saldo_atual &gt; 0, IF(RANDBETWEEN(0,10)&gt;3,"Saida","Entrada"), "Entrada")
  ),
  Tabela_Movimentacao_Geral[[#This Row],[Tipo Fluxo]]
)</f>
        <v>Entrada</v>
      </c>
      <c r="D96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FORN020</v>
      </c>
      <c r="E96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AI Systems</v>
      </c>
      <c r="F961" t="str">
        <f ca="1">IF(
  $O$7="Desbloqueado",
  "PROD"&amp;TEXT(RANDBETWEEN(1,200),"000"),
  Tabela_Movimentacao_Geral[[#This Row],[ID Produto]]
)</f>
        <v>PROD031</v>
      </c>
      <c r="G961" t="str">
        <f ca="1">_xlfn.XLOOKUP(Tabela_Movimentacao_Geral[[#This Row],[ID Produto]], Tabela_Produtos[ID_Produto],Tabela_Produtos[Descricao_Produto],"Produto não encontrado")</f>
        <v>Nobreak 1500VA Biz</v>
      </c>
      <c r="H961" cm="1">
        <f t="array" aca="1" ref="H961" ca="1">IF(
   $O$7="Desbloqueado",
   _xlfn.LET(
     _xlpm.saldo_atual, SUM(($C$2:$C960="Entrada")*($F$2:$F960=Tabela_Movimentacao_Geral[[#This Row],[ID Produto]])*($H$2:$H960) - ($C$2:$C960="Saida")*($F$2:$F960=Tabela_Movimentacao_Geral[[#This Row],[ID Produto]])*($H$2:$H960)),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74</v>
      </c>
      <c r="I961" s="5">
        <f ca="1">_xlfn.XLOOKUP(Tabela_Movimentacao_Geral[[#This Row],[ID Produto]], Tabela_Produtos[ID_Produto],Tabela_Produtos[Preco_Unitario_Venda])</f>
        <v>1450</v>
      </c>
      <c r="J961" s="6">
        <f ca="1">Tabela_Movimentacao_Geral[[#This Row],[Quantidade]] * Tabela_Movimentacao_Geral[[#This Row],[Valor Unitário]]</f>
        <v>107300</v>
      </c>
      <c r="K961" t="str">
        <f ca="1">IF(
   $O$7="Desbloqueado",
   CHOOSE(RANDBETWEEN(1,3),"Pago","Pendente","Atrasado"),
   Tabela_Movimentacao_Geral[[#This Row],[Status Financeiro]]
)</f>
        <v>Pendente</v>
      </c>
      <c r="L961" t="str">
        <f ca="1">IF(
   $O$7="Desbloqueado",
   CHOOSE(RANDBETWEEN(1,3),"Entregue","Em Rota","Aguardando"),
   Tabela_Movimentacao_Geral[[#This Row],[Status Logistico]]
)</f>
        <v>Entregue</v>
      </c>
      <c r="M96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46117</v>
      </c>
    </row>
    <row r="962" spans="1:13" x14ac:dyDescent="0.3">
      <c r="A962" t="str">
        <f t="shared" si="14"/>
        <v>T0961</v>
      </c>
      <c r="B962" s="1">
        <v>46116</v>
      </c>
      <c r="C962" t="str" cm="1">
        <f t="array" aca="1" ref="C962" ca="1">IF($O$7="Desbloqueado",
  _xlfn.LET(
    _xlpm.saldo_atual, SUM(($C$2:$C961="Entrada")*($F$2:$F961=Tabela_Movimentacao_Geral[[#This Row],[ID Produto]])*($H$2:$H961) - ($C$2:$C961="Saida")*($F$2:$F961=Tabela_Movimentacao_Geral[[#This Row],[ID Produto]])*($H$2:$H961)),
    IF(_xlpm.saldo_atual &gt; 0, IF(RANDBETWEEN(0,10)&gt;3,"Saida","Entrada"), "Entrada")
  ),
  Tabela_Movimentacao_Geral[[#This Row],[Tipo Fluxo]]
)</f>
        <v>Saida</v>
      </c>
      <c r="D96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96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962" t="str">
        <f ca="1">IF(
  $O$7="Desbloqueado",
  "PROD"&amp;TEXT(RANDBETWEEN(1,200),"000"),
  Tabela_Movimentacao_Geral[[#This Row],[ID Produto]]
)</f>
        <v>PROD166</v>
      </c>
      <c r="G962" t="str">
        <f ca="1">_xlfn.XLOOKUP(Tabela_Movimentacao_Geral[[#This Row],[ID Produto]], Tabela_Produtos[ID_Produto],Tabela_Produtos[Descricao_Produto],"Produto não encontrado")</f>
        <v>Tinta para Carimbo 30ml</v>
      </c>
      <c r="H962" cm="1">
        <f t="array" aca="1" ref="H962" ca="1">IF(
   $O$7="Desbloqueado",
   _xlfn.LET(
     _xlpm.saldo_atual, SUM(($C$2:$C961="Entrada")*($F$2:$F961=Tabela_Movimentacao_Geral[[#This Row],[ID Produto]])*($H$2:$H961) - ($C$2:$C961="Saida")*($F$2:$F961=Tabela_Movimentacao_Geral[[#This Row],[ID Produto]])*($H$2:$H961)),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32</v>
      </c>
      <c r="I962" s="5">
        <f ca="1">_xlfn.XLOOKUP(Tabela_Movimentacao_Geral[[#This Row],[ID Produto]], Tabela_Produtos[ID_Produto],Tabela_Produtos[Preco_Unitario_Venda])</f>
        <v>12</v>
      </c>
      <c r="J962" s="6">
        <f ca="1">Tabela_Movimentacao_Geral[[#This Row],[Quantidade]] * Tabela_Movimentacao_Geral[[#This Row],[Valor Unitário]]</f>
        <v>384</v>
      </c>
      <c r="K962" t="str">
        <f ca="1">IF(
   $O$7="Desbloqueado",
   CHOOSE(RANDBETWEEN(1,3),"Pago","Pendente","Atrasado"),
   Tabela_Movimentacao_Geral[[#This Row],[Status Financeiro]]
)</f>
        <v>Pago</v>
      </c>
      <c r="L962" t="str">
        <f ca="1">IF(
   $O$7="Desbloqueado",
   CHOOSE(RANDBETWEEN(1,3),"Entregue","Em Rota","Aguardando"),
   Tabela_Movimentacao_Geral[[#This Row],[Status Logistico]]
)</f>
        <v>Em Rota</v>
      </c>
      <c r="M96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63" spans="1:13" x14ac:dyDescent="0.3">
      <c r="A963" t="str">
        <f t="shared" si="14"/>
        <v>T0962</v>
      </c>
      <c r="B963" s="1">
        <v>46117</v>
      </c>
      <c r="C963" t="str" cm="1">
        <f t="array" aca="1" ref="C963" ca="1">IF($O$7="Desbloqueado",
  _xlfn.LET(
    _xlpm.saldo_atual, SUM(($C$2:$C962="Entrada")*($F$2:$F962=Tabela_Movimentacao_Geral[[#This Row],[ID Produto]])*($H$2:$H962) - ($C$2:$C962="Saida")*($F$2:$F962=Tabela_Movimentacao_Geral[[#This Row],[ID Produto]])*($H$2:$H962)),
    IF(_xlpm.saldo_atual &gt; 0, IF(RANDBETWEEN(0,10)&gt;3,"Saida","Entrada"), "Entrada")
  ),
  Tabela_Movimentacao_Geral[[#This Row],[Tipo Fluxo]]
)</f>
        <v>Saida</v>
      </c>
      <c r="D96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96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963" t="str">
        <f ca="1">IF(
  $O$7="Desbloqueado",
  "PROD"&amp;TEXT(RANDBETWEEN(1,200),"000"),
  Tabela_Movimentacao_Geral[[#This Row],[ID Produto]]
)</f>
        <v>PROD156</v>
      </c>
      <c r="G963" t="str">
        <f ca="1">_xlfn.XLOOKUP(Tabela_Movimentacao_Geral[[#This Row],[ID Produto]], Tabela_Produtos[ID_Produto],Tabela_Produtos[Descricao_Produto],"Produto não encontrado")</f>
        <v>Perfurador 2 Furos 40fls</v>
      </c>
      <c r="H963" cm="1">
        <f t="array" aca="1" ref="H963" ca="1">IF(
   $O$7="Desbloqueado",
   _xlfn.LET(
     _xlpm.saldo_atual, SUM(($C$2:$C962="Entrada")*($F$2:$F962=Tabela_Movimentacao_Geral[[#This Row],[ID Produto]])*($H$2:$H962) - ($C$2:$C962="Saida")*($F$2:$F962=Tabela_Movimentacao_Geral[[#This Row],[ID Produto]])*($H$2:$H962)),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</v>
      </c>
      <c r="I963" s="5">
        <f ca="1">_xlfn.XLOOKUP(Tabela_Movimentacao_Geral[[#This Row],[ID Produto]], Tabela_Produtos[ID_Produto],Tabela_Produtos[Preco_Unitario_Venda])</f>
        <v>85</v>
      </c>
      <c r="J963" s="6">
        <f ca="1">Tabela_Movimentacao_Geral[[#This Row],[Quantidade]] * Tabela_Movimentacao_Geral[[#This Row],[Valor Unitário]]</f>
        <v>680</v>
      </c>
      <c r="K963" t="str">
        <f ca="1">IF(
   $O$7="Desbloqueado",
   CHOOSE(RANDBETWEEN(1,3),"Pago","Pendente","Atrasado"),
   Tabela_Movimentacao_Geral[[#This Row],[Status Financeiro]]
)</f>
        <v>Atrasado</v>
      </c>
      <c r="L963" t="str">
        <f ca="1">IF(
   $O$7="Desbloqueado",
   CHOOSE(RANDBETWEEN(1,3),"Entregue","Em Rota","Aguardando"),
   Tabela_Movimentacao_Geral[[#This Row],[Status Logistico]]
)</f>
        <v>Em Rota</v>
      </c>
      <c r="M96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64" spans="1:13" x14ac:dyDescent="0.3">
      <c r="A964" t="str">
        <f t="shared" si="14"/>
        <v>T0963</v>
      </c>
      <c r="B964" s="1">
        <v>46118</v>
      </c>
      <c r="C964" t="str" cm="1">
        <f t="array" aca="1" ref="C964" ca="1">IF($O$7="Desbloqueado",
  _xlfn.LET(
    _xlpm.saldo_atual, SUM(($C$2:$C963="Entrada")*($F$2:$F963=Tabela_Movimentacao_Geral[[#This Row],[ID Produto]])*($H$2:$H963) - ($C$2:$C963="Saida")*($F$2:$F963=Tabela_Movimentacao_Geral[[#This Row],[ID Produto]])*($H$2:$H963)),
    IF(_xlpm.saldo_atual &gt; 0, IF(RANDBETWEEN(0,10)&gt;3,"Saida","Entrada"), "Entrada")
  ),
  Tabela_Movimentacao_Geral[[#This Row],[Tipo Fluxo]]
)</f>
        <v>Saida</v>
      </c>
      <c r="D96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96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64" t="str">
        <f ca="1">IF(
  $O$7="Desbloqueado",
  "PROD"&amp;TEXT(RANDBETWEEN(1,200),"000"),
  Tabela_Movimentacao_Geral[[#This Row],[ID Produto]]
)</f>
        <v>PROD122</v>
      </c>
      <c r="G964" t="str">
        <f ca="1">_xlfn.XLOOKUP(Tabela_Movimentacao_Geral[[#This Row],[ID Produto]], Tabela_Produtos[ID_Produto],Tabela_Produtos[Descricao_Produto],"Produto não encontrado")</f>
        <v>Windows Server 2022 CAL</v>
      </c>
      <c r="H964" cm="1">
        <f t="array" aca="1" ref="H964" ca="1">IF(
   $O$7="Desbloqueado",
   _xlfn.LET(
     _xlpm.saldo_atual, SUM(($C$2:$C963="Entrada")*($F$2:$F963=Tabela_Movimentacao_Geral[[#This Row],[ID Produto]])*($H$2:$H963) - ($C$2:$C963="Saida")*($F$2:$F963=Tabela_Movimentacao_Geral[[#This Row],[ID Produto]])*($H$2:$H963)),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964" s="5">
        <f ca="1">_xlfn.XLOOKUP(Tabela_Movimentacao_Geral[[#This Row],[ID Produto]], Tabela_Produtos[ID_Produto],Tabela_Produtos[Preco_Unitario_Venda])</f>
        <v>180</v>
      </c>
      <c r="J964" s="6">
        <f ca="1">Tabela_Movimentacao_Geral[[#This Row],[Quantidade]] * Tabela_Movimentacao_Geral[[#This Row],[Valor Unitário]]</f>
        <v>3780</v>
      </c>
      <c r="K964" t="str">
        <f ca="1">IF(
   $O$7="Desbloqueado",
   CHOOSE(RANDBETWEEN(1,3),"Pago","Pendente","Atrasado"),
   Tabela_Movimentacao_Geral[[#This Row],[Status Financeiro]]
)</f>
        <v>Pago</v>
      </c>
      <c r="L964" t="str">
        <f ca="1">IF(
   $O$7="Desbloqueado",
   CHOOSE(RANDBETWEEN(1,3),"Entregue","Em Rota","Aguardando"),
   Tabela_Movimentacao_Geral[[#This Row],[Status Logistico]]
)</f>
        <v>Entregue</v>
      </c>
      <c r="M96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65" spans="1:13" x14ac:dyDescent="0.3">
      <c r="A965" t="str">
        <f t="shared" si="14"/>
        <v>T0964</v>
      </c>
      <c r="B965" s="1">
        <v>46120</v>
      </c>
      <c r="C965" t="str" cm="1">
        <f t="array" aca="1" ref="C965" ca="1">IF($O$7="Desbloqueado",
  _xlfn.LET(
    _xlpm.saldo_atual, SUM(($C$2:$C964="Entrada")*($F$2:$F964=Tabela_Movimentacao_Geral[[#This Row],[ID Produto]])*($H$2:$H964) - ($C$2:$C964="Saida")*($F$2:$F964=Tabela_Movimentacao_Geral[[#This Row],[ID Produto]])*($H$2:$H964)),
    IF(_xlpm.saldo_atual &gt; 0, IF(RANDBETWEEN(0,10)&gt;3,"Saida","Entrada"), "Entrada")
  ),
  Tabela_Movimentacao_Geral[[#This Row],[Tipo Fluxo]]
)</f>
        <v>Entrada</v>
      </c>
      <c r="D96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FORN010</v>
      </c>
      <c r="E96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DataCenter Pro</v>
      </c>
      <c r="F965" t="str">
        <f ca="1">IF(
  $O$7="Desbloqueado",
  "PROD"&amp;TEXT(RANDBETWEEN(1,200),"000"),
  Tabela_Movimentacao_Geral[[#This Row],[ID Produto]]
)</f>
        <v>PROD165</v>
      </c>
      <c r="G965" t="str">
        <f ca="1">_xlfn.XLOOKUP(Tabela_Movimentacao_Geral[[#This Row],[ID Produto]], Tabela_Produtos[ID_Produto],Tabela_Produtos[Descricao_Produto],"Produto não encontrado")</f>
        <v>Almofada para Carimbo</v>
      </c>
      <c r="H965" cm="1">
        <f t="array" aca="1" ref="H965" ca="1">IF(
   $O$7="Desbloqueado",
   _xlfn.LET(
     _xlpm.saldo_atual, SUM(($C$2:$C964="Entrada")*($F$2:$F964=Tabela_Movimentacao_Geral[[#This Row],[ID Produto]])*($H$2:$H964) - ($C$2:$C964="Saida")*($F$2:$F964=Tabela_Movimentacao_Geral[[#This Row],[ID Produto]])*($H$2:$H964)),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75</v>
      </c>
      <c r="I965" s="5">
        <f ca="1">_xlfn.XLOOKUP(Tabela_Movimentacao_Geral[[#This Row],[ID Produto]], Tabela_Produtos[ID_Produto],Tabela_Produtos[Preco_Unitario_Venda])</f>
        <v>18</v>
      </c>
      <c r="J965" s="6">
        <f ca="1">Tabela_Movimentacao_Geral[[#This Row],[Quantidade]] * Tabela_Movimentacao_Geral[[#This Row],[Valor Unitário]]</f>
        <v>1350</v>
      </c>
      <c r="K965" t="str">
        <f ca="1">IF(
   $O$7="Desbloqueado",
   CHOOSE(RANDBETWEEN(1,3),"Pago","Pendente","Atrasado"),
   Tabela_Movimentacao_Geral[[#This Row],[Status Financeiro]]
)</f>
        <v>Pendente</v>
      </c>
      <c r="L965" t="str">
        <f ca="1">IF(
   $O$7="Desbloqueado",
   CHOOSE(RANDBETWEEN(1,3),"Entregue","Em Rota","Aguardando"),
   Tabela_Movimentacao_Geral[[#This Row],[Status Logistico]]
)</f>
        <v>Entregue</v>
      </c>
      <c r="M96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46122</v>
      </c>
    </row>
    <row r="966" spans="1:13" x14ac:dyDescent="0.3">
      <c r="A966" t="str">
        <f t="shared" si="14"/>
        <v>T0965</v>
      </c>
      <c r="B966" s="1">
        <v>46121</v>
      </c>
      <c r="C966" t="str" cm="1">
        <f t="array" aca="1" ref="C966" ca="1">IF($O$7="Desbloqueado",
  _xlfn.LET(
    _xlpm.saldo_atual, SUM(($C$2:$C965="Entrada")*($F$2:$F965=Tabela_Movimentacao_Geral[[#This Row],[ID Produto]])*($H$2:$H965) - ($C$2:$C965="Saida")*($F$2:$F965=Tabela_Movimentacao_Geral[[#This Row],[ID Produto]])*($H$2:$H965)),
    IF(_xlpm.saldo_atual &gt; 0, IF(RANDBETWEEN(0,10)&gt;3,"Saida","Entrada"), "Entrada")
  ),
  Tabela_Movimentacao_Geral[[#This Row],[Tipo Fluxo]]
)</f>
        <v>Entrada</v>
      </c>
      <c r="D96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FORN016</v>
      </c>
      <c r="E96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Steel Case</v>
      </c>
      <c r="F966" t="str">
        <f ca="1">IF(
  $O$7="Desbloqueado",
  "PROD"&amp;TEXT(RANDBETWEEN(1,200),"000"),
  Tabela_Movimentacao_Geral[[#This Row],[ID Produto]]
)</f>
        <v>PROD178</v>
      </c>
      <c r="G966" t="str">
        <f ca="1">_xlfn.XLOOKUP(Tabela_Movimentacao_Geral[[#This Row],[ID Produto]], Tabela_Produtos[ID_Produto],Tabela_Produtos[Descricao_Produto],"Produto não encontrado")</f>
        <v>Armario de Aco 2 Portas</v>
      </c>
      <c r="H966" cm="1">
        <f t="array" aca="1" ref="H966" ca="1">IF(
   $O$7="Desbloqueado",
   _xlfn.LET(
     _xlpm.saldo_atual, SUM(($C$2:$C965="Entrada")*($F$2:$F965=Tabela_Movimentacao_Geral[[#This Row],[ID Produto]])*($H$2:$H965) - ($C$2:$C965="Saida")*($F$2:$F965=Tabela_Movimentacao_Geral[[#This Row],[ID Produto]])*($H$2:$H965)),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966" s="5">
        <f ca="1">_xlfn.XLOOKUP(Tabela_Movimentacao_Geral[[#This Row],[ID Produto]], Tabela_Produtos[ID_Produto],Tabela_Produtos[Preco_Unitario_Venda])</f>
        <v>850</v>
      </c>
      <c r="J966" s="6">
        <f ca="1">Tabela_Movimentacao_Geral[[#This Row],[Quantidade]] * Tabela_Movimentacao_Geral[[#This Row],[Valor Unitário]]</f>
        <v>1700</v>
      </c>
      <c r="K966" t="str">
        <f ca="1">IF(
   $O$7="Desbloqueado",
   CHOOSE(RANDBETWEEN(1,3),"Pago","Pendente","Atrasado"),
   Tabela_Movimentacao_Geral[[#This Row],[Status Financeiro]]
)</f>
        <v>Pendente</v>
      </c>
      <c r="L966" t="str">
        <f ca="1">IF(
   $O$7="Desbloqueado",
   CHOOSE(RANDBETWEEN(1,3),"Entregue","Em Rota","Aguardando"),
   Tabela_Movimentacao_Geral[[#This Row],[Status Logistico]]
)</f>
        <v>Em Rota</v>
      </c>
      <c r="M96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46133</v>
      </c>
    </row>
    <row r="967" spans="1:13" x14ac:dyDescent="0.3">
      <c r="A967" t="str">
        <f t="shared" si="14"/>
        <v>T0966</v>
      </c>
      <c r="B967" s="1">
        <v>46121</v>
      </c>
      <c r="C967" t="str" cm="1">
        <f t="array" aca="1" ref="C967" ca="1">IF($O$7="Desbloqueado",
  _xlfn.LET(
    _xlpm.saldo_atual, SUM(($C$2:$C966="Entrada")*($F$2:$F966=Tabela_Movimentacao_Geral[[#This Row],[ID Produto]])*($H$2:$H966) - ($C$2:$C966="Saida")*($F$2:$F966=Tabela_Movimentacao_Geral[[#This Row],[ID Produto]])*($H$2:$H966)),
    IF(_xlpm.saldo_atual &gt; 0, IF(RANDBETWEEN(0,10)&gt;3,"Saida","Entrada"), "Entrada")
  ),
  Tabela_Movimentacao_Geral[[#This Row],[Tipo Fluxo]]
)</f>
        <v>Entrada</v>
      </c>
      <c r="D96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96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967" t="str">
        <f ca="1">IF(
  $O$7="Desbloqueado",
  "PROD"&amp;TEXT(RANDBETWEEN(1,200),"000"),
  Tabela_Movimentacao_Geral[[#This Row],[ID Produto]]
)</f>
        <v>PROD179</v>
      </c>
      <c r="G967" t="str">
        <f ca="1">_xlfn.XLOOKUP(Tabela_Movimentacao_Geral[[#This Row],[ID Produto]], Tabela_Produtos[ID_Produto],Tabela_Produtos[Descricao_Produto],"Produto não encontrado")</f>
        <v>Mesa de Reuniao 2.0m</v>
      </c>
      <c r="H967" cm="1">
        <f t="array" aca="1" ref="H967" ca="1">IF(
   $O$7="Desbloqueado",
   _xlfn.LET(
     _xlpm.saldo_atual, SUM(($C$2:$C966="Entrada")*($F$2:$F966=Tabela_Movimentacao_Geral[[#This Row],[ID Produto]])*($H$2:$H966) - ($C$2:$C966="Saida")*($F$2:$F966=Tabela_Movimentacao_Geral[[#This Row],[ID Produto]])*($H$2:$H966)),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967" s="5">
        <f ca="1">_xlfn.XLOOKUP(Tabela_Movimentacao_Geral[[#This Row],[ID Produto]], Tabela_Produtos[ID_Produto],Tabela_Produtos[Preco_Unitario_Venda])</f>
        <v>1800</v>
      </c>
      <c r="J967" s="6">
        <f ca="1">Tabela_Movimentacao_Geral[[#This Row],[Quantidade]] * Tabela_Movimentacao_Geral[[#This Row],[Valor Unitário]]</f>
        <v>25200</v>
      </c>
      <c r="K967" t="str">
        <f ca="1">IF(
   $O$7="Desbloqueado",
   CHOOSE(RANDBETWEEN(1,3),"Pago","Pendente","Atrasado"),
   Tabela_Movimentacao_Geral[[#This Row],[Status Financeiro]]
)</f>
        <v>Atrasado</v>
      </c>
      <c r="L967" t="str">
        <f ca="1">IF(
   $O$7="Desbloqueado",
   CHOOSE(RANDBETWEEN(1,3),"Entregue","Em Rota","Aguardando"),
   Tabela_Movimentacao_Geral[[#This Row],[Status Logistico]]
)</f>
        <v>Aguardando</v>
      </c>
      <c r="M96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46122</v>
      </c>
    </row>
    <row r="968" spans="1:13" x14ac:dyDescent="0.3">
      <c r="A968" t="str">
        <f t="shared" si="14"/>
        <v>T0967</v>
      </c>
      <c r="B968" s="1">
        <v>46121</v>
      </c>
      <c r="C968" t="str" cm="1">
        <f t="array" aca="1" ref="C968" ca="1">IF($O$7="Desbloqueado",
  _xlfn.LET(
    _xlpm.saldo_atual, SUM(($C$2:$C967="Entrada")*($F$2:$F967=Tabela_Movimentacao_Geral[[#This Row],[ID Produto]])*($H$2:$H967) - ($C$2:$C967="Saida")*($F$2:$F967=Tabela_Movimentacao_Geral[[#This Row],[ID Produto]])*($H$2:$H967)),
    IF(_xlpm.saldo_atual &gt; 0, IF(RANDBETWEEN(0,10)&gt;3,"Saida","Entrada"), "Entrada")
  ),
  Tabela_Movimentacao_Geral[[#This Row],[Tipo Fluxo]]
)</f>
        <v>Saida</v>
      </c>
      <c r="D96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96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968" t="str">
        <f ca="1">IF(
  $O$7="Desbloqueado",
  "PROD"&amp;TEXT(RANDBETWEEN(1,200),"000"),
  Tabela_Movimentacao_Geral[[#This Row],[ID Produto]]
)</f>
        <v>PROD007</v>
      </c>
      <c r="G968" t="str">
        <f ca="1">_xlfn.XLOOKUP(Tabela_Movimentacao_Geral[[#This Row],[ID Produto]], Tabela_Produtos[ID_Produto],Tabela_Produtos[Descricao_Produto],"Produto não encontrado")</f>
        <v>Impressora Laser Color</v>
      </c>
      <c r="H968" cm="1">
        <f t="array" aca="1" ref="H968" ca="1">IF(
   $O$7="Desbloqueado",
   _xlfn.LET(
     _xlpm.saldo_atual, SUM(($C$2:$C967="Entrada")*($F$2:$F967=Tabela_Movimentacao_Geral[[#This Row],[ID Produto]])*($H$2:$H967) - ($C$2:$C967="Saida")*($F$2:$F967=Tabela_Movimentacao_Geral[[#This Row],[ID Produto]])*($H$2:$H967)),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968" s="5">
        <f ca="1">_xlfn.XLOOKUP(Tabela_Movimentacao_Geral[[#This Row],[ID Produto]], Tabela_Produtos[ID_Produto],Tabela_Produtos[Preco_Unitario_Venda])</f>
        <v>1800</v>
      </c>
      <c r="J968" s="6">
        <f ca="1">Tabela_Movimentacao_Geral[[#This Row],[Quantidade]] * Tabela_Movimentacao_Geral[[#This Row],[Valor Unitário]]</f>
        <v>3600</v>
      </c>
      <c r="K968" t="str">
        <f ca="1">IF(
   $O$7="Desbloqueado",
   CHOOSE(RANDBETWEEN(1,3),"Pago","Pendente","Atrasado"),
   Tabela_Movimentacao_Geral[[#This Row],[Status Financeiro]]
)</f>
        <v>Pago</v>
      </c>
      <c r="L968" t="str">
        <f ca="1">IF(
   $O$7="Desbloqueado",
   CHOOSE(RANDBETWEEN(1,3),"Entregue","Em Rota","Aguardando"),
   Tabela_Movimentacao_Geral[[#This Row],[Status Logistico]]
)</f>
        <v>Aguardando</v>
      </c>
      <c r="M96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69" spans="1:13" x14ac:dyDescent="0.3">
      <c r="A969" t="str">
        <f t="shared" si="14"/>
        <v>T0968</v>
      </c>
      <c r="B969" s="1">
        <v>46122</v>
      </c>
      <c r="C969" t="str" cm="1">
        <f t="array" aca="1" ref="C969" ca="1">IF($O$7="Desbloqueado",
  _xlfn.LET(
    _xlpm.saldo_atual, SUM(($C$2:$C968="Entrada")*($F$2:$F968=Tabela_Movimentacao_Geral[[#This Row],[ID Produto]])*($H$2:$H968) - ($C$2:$C968="Saida")*($F$2:$F968=Tabela_Movimentacao_Geral[[#This Row],[ID Produto]])*($H$2:$H968)),
    IF(_xlpm.saldo_atual &gt; 0, IF(RANDBETWEEN(0,10)&gt;3,"Saida","Entrada"), "Entrada")
  ),
  Tabela_Movimentacao_Geral[[#This Row],[Tipo Fluxo]]
)</f>
        <v>Saida</v>
      </c>
      <c r="D96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CLI008</v>
      </c>
      <c r="E96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Supermercado Sol</v>
      </c>
      <c r="F969" t="str">
        <f ca="1">IF(
  $O$7="Desbloqueado",
  "PROD"&amp;TEXT(RANDBETWEEN(1,200),"000"),
  Tabela_Movimentacao_Geral[[#This Row],[ID Produto]]
)</f>
        <v>PROD039</v>
      </c>
      <c r="G969" t="str">
        <f ca="1">_xlfn.XLOOKUP(Tabela_Movimentacao_Geral[[#This Row],[ID Produto]], Tabela_Produtos[ID_Produto],Tabela_Produtos[Descricao_Produto],"Produto não encontrado")</f>
        <v>Pasta Termica High Silver</v>
      </c>
      <c r="H969" cm="1">
        <f t="array" aca="1" ref="H969" ca="1">IF(
   $O$7="Desbloqueado",
   _xlfn.LET(
     _xlpm.saldo_atual, SUM(($C$2:$C968="Entrada")*($F$2:$F968=Tabela_Movimentacao_Geral[[#This Row],[ID Produto]])*($H$2:$H968) - ($C$2:$C968="Saida")*($F$2:$F968=Tabela_Movimentacao_Geral[[#This Row],[ID Produto]])*($H$2:$H968)),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969" s="5">
        <f ca="1">_xlfn.XLOOKUP(Tabela_Movimentacao_Geral[[#This Row],[ID Produto]], Tabela_Produtos[ID_Produto],Tabela_Produtos[Preco_Unitario_Venda])</f>
        <v>40</v>
      </c>
      <c r="J969" s="6">
        <f ca="1">Tabela_Movimentacao_Geral[[#This Row],[Quantidade]] * Tabela_Movimentacao_Geral[[#This Row],[Valor Unitário]]</f>
        <v>2360</v>
      </c>
      <c r="K969" t="str">
        <f ca="1">IF(
   $O$7="Desbloqueado",
   CHOOSE(RANDBETWEEN(1,3),"Pago","Pendente","Atrasado"),
   Tabela_Movimentacao_Geral[[#This Row],[Status Financeiro]]
)</f>
        <v>Pago</v>
      </c>
      <c r="L969" t="str">
        <f ca="1">IF(
   $O$7="Desbloqueado",
   CHOOSE(RANDBETWEEN(1,3),"Entregue","Em Rota","Aguardando"),
   Tabela_Movimentacao_Geral[[#This Row],[Status Logistico]]
)</f>
        <v>Em Rota</v>
      </c>
      <c r="M96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0" spans="1:13" x14ac:dyDescent="0.3">
      <c r="A970" t="str">
        <f t="shared" si="14"/>
        <v>T0969</v>
      </c>
      <c r="B970" s="1">
        <v>46122</v>
      </c>
      <c r="C970" t="str" cm="1">
        <f t="array" aca="1" ref="C970" ca="1">IF($O$7="Desbloqueado",
  _xlfn.LET(
    _xlpm.saldo_atual, SUM(($C$2:$C969="Entrada")*($F$2:$F969=Tabela_Movimentacao_Geral[[#This Row],[ID Produto]])*($H$2:$H969) - ($C$2:$C969="Saida")*($F$2:$F969=Tabela_Movimentacao_Geral[[#This Row],[ID Produto]])*($H$2:$H969)),
    IF(_xlpm.saldo_atual &gt; 0, IF(RANDBETWEEN(0,10)&gt;3,"Saida","Entrada"), "Entrada")
  ),
  Tabela_Movimentacao_Geral[[#This Row],[Tipo Fluxo]]
)</f>
        <v>Saida</v>
      </c>
      <c r="D97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97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970" t="str">
        <f ca="1">IF(
  $O$7="Desbloqueado",
  "PROD"&amp;TEXT(RANDBETWEEN(1,200),"000"),
  Tabela_Movimentacao_Geral[[#This Row],[ID Produto]]
)</f>
        <v>PROD150</v>
      </c>
      <c r="G970" t="str">
        <f ca="1">_xlfn.XLOOKUP(Tabela_Movimentacao_Geral[[#This Row],[ID Produto]], Tabela_Produtos[ID_Produto],Tabela_Produtos[Descricao_Produto],"Produto não encontrado")</f>
        <v>Lanterna de Led Inspeção</v>
      </c>
      <c r="H970" cm="1">
        <f t="array" aca="1" ref="H970" ca="1">IF(
   $O$7="Desbloqueado",
   _xlfn.LET(
     _xlpm.saldo_atual, SUM(($C$2:$C969="Entrada")*($F$2:$F969=Tabela_Movimentacao_Geral[[#This Row],[ID Produto]])*($H$2:$H969) - ($C$2:$C969="Saida")*($F$2:$F969=Tabela_Movimentacao_Geral[[#This Row],[ID Produto]])*($H$2:$H969)),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</v>
      </c>
      <c r="I970" s="5">
        <f ca="1">_xlfn.XLOOKUP(Tabela_Movimentacao_Geral[[#This Row],[ID Produto]], Tabela_Produtos[ID_Produto],Tabela_Produtos[Preco_Unitario_Venda])</f>
        <v>55</v>
      </c>
      <c r="J970" s="6">
        <f ca="1">Tabela_Movimentacao_Geral[[#This Row],[Quantidade]] * Tabela_Movimentacao_Geral[[#This Row],[Valor Unitário]]</f>
        <v>825</v>
      </c>
      <c r="K970" t="str">
        <f ca="1">IF(
   $O$7="Desbloqueado",
   CHOOSE(RANDBETWEEN(1,3),"Pago","Pendente","Atrasado"),
   Tabela_Movimentacao_Geral[[#This Row],[Status Financeiro]]
)</f>
        <v>Atrasado</v>
      </c>
      <c r="L970" t="str">
        <f ca="1">IF(
   $O$7="Desbloqueado",
   CHOOSE(RANDBETWEEN(1,3),"Entregue","Em Rota","Aguardando"),
   Tabela_Movimentacao_Geral[[#This Row],[Status Logistico]]
)</f>
        <v>Em Rota</v>
      </c>
      <c r="M97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1" spans="1:13" x14ac:dyDescent="0.3">
      <c r="A971" t="str">
        <f t="shared" si="14"/>
        <v>T0970</v>
      </c>
      <c r="B971" s="1">
        <v>46122</v>
      </c>
      <c r="C971" t="str" cm="1">
        <f t="array" aca="1" ref="C971" ca="1">IF($O$7="Desbloqueado",
  _xlfn.LET(
    _xlpm.saldo_atual, SUM(($C$2:$C970="Entrada")*($F$2:$F970=Tabela_Movimentacao_Geral[[#This Row],[ID Produto]])*($H$2:$H970) - ($C$2:$C970="Saida")*($F$2:$F970=Tabela_Movimentacao_Geral[[#This Row],[ID Produto]])*($H$2:$H970)),
    IF(_xlpm.saldo_atual &gt; 0, IF(RANDBETWEEN(0,10)&gt;3,"Saida","Entrada"), "Entrada")
  ),
  Tabela_Movimentacao_Geral[[#This Row],[Tipo Fluxo]]
)</f>
        <v>Entrada</v>
      </c>
      <c r="D97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97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971" t="str">
        <f ca="1">IF(
  $O$7="Desbloqueado",
  "PROD"&amp;TEXT(RANDBETWEEN(1,200),"000"),
  Tabela_Movimentacao_Geral[[#This Row],[ID Produto]]
)</f>
        <v>PROD168</v>
      </c>
      <c r="G971" t="str">
        <f ca="1">_xlfn.XLOOKUP(Tabela_Movimentacao_Geral[[#This Row],[ID Produto]], Tabela_Produtos[ID_Produto],Tabela_Produtos[Descricao_Produto],"Produto não encontrado")</f>
        <v>Pasta Catalogo 50 Envelopes</v>
      </c>
      <c r="H971" cm="1">
        <f t="array" aca="1" ref="H971" ca="1">IF(
   $O$7="Desbloqueado",
   _xlfn.LET(
     _xlpm.saldo_atual, SUM(($C$2:$C970="Entrada")*($F$2:$F970=Tabela_Movimentacao_Geral[[#This Row],[ID Produto]])*($H$2:$H970) - ($C$2:$C970="Saida")*($F$2:$F970=Tabela_Movimentacao_Geral[[#This Row],[ID Produto]])*($H$2:$H970)),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971" s="5">
        <f ca="1">_xlfn.XLOOKUP(Tabela_Movimentacao_Geral[[#This Row],[ID Produto]], Tabela_Produtos[ID_Produto],Tabela_Produtos[Preco_Unitario_Venda])</f>
        <v>45</v>
      </c>
      <c r="J971" s="6">
        <f ca="1">Tabela_Movimentacao_Geral[[#This Row],[Quantidade]] * Tabela_Movimentacao_Geral[[#This Row],[Valor Unitário]]</f>
        <v>2655</v>
      </c>
      <c r="K971" t="str">
        <f ca="1">IF(
   $O$7="Desbloqueado",
   CHOOSE(RANDBETWEEN(1,3),"Pago","Pendente","Atrasado"),
   Tabela_Movimentacao_Geral[[#This Row],[Status Financeiro]]
)</f>
        <v>Atrasado</v>
      </c>
      <c r="L971" t="str">
        <f ca="1">IF(
   $O$7="Desbloqueado",
   CHOOSE(RANDBETWEEN(1,3),"Entregue","Em Rota","Aguardando"),
   Tabela_Movimentacao_Geral[[#This Row],[Status Logistico]]
)</f>
        <v>Em Rota</v>
      </c>
      <c r="M97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46123</v>
      </c>
    </row>
    <row r="972" spans="1:13" x14ac:dyDescent="0.3">
      <c r="A972" t="str">
        <f t="shared" si="14"/>
        <v>T0971</v>
      </c>
      <c r="B972" s="1">
        <v>46122</v>
      </c>
      <c r="C972" t="str" cm="1">
        <f t="array" aca="1" ref="C972" ca="1">IF($O$7="Desbloqueado",
  _xlfn.LET(
    _xlpm.saldo_atual, SUM(($C$2:$C971="Entrada")*($F$2:$F971=Tabela_Movimentacao_Geral[[#This Row],[ID Produto]])*($H$2:$H971) - ($C$2:$C971="Saida")*($F$2:$F971=Tabela_Movimentacao_Geral[[#This Row],[ID Produto]])*($H$2:$H971)),
    IF(_xlpm.saldo_atual &gt; 0, IF(RANDBETWEEN(0,10)&gt;3,"Saida","Entrada"), "Entrada")
  ),
  Tabela_Movimentacao_Geral[[#This Row],[Tipo Fluxo]]
)</f>
        <v>Saida</v>
      </c>
      <c r="D97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97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972" t="str">
        <f ca="1">IF(
  $O$7="Desbloqueado",
  "PROD"&amp;TEXT(RANDBETWEEN(1,200),"000"),
  Tabela_Movimentacao_Geral[[#This Row],[ID Produto]]
)</f>
        <v>PROD090</v>
      </c>
      <c r="G972" t="str">
        <f ca="1">_xlfn.XLOOKUP(Tabela_Movimentacao_Geral[[#This Row],[ID Produto]], Tabela_Produtos[ID_Produto],Tabela_Produtos[Descricao_Produto],"Produto não encontrado")</f>
        <v>Bandeja Fixa para Rack</v>
      </c>
      <c r="H972" cm="1">
        <f t="array" aca="1" ref="H972" ca="1">IF(
   $O$7="Desbloqueado",
   _xlfn.LET(
     _xlpm.saldo_atual, SUM(($C$2:$C971="Entrada")*($F$2:$F971=Tabela_Movimentacao_Geral[[#This Row],[ID Produto]])*($H$2:$H971) - ($C$2:$C971="Saida")*($F$2:$F971=Tabela_Movimentacao_Geral[[#This Row],[ID Produto]])*($H$2:$H971)),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972" s="5">
        <f ca="1">_xlfn.XLOOKUP(Tabela_Movimentacao_Geral[[#This Row],[ID Produto]], Tabela_Produtos[ID_Produto],Tabela_Produtos[Preco_Unitario_Venda])</f>
        <v>140</v>
      </c>
      <c r="J972" s="6">
        <f ca="1">Tabela_Movimentacao_Geral[[#This Row],[Quantidade]] * Tabela_Movimentacao_Geral[[#This Row],[Valor Unitário]]</f>
        <v>1680</v>
      </c>
      <c r="K972" t="str">
        <f ca="1">IF(
   $O$7="Desbloqueado",
   CHOOSE(RANDBETWEEN(1,3),"Pago","Pendente","Atrasado"),
   Tabela_Movimentacao_Geral[[#This Row],[Status Financeiro]]
)</f>
        <v>Pago</v>
      </c>
      <c r="L972" t="str">
        <f ca="1">IF(
   $O$7="Desbloqueado",
   CHOOSE(RANDBETWEEN(1,3),"Entregue","Em Rota","Aguardando"),
   Tabela_Movimentacao_Geral[[#This Row],[Status Logistico]]
)</f>
        <v>Entregue</v>
      </c>
      <c r="M97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3" spans="1:13" x14ac:dyDescent="0.3">
      <c r="A973" t="str">
        <f t="shared" si="14"/>
        <v>T0972</v>
      </c>
      <c r="B973" s="1">
        <v>46122</v>
      </c>
      <c r="C973" t="str" cm="1">
        <f t="array" aca="1" ref="C973" ca="1">IF($O$7="Desbloqueado",
  _xlfn.LET(
    _xlpm.saldo_atual, SUM(($C$2:$C972="Entrada")*($F$2:$F972=Tabela_Movimentacao_Geral[[#This Row],[ID Produto]])*($H$2:$H972) - ($C$2:$C972="Saida")*($F$2:$F972=Tabela_Movimentacao_Geral[[#This Row],[ID Produto]])*($H$2:$H972)),
    IF(_xlpm.saldo_atual &gt; 0, IF(RANDBETWEEN(0,10)&gt;3,"Saida","Entrada"), "Entrada")
  ),
  Tabela_Movimentacao_Geral[[#This Row],[Tipo Fluxo]]
)</f>
        <v>Saida</v>
      </c>
      <c r="D97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97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973" t="str">
        <f ca="1">IF(
  $O$7="Desbloqueado",
  "PROD"&amp;TEXT(RANDBETWEEN(1,200),"000"),
  Tabela_Movimentacao_Geral[[#This Row],[ID Produto]]
)</f>
        <v>PROD036</v>
      </c>
      <c r="G973" t="str">
        <f ca="1">_xlfn.XLOOKUP(Tabela_Movimentacao_Geral[[#This Row],[ID Produto]], Tabela_Produtos[ID_Produto],Tabela_Produtos[Descricao_Produto],"Produto não encontrado")</f>
        <v>Mini PC Industrial i3</v>
      </c>
      <c r="H973" cm="1">
        <f t="array" aca="1" ref="H973" ca="1">IF(
   $O$7="Desbloqueado",
   _xlfn.LET(
     _xlpm.saldo_atual, SUM(($C$2:$C972="Entrada")*($F$2:$F972=Tabela_Movimentacao_Geral[[#This Row],[ID Produto]])*($H$2:$H972) - ($C$2:$C972="Saida")*($F$2:$F972=Tabela_Movimentacao_Geral[[#This Row],[ID Produto]])*($H$2:$H972)),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16</v>
      </c>
      <c r="I973" s="5">
        <f ca="1">_xlfn.XLOOKUP(Tabela_Movimentacao_Geral[[#This Row],[ID Produto]], Tabela_Produtos[ID_Produto],Tabela_Produtos[Preco_Unitario_Venda])</f>
        <v>2100</v>
      </c>
      <c r="J973" s="6">
        <f ca="1">Tabela_Movimentacao_Geral[[#This Row],[Quantidade]] * Tabela_Movimentacao_Geral[[#This Row],[Valor Unitário]]</f>
        <v>33600</v>
      </c>
      <c r="K973" t="str">
        <f ca="1">IF(
   $O$7="Desbloqueado",
   CHOOSE(RANDBETWEEN(1,3),"Pago","Pendente","Atrasado"),
   Tabela_Movimentacao_Geral[[#This Row],[Status Financeiro]]
)</f>
        <v>Atrasado</v>
      </c>
      <c r="L973" t="str">
        <f ca="1">IF(
   $O$7="Desbloqueado",
   CHOOSE(RANDBETWEEN(1,3),"Entregue","Em Rota","Aguardando"),
   Tabela_Movimentacao_Geral[[#This Row],[Status Logistico]]
)</f>
        <v>Aguardando</v>
      </c>
      <c r="M97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4" spans="1:13" x14ac:dyDescent="0.3">
      <c r="A974" t="str">
        <f t="shared" si="14"/>
        <v>T0973</v>
      </c>
      <c r="B974" s="1">
        <v>46123</v>
      </c>
      <c r="C974" t="str" cm="1">
        <f t="array" aca="1" ref="C974" ca="1">IF($O$7="Desbloqueado",
  _xlfn.LET(
    _xlpm.saldo_atual, SUM(($C$2:$C973="Entrada")*($F$2:$F973=Tabela_Movimentacao_Geral[[#This Row],[ID Produto]])*($H$2:$H973) - ($C$2:$C973="Saida")*($F$2:$F973=Tabela_Movimentacao_Geral[[#This Row],[ID Produto]])*($H$2:$H973)),
    IF(_xlpm.saldo_atual &gt; 0, IF(RANDBETWEEN(0,10)&gt;3,"Saida","Entrada"), "Entrada")
  ),
  Tabela_Movimentacao_Geral[[#This Row],[Tipo Fluxo]]
)</f>
        <v>Saida</v>
      </c>
      <c r="D97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CLI020</v>
      </c>
      <c r="E97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Oficina Mecanica</v>
      </c>
      <c r="F974" t="str">
        <f ca="1">IF(
  $O$7="Desbloqueado",
  "PROD"&amp;TEXT(RANDBETWEEN(1,200),"000"),
  Tabela_Movimentacao_Geral[[#This Row],[ID Produto]]
)</f>
        <v>PROD073</v>
      </c>
      <c r="G974" t="str">
        <f ca="1">_xlfn.XLOOKUP(Tabela_Movimentacao_Geral[[#This Row],[ID Produto]], Tabela_Produtos[ID_Produto],Tabela_Produtos[Descricao_Produto],"Produto não encontrado")</f>
        <v>Cracha de Identificacao</v>
      </c>
      <c r="H974" cm="1">
        <f t="array" aca="1" ref="H974" ca="1">IF(
   $O$7="Desbloqueado",
   _xlfn.LET(
     _xlpm.saldo_atual, SUM(($C$2:$C973="Entrada")*($F$2:$F973=Tabela_Movimentacao_Geral[[#This Row],[ID Produto]])*($H$2:$H973) - ($C$2:$C973="Saida")*($F$2:$F973=Tabela_Movimentacao_Geral[[#This Row],[ID Produto]])*($H$2:$H973)),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65</v>
      </c>
      <c r="I974" s="5">
        <f ca="1">_xlfn.XLOOKUP(Tabela_Movimentacao_Geral[[#This Row],[ID Produto]], Tabela_Produtos[ID_Produto],Tabela_Produtos[Preco_Unitario_Venda])</f>
        <v>2.5</v>
      </c>
      <c r="J974" s="6">
        <f ca="1">Tabela_Movimentacao_Geral[[#This Row],[Quantidade]] * Tabela_Movimentacao_Geral[[#This Row],[Valor Unitário]]</f>
        <v>162.5</v>
      </c>
      <c r="K974" t="str">
        <f ca="1">IF(
   $O$7="Desbloqueado",
   CHOOSE(RANDBETWEEN(1,3),"Pago","Pendente","Atrasado"),
   Tabela_Movimentacao_Geral[[#This Row],[Status Financeiro]]
)</f>
        <v>Atrasado</v>
      </c>
      <c r="L974" t="str">
        <f ca="1">IF(
   $O$7="Desbloqueado",
   CHOOSE(RANDBETWEEN(1,3),"Entregue","Em Rota","Aguardando"),
   Tabela_Movimentacao_Geral[[#This Row],[Status Logistico]]
)</f>
        <v>Entregue</v>
      </c>
      <c r="M97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5" spans="1:13" x14ac:dyDescent="0.3">
      <c r="A975" t="str">
        <f t="shared" si="14"/>
        <v>T0974</v>
      </c>
      <c r="B975" s="1">
        <v>46124</v>
      </c>
      <c r="C975" t="str" cm="1">
        <f t="array" aca="1" ref="C975" ca="1">IF($O$7="Desbloqueado",
  _xlfn.LET(
    _xlpm.saldo_atual, SUM(($C$2:$C974="Entrada")*($F$2:$F974=Tabela_Movimentacao_Geral[[#This Row],[ID Produto]])*($H$2:$H974) - ($C$2:$C974="Saida")*($F$2:$F974=Tabela_Movimentacao_Geral[[#This Row],[ID Produto]])*($H$2:$H974)),
    IF(_xlpm.saldo_atual &gt; 0, IF(RANDBETWEEN(0,10)&gt;3,"Saida","Entrada"), "Entrada")
  ),
  Tabela_Movimentacao_Geral[[#This Row],[Tipo Fluxo]]
)</f>
        <v>Saida</v>
      </c>
      <c r="D97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97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975" t="str">
        <f ca="1">IF(
  $O$7="Desbloqueado",
  "PROD"&amp;TEXT(RANDBETWEEN(1,200),"000"),
  Tabela_Movimentacao_Geral[[#This Row],[ID Produto]]
)</f>
        <v>PROD168</v>
      </c>
      <c r="G975" t="str">
        <f ca="1">_xlfn.XLOOKUP(Tabela_Movimentacao_Geral[[#This Row],[ID Produto]], Tabela_Produtos[ID_Produto],Tabela_Produtos[Descricao_Produto],"Produto não encontrado")</f>
        <v>Pasta Catalogo 50 Envelopes</v>
      </c>
      <c r="H975" cm="1">
        <f t="array" aca="1" ref="H975" ca="1">IF(
   $O$7="Desbloqueado",
   _xlfn.LET(
     _xlpm.saldo_atual, SUM(($C$2:$C974="Entrada")*($F$2:$F974=Tabela_Movimentacao_Geral[[#This Row],[ID Produto]])*($H$2:$H974) - ($C$2:$C974="Saida")*($F$2:$F974=Tabela_Movimentacao_Geral[[#This Row],[ID Produto]])*($H$2:$H974)),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38</v>
      </c>
      <c r="I975" s="5">
        <f ca="1">_xlfn.XLOOKUP(Tabela_Movimentacao_Geral[[#This Row],[ID Produto]], Tabela_Produtos[ID_Produto],Tabela_Produtos[Preco_Unitario_Venda])</f>
        <v>45</v>
      </c>
      <c r="J975" s="6">
        <f ca="1">Tabela_Movimentacao_Geral[[#This Row],[Quantidade]] * Tabela_Movimentacao_Geral[[#This Row],[Valor Unitário]]</f>
        <v>1710</v>
      </c>
      <c r="K975" t="str">
        <f ca="1">IF(
   $O$7="Desbloqueado",
   CHOOSE(RANDBETWEEN(1,3),"Pago","Pendente","Atrasado"),
   Tabela_Movimentacao_Geral[[#This Row],[Status Financeiro]]
)</f>
        <v>Pendente</v>
      </c>
      <c r="L975" t="str">
        <f ca="1">IF(
   $O$7="Desbloqueado",
   CHOOSE(RANDBETWEEN(1,3),"Entregue","Em Rota","Aguardando"),
   Tabela_Movimentacao_Geral[[#This Row],[Status Logistico]]
)</f>
        <v>Aguardando</v>
      </c>
      <c r="M97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6" spans="1:13" x14ac:dyDescent="0.3">
      <c r="A976" t="str">
        <f t="shared" si="14"/>
        <v>T0975</v>
      </c>
      <c r="B976" s="1">
        <v>46125</v>
      </c>
      <c r="C976" t="str" cm="1">
        <f t="array" aca="1" ref="C976" ca="1">IF($O$7="Desbloqueado",
  _xlfn.LET(
    _xlpm.saldo_atual, SUM(($C$2:$C975="Entrada")*($F$2:$F975=Tabela_Movimentacao_Geral[[#This Row],[ID Produto]])*($H$2:$H975) - ($C$2:$C975="Saida")*($F$2:$F975=Tabela_Movimentacao_Geral[[#This Row],[ID Produto]])*($H$2:$H975)),
    IF(_xlpm.saldo_atual &gt; 0, IF(RANDBETWEEN(0,10)&gt;3,"Saida","Entrada"), "Entrada")
  ),
  Tabela_Movimentacao_Geral[[#This Row],[Tipo Fluxo]]
)</f>
        <v>Saida</v>
      </c>
      <c r="D97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97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976" t="str">
        <f ca="1">IF(
  $O$7="Desbloqueado",
  "PROD"&amp;TEXT(RANDBETWEEN(1,200),"000"),
  Tabela_Movimentacao_Geral[[#This Row],[ID Produto]]
)</f>
        <v>PROD136</v>
      </c>
      <c r="G976" t="str">
        <f ca="1">_xlfn.XLOOKUP(Tabela_Movimentacao_Geral[[#This Row],[ID Produto]], Tabela_Produtos[ID_Produto],Tabela_Produtos[Descricao_Produto],"Produto não encontrado")</f>
        <v>Gabinete ATX Mid Tower</v>
      </c>
      <c r="H976" cm="1">
        <f t="array" aca="1" ref="H976" ca="1">IF(
   $O$7="Desbloqueado",
   _xlfn.LET(
     _xlpm.saldo_atual, SUM(($C$2:$C975="Entrada")*($F$2:$F975=Tabela_Movimentacao_Geral[[#This Row],[ID Produto]])*($H$2:$H975) - ($C$2:$C975="Saida")*($F$2:$F975=Tabela_Movimentacao_Geral[[#This Row],[ID Produto]])*($H$2:$H975)),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88</v>
      </c>
      <c r="I976" s="5">
        <f ca="1">_xlfn.XLOOKUP(Tabela_Movimentacao_Geral[[#This Row],[ID Produto]], Tabela_Produtos[ID_Produto],Tabela_Produtos[Preco_Unitario_Venda])</f>
        <v>350</v>
      </c>
      <c r="J976" s="6">
        <f ca="1">Tabela_Movimentacao_Geral[[#This Row],[Quantidade]] * Tabela_Movimentacao_Geral[[#This Row],[Valor Unitário]]</f>
        <v>30800</v>
      </c>
      <c r="K976" t="str">
        <f ca="1">IF(
   $O$7="Desbloqueado",
   CHOOSE(RANDBETWEEN(1,3),"Pago","Pendente","Atrasado"),
   Tabela_Movimentacao_Geral[[#This Row],[Status Financeiro]]
)</f>
        <v>Pago</v>
      </c>
      <c r="L976" t="str">
        <f ca="1">IF(
   $O$7="Desbloqueado",
   CHOOSE(RANDBETWEEN(1,3),"Entregue","Em Rota","Aguardando"),
   Tabela_Movimentacao_Geral[[#This Row],[Status Logistico]]
)</f>
        <v>Entregue</v>
      </c>
      <c r="M97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7" spans="1:13" x14ac:dyDescent="0.3">
      <c r="A977" t="str">
        <f t="shared" si="14"/>
        <v>T0976</v>
      </c>
      <c r="B977" s="1">
        <v>46125</v>
      </c>
      <c r="C977" t="str" cm="1">
        <f t="array" aca="1" ref="C977" ca="1">IF($O$7="Desbloqueado",
  _xlfn.LET(
    _xlpm.saldo_atual, SUM(($C$2:$C976="Entrada")*($F$2:$F976=Tabela_Movimentacao_Geral[[#This Row],[ID Produto]])*($H$2:$H976) - ($C$2:$C976="Saida")*($F$2:$F976=Tabela_Movimentacao_Geral[[#This Row],[ID Produto]])*($H$2:$H976)),
    IF(_xlpm.saldo_atual &gt; 0, IF(RANDBETWEEN(0,10)&gt;3,"Saida","Entrada"), "Entrada")
  ),
  Tabela_Movimentacao_Geral[[#This Row],[Tipo Fluxo]]
)</f>
        <v>Saida</v>
      </c>
      <c r="D97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97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977" t="str">
        <f ca="1">IF(
  $O$7="Desbloqueado",
  "PROD"&amp;TEXT(RANDBETWEEN(1,200),"000"),
  Tabela_Movimentacao_Geral[[#This Row],[ID Produto]]
)</f>
        <v>PROD177</v>
      </c>
      <c r="G977" t="str">
        <f ca="1">_xlfn.XLOOKUP(Tabela_Movimentacao_Geral[[#This Row],[ID Produto]], Tabela_Produtos[ID_Produto],Tabela_Produtos[Descricao_Produto],"Produto não encontrado")</f>
        <v>Estante de Aco 6 Prateiras</v>
      </c>
      <c r="H977" cm="1">
        <f t="array" aca="1" ref="H977" ca="1">IF(
   $O$7="Desbloqueado",
   _xlfn.LET(
     _xlpm.saldo_atual, SUM(($C$2:$C976="Entrada")*($F$2:$F976=Tabela_Movimentacao_Geral[[#This Row],[ID Produto]])*($H$2:$H976) - ($C$2:$C976="Saida")*($F$2:$F976=Tabela_Movimentacao_Geral[[#This Row],[ID Produto]])*($H$2:$H976)),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977" s="5">
        <f ca="1">_xlfn.XLOOKUP(Tabela_Movimentacao_Geral[[#This Row],[ID Produto]], Tabela_Produtos[ID_Produto],Tabela_Produtos[Preco_Unitario_Venda])</f>
        <v>280</v>
      </c>
      <c r="J977" s="6">
        <f ca="1">Tabela_Movimentacao_Geral[[#This Row],[Quantidade]] * Tabela_Movimentacao_Geral[[#This Row],[Valor Unitário]]</f>
        <v>560</v>
      </c>
      <c r="K977" t="str">
        <f ca="1">IF(
   $O$7="Desbloqueado",
   CHOOSE(RANDBETWEEN(1,3),"Pago","Pendente","Atrasado"),
   Tabela_Movimentacao_Geral[[#This Row],[Status Financeiro]]
)</f>
        <v>Pago</v>
      </c>
      <c r="L977" t="str">
        <f ca="1">IF(
   $O$7="Desbloqueado",
   CHOOSE(RANDBETWEEN(1,3),"Entregue","Em Rota","Aguardando"),
   Tabela_Movimentacao_Geral[[#This Row],[Status Logistico]]
)</f>
        <v>Entregue</v>
      </c>
      <c r="M97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78" spans="1:13" x14ac:dyDescent="0.3">
      <c r="A978" t="str">
        <f t="shared" si="14"/>
        <v>T0977</v>
      </c>
      <c r="B978" s="1">
        <v>46126</v>
      </c>
      <c r="C978" t="str" cm="1">
        <f t="array" aca="1" ref="C978" ca="1">IF($O$7="Desbloqueado",
  _xlfn.LET(
    _xlpm.saldo_atual, SUM(($C$2:$C977="Entrada")*($F$2:$F977=Tabela_Movimentacao_Geral[[#This Row],[ID Produto]])*($H$2:$H977) - ($C$2:$C977="Saida")*($F$2:$F977=Tabela_Movimentacao_Geral[[#This Row],[ID Produto]])*($H$2:$H977)),
    IF(_xlpm.saldo_atual &gt; 0, IF(RANDBETWEEN(0,10)&gt;3,"Saida","Entrada"), "Entrada")
  ),
  Tabela_Movimentacao_Geral[[#This Row],[Tipo Fluxo]]
)</f>
        <v>Entrada</v>
      </c>
      <c r="D97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FORN006</v>
      </c>
      <c r="E97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Papelaria Central</v>
      </c>
      <c r="F978" t="str">
        <f ca="1">IF(
  $O$7="Desbloqueado",
  "PROD"&amp;TEXT(RANDBETWEEN(1,200),"000"),
  Tabela_Movimentacao_Geral[[#This Row],[ID Produto]]
)</f>
        <v>PROD166</v>
      </c>
      <c r="G978" t="str">
        <f ca="1">_xlfn.XLOOKUP(Tabela_Movimentacao_Geral[[#This Row],[ID Produto]], Tabela_Produtos[ID_Produto],Tabela_Produtos[Descricao_Produto],"Produto não encontrado")</f>
        <v>Tinta para Carimbo 30ml</v>
      </c>
      <c r="H978" cm="1">
        <f t="array" aca="1" ref="H978" ca="1">IF(
   $O$7="Desbloqueado",
   _xlfn.LET(
     _xlpm.saldo_atual, SUM(($C$2:$C977="Entrada")*($F$2:$F977=Tabela_Movimentacao_Geral[[#This Row],[ID Produto]])*($H$2:$H977) - ($C$2:$C977="Saida")*($F$2:$F977=Tabela_Movimentacao_Geral[[#This Row],[ID Produto]])*($H$2:$H977)),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978" s="5">
        <f ca="1">_xlfn.XLOOKUP(Tabela_Movimentacao_Geral[[#This Row],[ID Produto]], Tabela_Produtos[ID_Produto],Tabela_Produtos[Preco_Unitario_Venda])</f>
        <v>12</v>
      </c>
      <c r="J978" s="6">
        <f ca="1">Tabela_Movimentacao_Geral[[#This Row],[Quantidade]] * Tabela_Movimentacao_Geral[[#This Row],[Valor Unitário]]</f>
        <v>72</v>
      </c>
      <c r="K978" t="str">
        <f ca="1">IF(
   $O$7="Desbloqueado",
   CHOOSE(RANDBETWEEN(1,3),"Pago","Pendente","Atrasado"),
   Tabela_Movimentacao_Geral[[#This Row],[Status Financeiro]]
)</f>
        <v>Pendente</v>
      </c>
      <c r="L978" t="str">
        <f ca="1">IF(
   $O$7="Desbloqueado",
   CHOOSE(RANDBETWEEN(1,3),"Entregue","Em Rota","Aguardando"),
   Tabela_Movimentacao_Geral[[#This Row],[Status Logistico]]
)</f>
        <v>Aguardando</v>
      </c>
      <c r="M97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46128</v>
      </c>
    </row>
    <row r="979" spans="1:13" x14ac:dyDescent="0.3">
      <c r="A979" t="str">
        <f t="shared" si="14"/>
        <v>T0978</v>
      </c>
      <c r="B979" s="1">
        <v>46127</v>
      </c>
      <c r="C979" t="str" cm="1">
        <f t="array" aca="1" ref="C979" ca="1">IF($O$7="Desbloqueado",
  _xlfn.LET(
    _xlpm.saldo_atual, SUM(($C$2:$C978="Entrada")*($F$2:$F978=Tabela_Movimentacao_Geral[[#This Row],[ID Produto]])*($H$2:$H978) - ($C$2:$C978="Saida")*($F$2:$F978=Tabela_Movimentacao_Geral[[#This Row],[ID Produto]])*($H$2:$H978)),
    IF(_xlpm.saldo_atual &gt; 0, IF(RANDBETWEEN(0,10)&gt;3,"Saida","Entrada"), "Entrada")
  ),
  Tabela_Movimentacao_Geral[[#This Row],[Tipo Fluxo]]
)</f>
        <v>Saida</v>
      </c>
      <c r="D97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97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979" t="str">
        <f ca="1">IF(
  $O$7="Desbloqueado",
  "PROD"&amp;TEXT(RANDBETWEEN(1,200),"000"),
  Tabela_Movimentacao_Geral[[#This Row],[ID Produto]]
)</f>
        <v>PROD013</v>
      </c>
      <c r="G979" t="str">
        <f ca="1">_xlfn.XLOOKUP(Tabela_Movimentacao_Geral[[#This Row],[ID Produto]], Tabela_Produtos[ID_Produto],Tabela_Produtos[Descricao_Produto],"Produto não encontrado")</f>
        <v>Headset com Microfone</v>
      </c>
      <c r="H979" cm="1">
        <f t="array" aca="1" ref="H979" ca="1">IF(
   $O$7="Desbloqueado",
   _xlfn.LET(
     _xlpm.saldo_atual, SUM(($C$2:$C978="Entrada")*($F$2:$F978=Tabela_Movimentacao_Geral[[#This Row],[ID Produto]])*($H$2:$H978) - ($C$2:$C978="Saida")*($F$2:$F978=Tabela_Movimentacao_Geral[[#This Row],[ID Produto]])*($H$2:$H978)),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170</v>
      </c>
      <c r="I979" s="5">
        <f ca="1">_xlfn.XLOOKUP(Tabela_Movimentacao_Geral[[#This Row],[ID Produto]], Tabela_Produtos[ID_Produto],Tabela_Produtos[Preco_Unitario_Venda])</f>
        <v>180</v>
      </c>
      <c r="J979" s="6">
        <f ca="1">Tabela_Movimentacao_Geral[[#This Row],[Quantidade]] * Tabela_Movimentacao_Geral[[#This Row],[Valor Unitário]]</f>
        <v>30600</v>
      </c>
      <c r="K979" t="str">
        <f ca="1">IF(
   $O$7="Desbloqueado",
   CHOOSE(RANDBETWEEN(1,3),"Pago","Pendente","Atrasado"),
   Tabela_Movimentacao_Geral[[#This Row],[Status Financeiro]]
)</f>
        <v>Pendente</v>
      </c>
      <c r="L979" t="str">
        <f ca="1">IF(
   $O$7="Desbloqueado",
   CHOOSE(RANDBETWEEN(1,3),"Entregue","Em Rota","Aguardando"),
   Tabela_Movimentacao_Geral[[#This Row],[Status Logistico]]
)</f>
        <v>Aguardando</v>
      </c>
      <c r="M97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0" spans="1:13" x14ac:dyDescent="0.3">
      <c r="A980" t="str">
        <f t="shared" si="14"/>
        <v>T0979</v>
      </c>
      <c r="B980" s="1">
        <v>46129</v>
      </c>
      <c r="C980" t="str" cm="1">
        <f t="array" aca="1" ref="C980" ca="1">IF($O$7="Desbloqueado",
  _xlfn.LET(
    _xlpm.saldo_atual, SUM(($C$2:$C979="Entrada")*($F$2:$F979=Tabela_Movimentacao_Geral[[#This Row],[ID Produto]])*($H$2:$H979) - ($C$2:$C979="Saida")*($F$2:$F979=Tabela_Movimentacao_Geral[[#This Row],[ID Produto]])*($H$2:$H979)),
    IF(_xlpm.saldo_atual &gt; 0, IF(RANDBETWEEN(0,10)&gt;3,"Saida","Entrada"), "Entrada")
  ),
  Tabela_Movimentacao_Geral[[#This Row],[Tipo Fluxo]]
)</f>
        <v>Saida</v>
      </c>
      <c r="D98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98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980" t="str">
        <f ca="1">IF(
  $O$7="Desbloqueado",
  "PROD"&amp;TEXT(RANDBETWEEN(1,200),"000"),
  Tabela_Movimentacao_Geral[[#This Row],[ID Produto]]
)</f>
        <v>PROD050</v>
      </c>
      <c r="G980" t="str">
        <f ca="1">_xlfn.XLOOKUP(Tabela_Movimentacao_Geral[[#This Row],[ID Produto]], Tabela_Produtos[ID_Produto],Tabela_Produtos[Descricao_Produto],"Produto não encontrado")</f>
        <v>Leitor de Codigo de Barras</v>
      </c>
      <c r="H980" cm="1">
        <f t="array" aca="1" ref="H980" ca="1">IF(
   $O$7="Desbloqueado",
   _xlfn.LET(
     _xlpm.saldo_atual, SUM(($C$2:$C979="Entrada")*($F$2:$F979=Tabela_Movimentacao_Geral[[#This Row],[ID Produto]])*($H$2:$H979) - ($C$2:$C979="Saida")*($F$2:$F979=Tabela_Movimentacao_Geral[[#This Row],[ID Produto]])*($H$2:$H979)),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62</v>
      </c>
      <c r="I980" s="5">
        <f ca="1">_xlfn.XLOOKUP(Tabela_Movimentacao_Geral[[#This Row],[ID Produto]], Tabela_Produtos[ID_Produto],Tabela_Produtos[Preco_Unitario_Venda])</f>
        <v>230</v>
      </c>
      <c r="J980" s="6">
        <f ca="1">Tabela_Movimentacao_Geral[[#This Row],[Quantidade]] * Tabela_Movimentacao_Geral[[#This Row],[Valor Unitário]]</f>
        <v>14260</v>
      </c>
      <c r="K980" t="str">
        <f ca="1">IF(
   $O$7="Desbloqueado",
   CHOOSE(RANDBETWEEN(1,3),"Pago","Pendente","Atrasado"),
   Tabela_Movimentacao_Geral[[#This Row],[Status Financeiro]]
)</f>
        <v>Atrasado</v>
      </c>
      <c r="L980" t="str">
        <f ca="1">IF(
   $O$7="Desbloqueado",
   CHOOSE(RANDBETWEEN(1,3),"Entregue","Em Rota","Aguardando"),
   Tabela_Movimentacao_Geral[[#This Row],[Status Logistico]]
)</f>
        <v>Em Rota</v>
      </c>
      <c r="M98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1" spans="1:13" x14ac:dyDescent="0.3">
      <c r="A981" t="str">
        <f t="shared" si="14"/>
        <v>T0980</v>
      </c>
      <c r="B981" s="1">
        <v>46129</v>
      </c>
      <c r="C981" t="str" cm="1">
        <f t="array" aca="1" ref="C981" ca="1">IF($O$7="Desbloqueado",
  _xlfn.LET(
    _xlpm.saldo_atual, SUM(($C$2:$C980="Entrada")*($F$2:$F980=Tabela_Movimentacao_Geral[[#This Row],[ID Produto]])*($H$2:$H980) - ($C$2:$C980="Saida")*($F$2:$F980=Tabela_Movimentacao_Geral[[#This Row],[ID Produto]])*($H$2:$H980)),
    IF(_xlpm.saldo_atual &gt; 0, IF(RANDBETWEEN(0,10)&gt;3,"Saida","Entrada"), "Entrada")
  ),
  Tabela_Movimentacao_Geral[[#This Row],[Tipo Fluxo]]
)</f>
        <v>Entrada</v>
      </c>
      <c r="D98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98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981" t="str">
        <f ca="1">IF(
  $O$7="Desbloqueado",
  "PROD"&amp;TEXT(RANDBETWEEN(1,200),"000"),
  Tabela_Movimentacao_Geral[[#This Row],[ID Produto]]
)</f>
        <v>PROD058</v>
      </c>
      <c r="G981" t="str">
        <f ca="1">_xlfn.XLOOKUP(Tabela_Movimentacao_Geral[[#This Row],[ID Produto]], Tabela_Produtos[ID_Produto],Tabela_Produtos[Descricao_Produto],"Produto não encontrado")</f>
        <v>Caneta Esferografica Preta</v>
      </c>
      <c r="H981" cm="1">
        <f t="array" aca="1" ref="H981" ca="1">IF(
   $O$7="Desbloqueado",
   _xlfn.LET(
     _xlpm.saldo_atual, SUM(($C$2:$C980="Entrada")*($F$2:$F980=Tabela_Movimentacao_Geral[[#This Row],[ID Produto]])*($H$2:$H980) - ($C$2:$C980="Saida")*($F$2:$F980=Tabela_Movimentacao_Geral[[#This Row],[ID Produto]])*($H$2:$H980)),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61</v>
      </c>
      <c r="I981" s="5">
        <f ca="1">_xlfn.XLOOKUP(Tabela_Movimentacao_Geral[[#This Row],[ID Produto]], Tabela_Produtos[ID_Produto],Tabela_Produtos[Preco_Unitario_Venda])</f>
        <v>1.5</v>
      </c>
      <c r="J981" s="6">
        <f ca="1">Tabela_Movimentacao_Geral[[#This Row],[Quantidade]] * Tabela_Movimentacao_Geral[[#This Row],[Valor Unitário]]</f>
        <v>91.5</v>
      </c>
      <c r="K981" t="str">
        <f ca="1">IF(
   $O$7="Desbloqueado",
   CHOOSE(RANDBETWEEN(1,3),"Pago","Pendente","Atrasado"),
   Tabela_Movimentacao_Geral[[#This Row],[Status Financeiro]]
)</f>
        <v>Pago</v>
      </c>
      <c r="L981" t="str">
        <f ca="1">IF(
   $O$7="Desbloqueado",
   CHOOSE(RANDBETWEEN(1,3),"Entregue","Em Rota","Aguardando"),
   Tabela_Movimentacao_Geral[[#This Row],[Status Logistico]]
)</f>
        <v>Em Rota</v>
      </c>
      <c r="M98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46130</v>
      </c>
    </row>
    <row r="982" spans="1:13" x14ac:dyDescent="0.3">
      <c r="A982" t="str">
        <f t="shared" si="14"/>
        <v>T0981</v>
      </c>
      <c r="B982" s="1">
        <v>46129</v>
      </c>
      <c r="C982" t="str" cm="1">
        <f t="array" aca="1" ref="C982" ca="1">IF($O$7="Desbloqueado",
  _xlfn.LET(
    _xlpm.saldo_atual, SUM(($C$2:$C981="Entrada")*($F$2:$F981=Tabela_Movimentacao_Geral[[#This Row],[ID Produto]])*($H$2:$H981) - ($C$2:$C981="Saida")*($F$2:$F981=Tabela_Movimentacao_Geral[[#This Row],[ID Produto]])*($H$2:$H981)),
    IF(_xlpm.saldo_atual &gt; 0, IF(RANDBETWEEN(0,10)&gt;3,"Saida","Entrada"), "Entrada")
  ),
  Tabela_Movimentacao_Geral[[#This Row],[Tipo Fluxo]]
)</f>
        <v>Saida</v>
      </c>
      <c r="D98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CLI010</v>
      </c>
      <c r="E98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Hotel Estrela</v>
      </c>
      <c r="F982" t="str">
        <f ca="1">IF(
  $O$7="Desbloqueado",
  "PROD"&amp;TEXT(RANDBETWEEN(1,200),"000"),
  Tabela_Movimentacao_Geral[[#This Row],[ID Produto]]
)</f>
        <v>PROD086</v>
      </c>
      <c r="G982" t="str">
        <f ca="1">_xlfn.XLOOKUP(Tabela_Movimentacao_Geral[[#This Row],[ID Produto]], Tabela_Produtos[ID_Produto],Tabela_Produtos[Descricao_Produto],"Produto não encontrado")</f>
        <v>Transceiver SFP+ 10G</v>
      </c>
      <c r="H982" cm="1">
        <f t="array" aca="1" ref="H982" ca="1">IF(
   $O$7="Desbloqueado",
   _xlfn.LET(
     _xlpm.saldo_atual, SUM(($C$2:$C981="Entrada")*($F$2:$F981=Tabela_Movimentacao_Geral[[#This Row],[ID Produto]])*($H$2:$H981) - ($C$2:$C981="Saida")*($F$2:$F981=Tabela_Movimentacao_Geral[[#This Row],[ID Produto]])*($H$2:$H981)),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13</v>
      </c>
      <c r="I982" s="5">
        <f ca="1">_xlfn.XLOOKUP(Tabela_Movimentacao_Geral[[#This Row],[ID Produto]], Tabela_Produtos[ID_Produto],Tabela_Produtos[Preco_Unitario_Venda])</f>
        <v>320</v>
      </c>
      <c r="J982" s="6">
        <f ca="1">Tabela_Movimentacao_Geral[[#This Row],[Quantidade]] * Tabela_Movimentacao_Geral[[#This Row],[Valor Unitário]]</f>
        <v>4160</v>
      </c>
      <c r="K982" t="str">
        <f ca="1">IF(
   $O$7="Desbloqueado",
   CHOOSE(RANDBETWEEN(1,3),"Pago","Pendente","Atrasado"),
   Tabela_Movimentacao_Geral[[#This Row],[Status Financeiro]]
)</f>
        <v>Pago</v>
      </c>
      <c r="L982" t="str">
        <f ca="1">IF(
   $O$7="Desbloqueado",
   CHOOSE(RANDBETWEEN(1,3),"Entregue","Em Rota","Aguardando"),
   Tabela_Movimentacao_Geral[[#This Row],[Status Logistico]]
)</f>
        <v>Em Rota</v>
      </c>
      <c r="M98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3" spans="1:13" x14ac:dyDescent="0.3">
      <c r="A983" t="str">
        <f t="shared" ref="A983:A1021" si="15">"T"&amp;TEXT(ROW(A983)-1,"0000")</f>
        <v>T0982</v>
      </c>
      <c r="B983" s="1">
        <v>46130</v>
      </c>
      <c r="C983" t="str" cm="1">
        <f t="array" aca="1" ref="C983" ca="1">IF($O$7="Desbloqueado",
  _xlfn.LET(
    _xlpm.saldo_atual, SUM(($C$2:$C982="Entrada")*($F$2:$F982=Tabela_Movimentacao_Geral[[#This Row],[ID Produto]])*($H$2:$H982) - ($C$2:$C982="Saida")*($F$2:$F982=Tabela_Movimentacao_Geral[[#This Row],[ID Produto]])*($H$2:$H982)),
    IF(_xlpm.saldo_atual &gt; 0, IF(RANDBETWEEN(0,10)&gt;3,"Saida","Entrada"), "Entrada")
  ),
  Tabela_Movimentacao_Geral[[#This Row],[Tipo Fluxo]]
)</f>
        <v>Saida</v>
      </c>
      <c r="D98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98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983" t="str">
        <f ca="1">IF(
  $O$7="Desbloqueado",
  "PROD"&amp;TEXT(RANDBETWEEN(1,200),"000"),
  Tabela_Movimentacao_Geral[[#This Row],[ID Produto]]
)</f>
        <v>PROD164</v>
      </c>
      <c r="G983" t="str">
        <f ca="1">_xlfn.XLOOKUP(Tabela_Movimentacao_Geral[[#This Row],[ID Produto]], Tabela_Produtos[ID_Produto],Tabela_Produtos[Descricao_Produto],"Produto não encontrado")</f>
        <v>Carimbo Datador Autom</v>
      </c>
      <c r="H983" cm="1">
        <f t="array" aca="1" ref="H983" ca="1">IF(
   $O$7="Desbloqueado",
   _xlfn.LET(
     _xlpm.saldo_atual, SUM(($C$2:$C982="Entrada")*($F$2:$F982=Tabela_Movimentacao_Geral[[#This Row],[ID Produto]])*($H$2:$H982) - ($C$2:$C982="Saida")*($F$2:$F982=Tabela_Movimentacao_Geral[[#This Row],[ID Produto]])*($H$2:$H982)),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</v>
      </c>
      <c r="I983" s="5">
        <f ca="1">_xlfn.XLOOKUP(Tabela_Movimentacao_Geral[[#This Row],[ID Produto]], Tabela_Produtos[ID_Produto],Tabela_Produtos[Preco_Unitario_Venda])</f>
        <v>65</v>
      </c>
      <c r="J983" s="6">
        <f ca="1">Tabela_Movimentacao_Geral[[#This Row],[Quantidade]] * Tabela_Movimentacao_Geral[[#This Row],[Valor Unitário]]</f>
        <v>780</v>
      </c>
      <c r="K983" t="str">
        <f ca="1">IF(
   $O$7="Desbloqueado",
   CHOOSE(RANDBETWEEN(1,3),"Pago","Pendente","Atrasado"),
   Tabela_Movimentacao_Geral[[#This Row],[Status Financeiro]]
)</f>
        <v>Pendente</v>
      </c>
      <c r="L983" t="str">
        <f ca="1">IF(
   $O$7="Desbloqueado",
   CHOOSE(RANDBETWEEN(1,3),"Entregue","Em Rota","Aguardando"),
   Tabela_Movimentacao_Geral[[#This Row],[Status Logistico]]
)</f>
        <v>Aguardando</v>
      </c>
      <c r="M98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4" spans="1:13" x14ac:dyDescent="0.3">
      <c r="A984" t="str">
        <f t="shared" si="15"/>
        <v>T0983</v>
      </c>
      <c r="B984" s="1">
        <v>46130</v>
      </c>
      <c r="C984" t="str" cm="1">
        <f t="array" aca="1" ref="C984" ca="1">IF($O$7="Desbloqueado",
  _xlfn.LET(
    _xlpm.saldo_atual, SUM(($C$2:$C983="Entrada")*($F$2:$F983=Tabela_Movimentacao_Geral[[#This Row],[ID Produto]])*($H$2:$H983) - ($C$2:$C983="Saida")*($F$2:$F983=Tabela_Movimentacao_Geral[[#This Row],[ID Produto]])*($H$2:$H983)),
    IF(_xlpm.saldo_atual &gt; 0, IF(RANDBETWEEN(0,10)&gt;3,"Saida","Entrada"), "Entrada")
  ),
  Tabela_Movimentacao_Geral[[#This Row],[Tipo Fluxo]]
)</f>
        <v>Saida</v>
      </c>
      <c r="D98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98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984" t="str">
        <f ca="1">IF(
  $O$7="Desbloqueado",
  "PROD"&amp;TEXT(RANDBETWEEN(1,200),"000"),
  Tabela_Movimentacao_Geral[[#This Row],[ID Produto]]
)</f>
        <v>PROD006</v>
      </c>
      <c r="G984" t="str">
        <f ca="1">_xlfn.XLOOKUP(Tabela_Movimentacao_Geral[[#This Row],[ID Produto]], Tabela_Produtos[ID_Produto],Tabela_Produtos[Descricao_Produto],"Produto não encontrado")</f>
        <v>Notebook i7 16GB 512GB SSD</v>
      </c>
      <c r="H984" cm="1">
        <f t="array" aca="1" ref="H984" ca="1">IF(
   $O$7="Desbloqueado",
   _xlfn.LET(
     _xlpm.saldo_atual, SUM(($C$2:$C983="Entrada")*($F$2:$F983=Tabela_Movimentacao_Geral[[#This Row],[ID Produto]])*($H$2:$H983) - ($C$2:$C983="Saida")*($F$2:$F983=Tabela_Movimentacao_Geral[[#This Row],[ID Produto]])*($H$2:$H983)),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30</v>
      </c>
      <c r="I984" s="5">
        <f ca="1">_xlfn.XLOOKUP(Tabela_Movimentacao_Geral[[#This Row],[ID Produto]], Tabela_Produtos[ID_Produto],Tabela_Produtos[Preco_Unitario_Venda])</f>
        <v>5500</v>
      </c>
      <c r="J984" s="6">
        <f ca="1">Tabela_Movimentacao_Geral[[#This Row],[Quantidade]] * Tabela_Movimentacao_Geral[[#This Row],[Valor Unitário]]</f>
        <v>165000</v>
      </c>
      <c r="K984" t="str">
        <f ca="1">IF(
   $O$7="Desbloqueado",
   CHOOSE(RANDBETWEEN(1,3),"Pago","Pendente","Atrasado"),
   Tabela_Movimentacao_Geral[[#This Row],[Status Financeiro]]
)</f>
        <v>Pendente</v>
      </c>
      <c r="L984" t="str">
        <f ca="1">IF(
   $O$7="Desbloqueado",
   CHOOSE(RANDBETWEEN(1,3),"Entregue","Em Rota","Aguardando"),
   Tabela_Movimentacao_Geral[[#This Row],[Status Logistico]]
)</f>
        <v>Em Rota</v>
      </c>
      <c r="M98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5" spans="1:13" x14ac:dyDescent="0.3">
      <c r="A985" t="str">
        <f t="shared" si="15"/>
        <v>T0984</v>
      </c>
      <c r="B985" s="1">
        <v>46130</v>
      </c>
      <c r="C985" t="str" cm="1">
        <f t="array" aca="1" ref="C985" ca="1">IF($O$7="Desbloqueado",
  _xlfn.LET(
    _xlpm.saldo_atual, SUM(($C$2:$C984="Entrada")*($F$2:$F984=Tabela_Movimentacao_Geral[[#This Row],[ID Produto]])*($H$2:$H984) - ($C$2:$C984="Saida")*($F$2:$F984=Tabela_Movimentacao_Geral[[#This Row],[ID Produto]])*($H$2:$H984)),
    IF(_xlpm.saldo_atual &gt; 0, IF(RANDBETWEEN(0,10)&gt;3,"Saida","Entrada"), "Entrada")
  ),
  Tabela_Movimentacao_Geral[[#This Row],[Tipo Fluxo]]
)</f>
        <v>Saida</v>
      </c>
      <c r="D98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98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85" t="str">
        <f ca="1">IF(
  $O$7="Desbloqueado",
  "PROD"&amp;TEXT(RANDBETWEEN(1,200),"000"),
  Tabela_Movimentacao_Geral[[#This Row],[ID Produto]]
)</f>
        <v>PROD157</v>
      </c>
      <c r="G985" t="str">
        <f ca="1">_xlfn.XLOOKUP(Tabela_Movimentacao_Geral[[#This Row],[ID Produto]], Tabela_Produtos[ID_Produto],Tabela_Produtos[Descricao_Produto],"Produto não encontrado")</f>
        <v>Fita Dupla Face 3M</v>
      </c>
      <c r="H985" cm="1">
        <f t="array" aca="1" ref="H985" ca="1">IF(
   $O$7="Desbloqueado",
   _xlfn.LET(
     _xlpm.saldo_atual, SUM(($C$2:$C984="Entrada")*($F$2:$F984=Tabela_Movimentacao_Geral[[#This Row],[ID Produto]])*($H$2:$H984) - ($C$2:$C984="Saida")*($F$2:$F984=Tabela_Movimentacao_Geral[[#This Row],[ID Produto]])*($H$2:$H984)),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985" s="5">
        <f ca="1">_xlfn.XLOOKUP(Tabela_Movimentacao_Geral[[#This Row],[ID Produto]], Tabela_Produtos[ID_Produto],Tabela_Produtos[Preco_Unitario_Venda])</f>
        <v>28</v>
      </c>
      <c r="J985" s="6">
        <f ca="1">Tabela_Movimentacao_Geral[[#This Row],[Quantidade]] * Tabela_Movimentacao_Geral[[#This Row],[Valor Unitário]]</f>
        <v>56</v>
      </c>
      <c r="K985" t="str">
        <f ca="1">IF(
   $O$7="Desbloqueado",
   CHOOSE(RANDBETWEEN(1,3),"Pago","Pendente","Atrasado"),
   Tabela_Movimentacao_Geral[[#This Row],[Status Financeiro]]
)</f>
        <v>Pago</v>
      </c>
      <c r="L985" t="str">
        <f ca="1">IF(
   $O$7="Desbloqueado",
   CHOOSE(RANDBETWEEN(1,3),"Entregue","Em Rota","Aguardando"),
   Tabela_Movimentacao_Geral[[#This Row],[Status Logistico]]
)</f>
        <v>Entregue</v>
      </c>
      <c r="M98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6" spans="1:13" x14ac:dyDescent="0.3">
      <c r="A986" t="str">
        <f t="shared" si="15"/>
        <v>T0985</v>
      </c>
      <c r="B986" s="1">
        <v>46130</v>
      </c>
      <c r="C986" t="str" cm="1">
        <f t="array" aca="1" ref="C986" ca="1">IF($O$7="Desbloqueado",
  _xlfn.LET(
    _xlpm.saldo_atual, SUM(($C$2:$C985="Entrada")*($F$2:$F985=Tabela_Movimentacao_Geral[[#This Row],[ID Produto]])*($H$2:$H985) - ($C$2:$C985="Saida")*($F$2:$F985=Tabela_Movimentacao_Geral[[#This Row],[ID Produto]])*($H$2:$H985)),
    IF(_xlpm.saldo_atual &gt; 0, IF(RANDBETWEEN(0,10)&gt;3,"Saida","Entrada"), "Entrada")
  ),
  Tabela_Movimentacao_Geral[[#This Row],[Tipo Fluxo]]
)</f>
        <v>Saida</v>
      </c>
      <c r="D98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98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986" t="str">
        <f ca="1">IF(
  $O$7="Desbloqueado",
  "PROD"&amp;TEXT(RANDBETWEEN(1,200),"000"),
  Tabela_Movimentacao_Geral[[#This Row],[ID Produto]]
)</f>
        <v>PROD078</v>
      </c>
      <c r="G986" t="str">
        <f ca="1">_xlfn.XLOOKUP(Tabela_Movimentacao_Geral[[#This Row],[ID Produto]], Tabela_Produtos[ID_Produto],Tabela_Produtos[Descricao_Produto],"Produto não encontrado")</f>
        <v>Porta Canetas Telado</v>
      </c>
      <c r="H986" cm="1">
        <f t="array" aca="1" ref="H986" ca="1">IF(
   $O$7="Desbloqueado",
   _xlfn.LET(
     _xlpm.saldo_atual, SUM(($C$2:$C985="Entrada")*($F$2:$F985=Tabela_Movimentacao_Geral[[#This Row],[ID Produto]])*($H$2:$H985) - ($C$2:$C985="Saida")*($F$2:$F985=Tabela_Movimentacao_Geral[[#This Row],[ID Produto]])*($H$2:$H985)),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11</v>
      </c>
      <c r="I986" s="5">
        <f ca="1">_xlfn.XLOOKUP(Tabela_Movimentacao_Geral[[#This Row],[ID Produto]], Tabela_Produtos[ID_Produto],Tabela_Produtos[Preco_Unitario_Venda])</f>
        <v>15</v>
      </c>
      <c r="J986" s="6">
        <f ca="1">Tabela_Movimentacao_Geral[[#This Row],[Quantidade]] * Tabela_Movimentacao_Geral[[#This Row],[Valor Unitário]]</f>
        <v>165</v>
      </c>
      <c r="K986" t="str">
        <f ca="1">IF(
   $O$7="Desbloqueado",
   CHOOSE(RANDBETWEEN(1,3),"Pago","Pendente","Atrasado"),
   Tabela_Movimentacao_Geral[[#This Row],[Status Financeiro]]
)</f>
        <v>Pendente</v>
      </c>
      <c r="L986" t="str">
        <f ca="1">IF(
   $O$7="Desbloqueado",
   CHOOSE(RANDBETWEEN(1,3),"Entregue","Em Rota","Aguardando"),
   Tabela_Movimentacao_Geral[[#This Row],[Status Logistico]]
)</f>
        <v>Em Rota</v>
      </c>
      <c r="M98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7" spans="1:13" x14ac:dyDescent="0.3">
      <c r="A987" t="str">
        <f t="shared" si="15"/>
        <v>T0986</v>
      </c>
      <c r="B987" s="1">
        <v>46131</v>
      </c>
      <c r="C987" t="str" cm="1">
        <f t="array" aca="1" ref="C987" ca="1">IF($O$7="Desbloqueado",
  _xlfn.LET(
    _xlpm.saldo_atual, SUM(($C$2:$C986="Entrada")*($F$2:$F986=Tabela_Movimentacao_Geral[[#This Row],[ID Produto]])*($H$2:$H986) - ($C$2:$C986="Saida")*($F$2:$F986=Tabela_Movimentacao_Geral[[#This Row],[ID Produto]])*($H$2:$H986)),
    IF(_xlpm.saldo_atual &gt; 0, IF(RANDBETWEEN(0,10)&gt;3,"Saida","Entrada"), "Entrada")
  ),
  Tabela_Movimentacao_Geral[[#This Row],[Tipo Fluxo]]
)</f>
        <v>Entrada</v>
      </c>
      <c r="D98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98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987" t="str">
        <f ca="1">IF(
  $O$7="Desbloqueado",
  "PROD"&amp;TEXT(RANDBETWEEN(1,200),"000"),
  Tabela_Movimentacao_Geral[[#This Row],[ID Produto]]
)</f>
        <v>PROD024</v>
      </c>
      <c r="G987" t="str">
        <f ca="1">_xlfn.XLOOKUP(Tabela_Movimentacao_Geral[[#This Row],[ID Produto]], Tabela_Produtos[ID_Produto],Tabela_Produtos[Descricao_Produto],"Produto não encontrado")</f>
        <v>Assinatura Adobe CC Anual</v>
      </c>
      <c r="H987" cm="1">
        <f t="array" aca="1" ref="H987" ca="1">IF(
   $O$7="Desbloqueado",
   _xlfn.LET(
     _xlpm.saldo_atual, SUM(($C$2:$C986="Entrada")*($F$2:$F986=Tabela_Movimentacao_Geral[[#This Row],[ID Produto]])*($H$2:$H986) - ($C$2:$C986="Saida")*($F$2:$F986=Tabela_Movimentacao_Geral[[#This Row],[ID Produto]])*($H$2:$H986)),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59</v>
      </c>
      <c r="I987" s="5">
        <f ca="1">_xlfn.XLOOKUP(Tabela_Movimentacao_Geral[[#This Row],[ID Produto]], Tabela_Produtos[ID_Produto],Tabela_Produtos[Preco_Unitario_Venda])</f>
        <v>2400</v>
      </c>
      <c r="J987" s="6">
        <f ca="1">Tabela_Movimentacao_Geral[[#This Row],[Quantidade]] * Tabela_Movimentacao_Geral[[#This Row],[Valor Unitário]]</f>
        <v>141600</v>
      </c>
      <c r="K987" t="str">
        <f ca="1">IF(
   $O$7="Desbloqueado",
   CHOOSE(RANDBETWEEN(1,3),"Pago","Pendente","Atrasado"),
   Tabela_Movimentacao_Geral[[#This Row],[Status Financeiro]]
)</f>
        <v>Pendente</v>
      </c>
      <c r="L987" t="str">
        <f ca="1">IF(
   $O$7="Desbloqueado",
   CHOOSE(RANDBETWEEN(1,3),"Entregue","Em Rota","Aguardando"),
   Tabela_Movimentacao_Geral[[#This Row],[Status Logistico]]
)</f>
        <v>Entregue</v>
      </c>
      <c r="M98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46134</v>
      </c>
    </row>
    <row r="988" spans="1:13" x14ac:dyDescent="0.3">
      <c r="A988" t="str">
        <f t="shared" si="15"/>
        <v>T0987</v>
      </c>
      <c r="B988" s="1">
        <v>46132</v>
      </c>
      <c r="C988" t="str" cm="1">
        <f t="array" aca="1" ref="C988" ca="1">IF($O$7="Desbloqueado",
  _xlfn.LET(
    _xlpm.saldo_atual, SUM(($C$2:$C987="Entrada")*($F$2:$F987=Tabela_Movimentacao_Geral[[#This Row],[ID Produto]])*($H$2:$H987) - ($C$2:$C987="Saida")*($F$2:$F987=Tabela_Movimentacao_Geral[[#This Row],[ID Produto]])*($H$2:$H987)),
    IF(_xlpm.saldo_atual &gt; 0, IF(RANDBETWEEN(0,10)&gt;3,"Saida","Entrada"), "Entrada")
  ),
  Tabela_Movimentacao_Geral[[#This Row],[Tipo Fluxo]]
)</f>
        <v>Saida</v>
      </c>
      <c r="D98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CLI003</v>
      </c>
      <c r="E98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Hospital Vida</v>
      </c>
      <c r="F988" t="str">
        <f ca="1">IF(
  $O$7="Desbloqueado",
  "PROD"&amp;TEXT(RANDBETWEEN(1,200),"000"),
  Tabela_Movimentacao_Geral[[#This Row],[ID Produto]]
)</f>
        <v>PROD007</v>
      </c>
      <c r="G988" t="str">
        <f ca="1">_xlfn.XLOOKUP(Tabela_Movimentacao_Geral[[#This Row],[ID Produto]], Tabela_Produtos[ID_Produto],Tabela_Produtos[Descricao_Produto],"Produto não encontrado")</f>
        <v>Impressora Laser Color</v>
      </c>
      <c r="H988" cm="1">
        <f t="array" aca="1" ref="H988" ca="1">IF(
   $O$7="Desbloqueado",
   _xlfn.LET(
     _xlpm.saldo_atual, SUM(($C$2:$C987="Entrada")*($F$2:$F987=Tabela_Movimentacao_Geral[[#This Row],[ID Produto]])*($H$2:$H987) - ($C$2:$C987="Saida")*($F$2:$F987=Tabela_Movimentacao_Geral[[#This Row],[ID Produto]])*($H$2:$H987)),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988" s="5">
        <f ca="1">_xlfn.XLOOKUP(Tabela_Movimentacao_Geral[[#This Row],[ID Produto]], Tabela_Produtos[ID_Produto],Tabela_Produtos[Preco_Unitario_Venda])</f>
        <v>1800</v>
      </c>
      <c r="J988" s="6">
        <f ca="1">Tabela_Movimentacao_Geral[[#This Row],[Quantidade]] * Tabela_Movimentacao_Geral[[#This Row],[Valor Unitário]]</f>
        <v>1800</v>
      </c>
      <c r="K988" t="str">
        <f ca="1">IF(
   $O$7="Desbloqueado",
   CHOOSE(RANDBETWEEN(1,3),"Pago","Pendente","Atrasado"),
   Tabela_Movimentacao_Geral[[#This Row],[Status Financeiro]]
)</f>
        <v>Pendente</v>
      </c>
      <c r="L988" t="str">
        <f ca="1">IF(
   $O$7="Desbloqueado",
   CHOOSE(RANDBETWEEN(1,3),"Entregue","Em Rota","Aguardando"),
   Tabela_Movimentacao_Geral[[#This Row],[Status Logistico]]
)</f>
        <v>Aguardando</v>
      </c>
      <c r="M988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89" spans="1:13" x14ac:dyDescent="0.3">
      <c r="A989" t="str">
        <f t="shared" si="15"/>
        <v>T0988</v>
      </c>
      <c r="B989" s="1">
        <v>46132</v>
      </c>
      <c r="C989" t="str" cm="1">
        <f t="array" aca="1" ref="C989" ca="1">IF($O$7="Desbloqueado",
  _xlfn.LET(
    _xlpm.saldo_atual, SUM(($C$2:$C988="Entrada")*($F$2:$F988=Tabela_Movimentacao_Geral[[#This Row],[ID Produto]])*($H$2:$H988) - ($C$2:$C988="Saida")*($F$2:$F988=Tabela_Movimentacao_Geral[[#This Row],[ID Produto]])*($H$2:$H988)),
    IF(_xlpm.saldo_atual &gt; 0, IF(RANDBETWEEN(0,10)&gt;3,"Saida","Entrada"), "Entrada")
  ),
  Tabela_Movimentacao_Geral[[#This Row],[Tipo Fluxo]]
)</f>
        <v>Saida</v>
      </c>
      <c r="D98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98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989" t="str">
        <f ca="1">IF(
  $O$7="Desbloqueado",
  "PROD"&amp;TEXT(RANDBETWEEN(1,200),"000"),
  Tabela_Movimentacao_Geral[[#This Row],[ID Produto]]
)</f>
        <v>PROD074</v>
      </c>
      <c r="G989" t="str">
        <f ca="1">_xlfn.XLOOKUP(Tabela_Movimentacao_Geral[[#This Row],[ID Produto]], Tabela_Produtos[ID_Produto],Tabela_Produtos[Descricao_Produto],"Produto não encontrado")</f>
        <v>Cordao para Cracha</v>
      </c>
      <c r="H989" cm="1">
        <f t="array" aca="1" ref="H989" ca="1">IF(
   $O$7="Desbloqueado",
   _xlfn.LET(
     _xlpm.saldo_atual, SUM(($C$2:$C988="Entrada")*($F$2:$F988=Tabela_Movimentacao_Geral[[#This Row],[ID Produto]])*($H$2:$H988) - ($C$2:$C988="Saida")*($F$2:$F988=Tabela_Movimentacao_Geral[[#This Row],[ID Produto]])*($H$2:$H988)),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</v>
      </c>
      <c r="I989" s="5">
        <f ca="1">_xlfn.XLOOKUP(Tabela_Movimentacao_Geral[[#This Row],[ID Produto]], Tabela_Produtos[ID_Produto],Tabela_Produtos[Preco_Unitario_Venda])</f>
        <v>3.5</v>
      </c>
      <c r="J989" s="6">
        <f ca="1">Tabela_Movimentacao_Geral[[#This Row],[Quantidade]] * Tabela_Movimentacao_Geral[[#This Row],[Valor Unitário]]</f>
        <v>7</v>
      </c>
      <c r="K989" t="str">
        <f ca="1">IF(
   $O$7="Desbloqueado",
   CHOOSE(RANDBETWEEN(1,3),"Pago","Pendente","Atrasado"),
   Tabela_Movimentacao_Geral[[#This Row],[Status Financeiro]]
)</f>
        <v>Atrasado</v>
      </c>
      <c r="L989" t="str">
        <f ca="1">IF(
   $O$7="Desbloqueado",
   CHOOSE(RANDBETWEEN(1,3),"Entregue","Em Rota","Aguardando"),
   Tabela_Movimentacao_Geral[[#This Row],[Status Logistico]]
)</f>
        <v>Em Rota</v>
      </c>
      <c r="M98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90" spans="1:13" x14ac:dyDescent="0.3">
      <c r="A990" t="str">
        <f t="shared" si="15"/>
        <v>T0989</v>
      </c>
      <c r="B990" s="1">
        <v>46132</v>
      </c>
      <c r="C990" t="str" cm="1">
        <f t="array" aca="1" ref="C990" ca="1">IF($O$7="Desbloqueado",
  _xlfn.LET(
    _xlpm.saldo_atual, SUM(($C$2:$C989="Entrada")*($F$2:$F989=Tabela_Movimentacao_Geral[[#This Row],[ID Produto]])*($H$2:$H989) - ($C$2:$C989="Saida")*($F$2:$F989=Tabela_Movimentacao_Geral[[#This Row],[ID Produto]])*($H$2:$H989)),
    IF(_xlpm.saldo_atual &gt; 0, IF(RANDBETWEEN(0,10)&gt;3,"Saida","Entrada"), "Entrada")
  ),
  Tabela_Movimentacao_Geral[[#This Row],[Tipo Fluxo]]
)</f>
        <v>Saida</v>
      </c>
      <c r="D99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CLI002</v>
      </c>
      <c r="E99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Varejo Total</v>
      </c>
      <c r="F990" t="str">
        <f ca="1">IF(
  $O$7="Desbloqueado",
  "PROD"&amp;TEXT(RANDBETWEEN(1,200),"000"),
  Tabela_Movimentacao_Geral[[#This Row],[ID Produto]]
)</f>
        <v>PROD160</v>
      </c>
      <c r="G990" t="str">
        <f ca="1">_xlfn.XLOOKUP(Tabela_Movimentacao_Geral[[#This Row],[ID Produto]], Tabela_Produtos[ID_Produto],Tabela_Produtos[Descricao_Produto],"Produto não encontrado")</f>
        <v>Alfinete para Quadro 50un</v>
      </c>
      <c r="H990" cm="1">
        <f t="array" aca="1" ref="H990" ca="1">IF(
   $O$7="Desbloqueado",
   _xlfn.LET(
     _xlpm.saldo_atual, SUM(($C$2:$C989="Entrada")*($F$2:$F989=Tabela_Movimentacao_Geral[[#This Row],[ID Produto]])*($H$2:$H989) - ($C$2:$C989="Saida")*($F$2:$F989=Tabela_Movimentacao_Geral[[#This Row],[ID Produto]])*($H$2:$H989)),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990" s="5">
        <f ca="1">_xlfn.XLOOKUP(Tabela_Movimentacao_Geral[[#This Row],[ID Produto]], Tabela_Produtos[ID_Produto],Tabela_Produtos[Preco_Unitario_Venda])</f>
        <v>9</v>
      </c>
      <c r="J990" s="6">
        <f ca="1">Tabela_Movimentacao_Geral[[#This Row],[Quantidade]] * Tabela_Movimentacao_Geral[[#This Row],[Valor Unitário]]</f>
        <v>36</v>
      </c>
      <c r="K990" t="str">
        <f ca="1">IF(
   $O$7="Desbloqueado",
   CHOOSE(RANDBETWEEN(1,3),"Pago","Pendente","Atrasado"),
   Tabela_Movimentacao_Geral[[#This Row],[Status Financeiro]]
)</f>
        <v>Pago</v>
      </c>
      <c r="L990" t="str">
        <f ca="1">IF(
   $O$7="Desbloqueado",
   CHOOSE(RANDBETWEEN(1,3),"Entregue","Em Rota","Aguardando"),
   Tabela_Movimentacao_Geral[[#This Row],[Status Logistico]]
)</f>
        <v>Em Rota</v>
      </c>
      <c r="M99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91" spans="1:13" x14ac:dyDescent="0.3">
      <c r="A991" t="str">
        <f t="shared" si="15"/>
        <v>T0990</v>
      </c>
      <c r="B991" s="1">
        <v>46132</v>
      </c>
      <c r="C991" t="str" cm="1">
        <f t="array" aca="1" ref="C991" ca="1">IF($O$7="Desbloqueado",
  _xlfn.LET(
    _xlpm.saldo_atual, SUM(($C$2:$C990="Entrada")*($F$2:$F990=Tabela_Movimentacao_Geral[[#This Row],[ID Produto]])*($H$2:$H990) - ($C$2:$C990="Saida")*($F$2:$F990=Tabela_Movimentacao_Geral[[#This Row],[ID Produto]])*($H$2:$H990)),
    IF(_xlpm.saldo_atual &gt; 0, IF(RANDBETWEEN(0,10)&gt;3,"Saida","Entrada"), "Entrada")
  ),
  Tabela_Movimentacao_Geral[[#This Row],[Tipo Fluxo]]
)</f>
        <v>Saida</v>
      </c>
      <c r="D99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CLI004</v>
      </c>
      <c r="E99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Escola Saber</v>
      </c>
      <c r="F991" t="str">
        <f ca="1">IF(
  $O$7="Desbloqueado",
  "PROD"&amp;TEXT(RANDBETWEEN(1,200),"000"),
  Tabela_Movimentacao_Geral[[#This Row],[ID Produto]]
)</f>
        <v>PROD170</v>
      </c>
      <c r="G991" t="str">
        <f ca="1">_xlfn.XLOOKUP(Tabela_Movimentacao_Geral[[#This Row],[ID Produto]], Tabela_Produtos[ID_Produto],Tabela_Produtos[Descricao_Produto],"Produto não encontrado")</f>
        <v>Caixa Organizadora 20L</v>
      </c>
      <c r="H991" cm="1">
        <f t="array" aca="1" ref="H991" ca="1">IF(
   $O$7="Desbloqueado",
   _xlfn.LET(
     _xlpm.saldo_atual, SUM(($C$2:$C990="Entrada")*($F$2:$F990=Tabela_Movimentacao_Geral[[#This Row],[ID Produto]])*($H$2:$H990) - ($C$2:$C990="Saida")*($F$2:$F990=Tabela_Movimentacao_Geral[[#This Row],[ID Produto]])*($H$2:$H990)),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56</v>
      </c>
      <c r="I991" s="5">
        <f ca="1">_xlfn.XLOOKUP(Tabela_Movimentacao_Geral[[#This Row],[ID Produto]], Tabela_Produtos[ID_Produto],Tabela_Produtos[Preco_Unitario_Venda])</f>
        <v>55</v>
      </c>
      <c r="J991" s="6">
        <f ca="1">Tabela_Movimentacao_Geral[[#This Row],[Quantidade]] * Tabela_Movimentacao_Geral[[#This Row],[Valor Unitário]]</f>
        <v>3080</v>
      </c>
      <c r="K991" t="str">
        <f ca="1">IF(
   $O$7="Desbloqueado",
   CHOOSE(RANDBETWEEN(1,3),"Pago","Pendente","Atrasado"),
   Tabela_Movimentacao_Geral[[#This Row],[Status Financeiro]]
)</f>
        <v>Pago</v>
      </c>
      <c r="L991" t="str">
        <f ca="1">IF(
   $O$7="Desbloqueado",
   CHOOSE(RANDBETWEEN(1,3),"Entregue","Em Rota","Aguardando"),
   Tabela_Movimentacao_Geral[[#This Row],[Status Logistico]]
)</f>
        <v>Aguardando</v>
      </c>
      <c r="M99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92" spans="1:13" x14ac:dyDescent="0.3">
      <c r="A992" t="str">
        <f t="shared" si="15"/>
        <v>T0991</v>
      </c>
      <c r="B992" s="1">
        <v>46132</v>
      </c>
      <c r="C992" t="str" cm="1">
        <f t="array" aca="1" ref="C992" ca="1">IF($O$7="Desbloqueado",
  _xlfn.LET(
    _xlpm.saldo_atual, SUM(($C$2:$C991="Entrada")*($F$2:$F991=Tabela_Movimentacao_Geral[[#This Row],[ID Produto]])*($H$2:$H991) - ($C$2:$C991="Saida")*($F$2:$F991=Tabela_Movimentacao_Geral[[#This Row],[ID Produto]])*($H$2:$H991)),
    IF(_xlpm.saldo_atual &gt; 0, IF(RANDBETWEEN(0,10)&gt;3,"Saida","Entrada"), "Entrada")
  ),
  Tabela_Movimentacao_Geral[[#This Row],[Tipo Fluxo]]
)</f>
        <v>Saida</v>
      </c>
      <c r="D99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CLI019</v>
      </c>
      <c r="E99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Consultoria Meta</v>
      </c>
      <c r="F992" t="str">
        <f ca="1">IF(
  $O$7="Desbloqueado",
  "PROD"&amp;TEXT(RANDBETWEEN(1,200),"000"),
  Tabela_Movimentacao_Geral[[#This Row],[ID Produto]]
)</f>
        <v>PROD062</v>
      </c>
      <c r="G992" t="str">
        <f ca="1">_xlfn.XLOOKUP(Tabela_Movimentacao_Geral[[#This Row],[ID Produto]], Tabela_Produtos[ID_Produto],Tabela_Produtos[Descricao_Produto],"Produto não encontrado")</f>
        <v>Regua 30cm Acrilico</v>
      </c>
      <c r="H992" cm="1">
        <f t="array" aca="1" ref="H992" ca="1">IF(
   $O$7="Desbloqueado",
   _xlfn.LET(
     _xlpm.saldo_atual, SUM(($C$2:$C991="Entrada")*($F$2:$F991=Tabela_Movimentacao_Geral[[#This Row],[ID Produto]])*($H$2:$H991) - ($C$2:$C991="Saida")*($F$2:$F991=Tabela_Movimentacao_Geral[[#This Row],[ID Produto]])*($H$2:$H991)),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153</v>
      </c>
      <c r="I992" s="5">
        <f ca="1">_xlfn.XLOOKUP(Tabela_Movimentacao_Geral[[#This Row],[ID Produto]], Tabela_Produtos[ID_Produto],Tabela_Produtos[Preco_Unitario_Venda])</f>
        <v>4.5</v>
      </c>
      <c r="J992" s="6">
        <f ca="1">Tabela_Movimentacao_Geral[[#This Row],[Quantidade]] * Tabela_Movimentacao_Geral[[#This Row],[Valor Unitário]]</f>
        <v>688.5</v>
      </c>
      <c r="K992" t="str">
        <f ca="1">IF(
   $O$7="Desbloqueado",
   CHOOSE(RANDBETWEEN(1,3),"Pago","Pendente","Atrasado"),
   Tabela_Movimentacao_Geral[[#This Row],[Status Financeiro]]
)</f>
        <v>Pendente</v>
      </c>
      <c r="L992" t="str">
        <f ca="1">IF(
   $O$7="Desbloqueado",
   CHOOSE(RANDBETWEEN(1,3),"Entregue","Em Rota","Aguardando"),
   Tabela_Movimentacao_Geral[[#This Row],[Status Logistico]]
)</f>
        <v>Em Rota</v>
      </c>
      <c r="M992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93" spans="1:13" x14ac:dyDescent="0.3">
      <c r="A993" t="str">
        <f t="shared" si="15"/>
        <v>T0992</v>
      </c>
      <c r="B993" s="1">
        <v>46134</v>
      </c>
      <c r="C993" t="str" cm="1">
        <f t="array" aca="1" ref="C993" ca="1">IF($O$7="Desbloqueado",
  _xlfn.LET(
    _xlpm.saldo_atual, SUM(($C$2:$C992="Entrada")*($F$2:$F992=Tabela_Movimentacao_Geral[[#This Row],[ID Produto]])*($H$2:$H992) - ($C$2:$C992="Saida")*($F$2:$F992=Tabela_Movimentacao_Geral[[#This Row],[ID Produto]])*($H$2:$H992)),
    IF(_xlpm.saldo_atual &gt; 0, IF(RANDBETWEEN(0,10)&gt;3,"Saida","Entrada"), "Entrada")
  ),
  Tabela_Movimentacao_Geral[[#This Row],[Tipo Fluxo]]
)</f>
        <v>Entrada</v>
      </c>
      <c r="D99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FORN015</v>
      </c>
      <c r="E99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Print Smart</v>
      </c>
      <c r="F993" t="str">
        <f ca="1">IF(
  $O$7="Desbloqueado",
  "PROD"&amp;TEXT(RANDBETWEEN(1,200),"000"),
  Tabela_Movimentacao_Geral[[#This Row],[ID Produto]]
)</f>
        <v>PROD199</v>
      </c>
      <c r="G993" t="str">
        <f ca="1">_xlfn.XLOOKUP(Tabela_Movimentacao_Geral[[#This Row],[ID Produto]], Tabela_Produtos[ID_Produto],Tabela_Produtos[Descricao_Produto],"Produto não encontrado")</f>
        <v>Sugador de Solda</v>
      </c>
      <c r="H993" cm="1">
        <f t="array" aca="1" ref="H993" ca="1">IF(
   $O$7="Desbloqueado",
   _xlfn.LET(
     _xlpm.saldo_atual, SUM(($C$2:$C992="Entrada")*($F$2:$F992=Tabela_Movimentacao_Geral[[#This Row],[ID Produto]])*($H$2:$H992) - ($C$2:$C992="Saida")*($F$2:$F992=Tabela_Movimentacao_Geral[[#This Row],[ID Produto]])*($H$2:$H992)),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62</v>
      </c>
      <c r="I993" s="5">
        <f ca="1">_xlfn.XLOOKUP(Tabela_Movimentacao_Geral[[#This Row],[ID Produto]], Tabela_Produtos[ID_Produto],Tabela_Produtos[Preco_Unitario_Venda])</f>
        <v>25</v>
      </c>
      <c r="J993" s="6">
        <f ca="1">Tabela_Movimentacao_Geral[[#This Row],[Quantidade]] * Tabela_Movimentacao_Geral[[#This Row],[Valor Unitário]]</f>
        <v>1550</v>
      </c>
      <c r="K993" t="str">
        <f ca="1">IF(
   $O$7="Desbloqueado",
   CHOOSE(RANDBETWEEN(1,3),"Pago","Pendente","Atrasado"),
   Tabela_Movimentacao_Geral[[#This Row],[Status Financeiro]]
)</f>
        <v>Pendente</v>
      </c>
      <c r="L993" t="str">
        <f ca="1">IF(
   $O$7="Desbloqueado",
   CHOOSE(RANDBETWEEN(1,3),"Entregue","Em Rota","Aguardando"),
   Tabela_Movimentacao_Geral[[#This Row],[Status Logistico]]
)</f>
        <v>Em Rota</v>
      </c>
      <c r="M99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46137</v>
      </c>
    </row>
    <row r="994" spans="1:13" x14ac:dyDescent="0.3">
      <c r="A994" t="str">
        <f t="shared" si="15"/>
        <v>T0993</v>
      </c>
      <c r="B994" s="1">
        <v>46134</v>
      </c>
      <c r="C994" t="str" cm="1">
        <f t="array" aca="1" ref="C994" ca="1">IF($O$7="Desbloqueado",
  _xlfn.LET(
    _xlpm.saldo_atual, SUM(($C$2:$C993="Entrada")*($F$2:$F993=Tabela_Movimentacao_Geral[[#This Row],[ID Produto]])*($H$2:$H993) - ($C$2:$C993="Saida")*($F$2:$F993=Tabela_Movimentacao_Geral[[#This Row],[ID Produto]])*($H$2:$H993)),
    IF(_xlpm.saldo_atual &gt; 0, IF(RANDBETWEEN(0,10)&gt;3,"Saida","Entrada"), "Entrada")
  ),
  Tabela_Movimentacao_Geral[[#This Row],[Tipo Fluxo]]
)</f>
        <v>Saida</v>
      </c>
      <c r="D99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CLI018</v>
      </c>
      <c r="E99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Clinica Sorriso</v>
      </c>
      <c r="F994" t="str">
        <f ca="1">IF(
  $O$7="Desbloqueado",
  "PROD"&amp;TEXT(RANDBETWEEN(1,200),"000"),
  Tabela_Movimentacao_Geral[[#This Row],[ID Produto]]
)</f>
        <v>PROD088</v>
      </c>
      <c r="G994" t="str">
        <f ca="1">_xlfn.XLOOKUP(Tabela_Movimentacao_Geral[[#This Row],[ID Produto]], Tabela_Produtos[ID_Produto],Tabela_Produtos[Descricao_Produto],"Produto não encontrado")</f>
        <v>Guia de Cabos Horizontal</v>
      </c>
      <c r="H994" cm="1">
        <f t="array" aca="1" ref="H994" ca="1">IF(
   $O$7="Desbloqueado",
   _xlfn.LET(
     _xlpm.saldo_atual, SUM(($C$2:$C993="Entrada")*($F$2:$F993=Tabela_Movimentacao_Geral[[#This Row],[ID Produto]])*($H$2:$H993) - ($C$2:$C993="Saida")*($F$2:$F993=Tabela_Movimentacao_Geral[[#This Row],[ID Produto]])*($H$2:$H993)),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6</v>
      </c>
      <c r="I994" s="5">
        <f ca="1">_xlfn.XLOOKUP(Tabela_Movimentacao_Geral[[#This Row],[ID Produto]], Tabela_Produtos[ID_Produto],Tabela_Produtos[Preco_Unitario_Venda])</f>
        <v>65</v>
      </c>
      <c r="J994" s="6">
        <f ca="1">Tabela_Movimentacao_Geral[[#This Row],[Quantidade]] * Tabela_Movimentacao_Geral[[#This Row],[Valor Unitário]]</f>
        <v>390</v>
      </c>
      <c r="K994" t="str">
        <f ca="1">IF(
   $O$7="Desbloqueado",
   CHOOSE(RANDBETWEEN(1,3),"Pago","Pendente","Atrasado"),
   Tabela_Movimentacao_Geral[[#This Row],[Status Financeiro]]
)</f>
        <v>Pendente</v>
      </c>
      <c r="L994" t="str">
        <f ca="1">IF(
   $O$7="Desbloqueado",
   CHOOSE(RANDBETWEEN(1,3),"Entregue","Em Rota","Aguardando"),
   Tabela_Movimentacao_Geral[[#This Row],[Status Logistico]]
)</f>
        <v>Em Rota</v>
      </c>
      <c r="M99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95" spans="1:13" x14ac:dyDescent="0.3">
      <c r="A995" t="str">
        <f t="shared" si="15"/>
        <v>T0994</v>
      </c>
      <c r="B995" s="1">
        <v>46134</v>
      </c>
      <c r="C995" t="str" cm="1">
        <f t="array" aca="1" ref="C995" ca="1">IF($O$7="Desbloqueado",
  _xlfn.LET(
    _xlpm.saldo_atual, SUM(($C$2:$C994="Entrada")*($F$2:$F994=Tabela_Movimentacao_Geral[[#This Row],[ID Produto]])*($H$2:$H994) - ($C$2:$C994="Saida")*($F$2:$F994=Tabela_Movimentacao_Geral[[#This Row],[ID Produto]])*($H$2:$H994)),
    IF(_xlpm.saldo_atual &gt; 0, IF(RANDBETWEEN(0,10)&gt;3,"Saida","Entrada"), "Entrada")
  ),
  Tabela_Movimentacao_Geral[[#This Row],[Tipo Fluxo]]
)</f>
        <v>Saida</v>
      </c>
      <c r="D99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99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995" t="str">
        <f ca="1">IF(
  $O$7="Desbloqueado",
  "PROD"&amp;TEXT(RANDBETWEEN(1,200),"000"),
  Tabela_Movimentacao_Geral[[#This Row],[ID Produto]]
)</f>
        <v>PROD151</v>
      </c>
      <c r="G995" t="str">
        <f ca="1">_xlfn.XLOOKUP(Tabela_Movimentacao_Geral[[#This Row],[ID Produto]], Tabela_Produtos[ID_Produto],Tabela_Produtos[Descricao_Produto],"Produto não encontrado")</f>
        <v>Papel Fotografico A4 20fls</v>
      </c>
      <c r="H995" cm="1">
        <f t="array" aca="1" ref="H995" ca="1">IF(
   $O$7="Desbloqueado",
   _xlfn.LET(
     _xlpm.saldo_atual, SUM(($C$2:$C994="Entrada")*($F$2:$F994=Tabela_Movimentacao_Geral[[#This Row],[ID Produto]])*($H$2:$H994) - ($C$2:$C994="Saida")*($F$2:$F994=Tabela_Movimentacao_Geral[[#This Row],[ID Produto]])*($H$2:$H994)),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36</v>
      </c>
      <c r="I995" s="5">
        <f ca="1">_xlfn.XLOOKUP(Tabela_Movimentacao_Geral[[#This Row],[ID Produto]], Tabela_Produtos[ID_Produto],Tabela_Produtos[Preco_Unitario_Venda])</f>
        <v>45</v>
      </c>
      <c r="J995" s="6">
        <f ca="1">Tabela_Movimentacao_Geral[[#This Row],[Quantidade]] * Tabela_Movimentacao_Geral[[#This Row],[Valor Unitário]]</f>
        <v>1620</v>
      </c>
      <c r="K995" t="str">
        <f ca="1">IF(
   $O$7="Desbloqueado",
   CHOOSE(RANDBETWEEN(1,3),"Pago","Pendente","Atrasado"),
   Tabela_Movimentacao_Geral[[#This Row],[Status Financeiro]]
)</f>
        <v>Atrasado</v>
      </c>
      <c r="L995" t="str">
        <f ca="1">IF(
   $O$7="Desbloqueado",
   CHOOSE(RANDBETWEEN(1,3),"Entregue","Em Rota","Aguardando"),
   Tabela_Movimentacao_Geral[[#This Row],[Status Logistico]]
)</f>
        <v>Em Rota</v>
      </c>
      <c r="M99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96" spans="1:13" x14ac:dyDescent="0.3">
      <c r="A996" t="str">
        <f t="shared" si="15"/>
        <v>T0995</v>
      </c>
      <c r="B996" s="1">
        <v>46135</v>
      </c>
      <c r="C996" t="str" cm="1">
        <f t="array" aca="1" ref="C996" ca="1">IF($O$7="Desbloqueado",
  _xlfn.LET(
    _xlpm.saldo_atual, SUM(($C$2:$C995="Entrada")*($F$2:$F995=Tabela_Movimentacao_Geral[[#This Row],[ID Produto]])*($H$2:$H995) - ($C$2:$C995="Saida")*($F$2:$F995=Tabela_Movimentacao_Geral[[#This Row],[ID Produto]])*($H$2:$H995)),
    IF(_xlpm.saldo_atual &gt; 0, IF(RANDBETWEEN(0,10)&gt;3,"Saida","Entrada"), "Entrada")
  ),
  Tabela_Movimentacao_Geral[[#This Row],[Tipo Fluxo]]
)</f>
        <v>Saida</v>
      </c>
      <c r="D99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CLI017</v>
      </c>
      <c r="E99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Restaurante Sabor</v>
      </c>
      <c r="F996" t="str">
        <f ca="1">IF(
  $O$7="Desbloqueado",
  "PROD"&amp;TEXT(RANDBETWEEN(1,200),"000"),
  Tabela_Movimentacao_Geral[[#This Row],[ID Produto]]
)</f>
        <v>PROD182</v>
      </c>
      <c r="G996" t="str">
        <f ca="1">_xlfn.XLOOKUP(Tabela_Movimentacao_Geral[[#This Row],[ID Produto]], Tabela_Produtos[ID_Produto],Tabela_Produtos[Descricao_Produto],"Produto não encontrado")</f>
        <v>Fonte Redundante 750W</v>
      </c>
      <c r="H996" cm="1">
        <f t="array" aca="1" ref="H996" ca="1">IF(
   $O$7="Desbloqueado",
   _xlfn.LET(
     _xlpm.saldo_atual, SUM(($C$2:$C995="Entrada")*($F$2:$F995=Tabela_Movimentacao_Geral[[#This Row],[ID Produto]])*($H$2:$H995) - ($C$2:$C995="Saida")*($F$2:$F995=Tabela_Movimentacao_Geral[[#This Row],[ID Produto]])*($H$2:$H995)),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147</v>
      </c>
      <c r="I996" s="5">
        <f ca="1">_xlfn.XLOOKUP(Tabela_Movimentacao_Geral[[#This Row],[ID Produto]], Tabela_Produtos[ID_Produto],Tabela_Produtos[Preco_Unitario_Venda])</f>
        <v>1850</v>
      </c>
      <c r="J996" s="6">
        <f ca="1">Tabela_Movimentacao_Geral[[#This Row],[Quantidade]] * Tabela_Movimentacao_Geral[[#This Row],[Valor Unitário]]</f>
        <v>271950</v>
      </c>
      <c r="K996" t="str">
        <f ca="1">IF(
   $O$7="Desbloqueado",
   CHOOSE(RANDBETWEEN(1,3),"Pago","Pendente","Atrasado"),
   Tabela_Movimentacao_Geral[[#This Row],[Status Financeiro]]
)</f>
        <v>Atrasado</v>
      </c>
      <c r="L996" t="str">
        <f ca="1">IF(
   $O$7="Desbloqueado",
   CHOOSE(RANDBETWEEN(1,3),"Entregue","Em Rota","Aguardando"),
   Tabela_Movimentacao_Geral[[#This Row],[Status Logistico]]
)</f>
        <v>Entregue</v>
      </c>
      <c r="M99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997" spans="1:13" x14ac:dyDescent="0.3">
      <c r="A997" t="str">
        <f t="shared" si="15"/>
        <v>T0996</v>
      </c>
      <c r="B997" s="1">
        <v>46135</v>
      </c>
      <c r="C997" t="str" cm="1">
        <f t="array" aca="1" ref="C997" ca="1">IF($O$7="Desbloqueado",
  _xlfn.LET(
    _xlpm.saldo_atual, SUM(($C$2:$C996="Entrada")*($F$2:$F996=Tabela_Movimentacao_Geral[[#This Row],[ID Produto]])*($H$2:$H996) - ($C$2:$C996="Saida")*($F$2:$F996=Tabela_Movimentacao_Geral[[#This Row],[ID Produto]])*($H$2:$H996)),
    IF(_xlpm.saldo_atual &gt; 0, IF(RANDBETWEEN(0,10)&gt;3,"Saida","Entrada"), "Entrada")
  ),
  Tabela_Movimentacao_Geral[[#This Row],[Tipo Fluxo]]
)</f>
        <v>Entrada</v>
      </c>
      <c r="D99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FORN011</v>
      </c>
      <c r="E99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Energy Solution</v>
      </c>
      <c r="F997" t="str">
        <f ca="1">IF(
  $O$7="Desbloqueado",
  "PROD"&amp;TEXT(RANDBETWEEN(1,200),"000"),
  Tabela_Movimentacao_Geral[[#This Row],[ID Produto]]
)</f>
        <v>PROD082</v>
      </c>
      <c r="G997" t="str">
        <f ca="1">_xlfn.XLOOKUP(Tabela_Movimentacao_Geral[[#This Row],[ID Produto]], Tabela_Produtos[ID_Produto],Tabela_Produtos[Descricao_Produto],"Produto não encontrado")</f>
        <v>HD SAS 600GB 15K</v>
      </c>
      <c r="H997" cm="1">
        <f t="array" aca="1" ref="H997" ca="1">IF(
   $O$7="Desbloqueado",
   _xlfn.LET(
     _xlpm.saldo_atual, SUM(($C$2:$C996="Entrada")*($F$2:$F996=Tabela_Movimentacao_Geral[[#This Row],[ID Produto]])*($H$2:$H996) - ($C$2:$C996="Saida")*($F$2:$F996=Tabela_Movimentacao_Geral[[#This Row],[ID Produto]])*($H$2:$H996)),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21</v>
      </c>
      <c r="I997" s="5">
        <f ca="1">_xlfn.XLOOKUP(Tabela_Movimentacao_Geral[[#This Row],[ID Produto]], Tabela_Produtos[ID_Produto],Tabela_Produtos[Preco_Unitario_Venda])</f>
        <v>1800</v>
      </c>
      <c r="J997" s="6">
        <f ca="1">Tabela_Movimentacao_Geral[[#This Row],[Quantidade]] * Tabela_Movimentacao_Geral[[#This Row],[Valor Unitário]]</f>
        <v>37800</v>
      </c>
      <c r="K997" t="str">
        <f ca="1">IF(
   $O$7="Desbloqueado",
   CHOOSE(RANDBETWEEN(1,3),"Pago","Pendente","Atrasado"),
   Tabela_Movimentacao_Geral[[#This Row],[Status Financeiro]]
)</f>
        <v>Pago</v>
      </c>
      <c r="L997" t="str">
        <f ca="1">IF(
   $O$7="Desbloqueado",
   CHOOSE(RANDBETWEEN(1,3),"Entregue","Em Rota","Aguardando"),
   Tabela_Movimentacao_Geral[[#This Row],[Status Logistico]]
)</f>
        <v>Em Rota</v>
      </c>
      <c r="M997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46139</v>
      </c>
    </row>
    <row r="998" spans="1:13" x14ac:dyDescent="0.3">
      <c r="A998" t="str">
        <f t="shared" si="15"/>
        <v>T0997</v>
      </c>
      <c r="B998" s="1">
        <v>46135</v>
      </c>
      <c r="C998" t="str" cm="1">
        <f t="array" aca="1" ref="C998" ca="1">IF($O$7="Desbloqueado",
  _xlfn.LET(
    _xlpm.saldo_atual, SUM(($C$2:$C997="Entrada")*($F$2:$F997=Tabela_Movimentacao_Geral[[#This Row],[ID Produto]])*($H$2:$H997) - ($C$2:$C997="Saida")*($F$2:$F997=Tabela_Movimentacao_Geral[[#This Row],[ID Produto]])*($H$2:$H997)),
    IF(_xlpm.saldo_atual &gt; 0, IF(RANDBETWEEN(0,10)&gt;3,"Saida","Entrada"), "Entrada")
  ),
  Tabela_Movimentacao_Geral[[#This Row],[Tipo Fluxo]]
)</f>
        <v>Entrada</v>
      </c>
      <c r="D99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FORN019</v>
      </c>
      <c r="E99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Mega Storage</v>
      </c>
      <c r="F998" t="str">
        <f ca="1">IF(
  $O$7="Desbloqueado",
  "PROD"&amp;TEXT(RANDBETWEEN(1,200),"000"),
  Tabela_Movimentacao_Geral[[#This Row],[ID Produto]]
)</f>
        <v>PROD182</v>
      </c>
      <c r="G998" t="str">
        <f ca="1">_xlfn.XLOOKUP(Tabela_Movimentacao_Geral[[#This Row],[ID Produto]], Tabela_Produtos[ID_Produto],Tabela_Produtos[Descricao_Produto],"Produto não encontrado")</f>
        <v>Fonte Redundante 750W</v>
      </c>
      <c r="H998" cm="1">
        <f t="array" aca="1" ref="H998" ca="1">IF(
   $O$7="Desbloqueado",
   _xlfn.LET(
     _xlpm.saldo_atual, SUM(($C$2:$C997="Entrada")*($F$2:$F997=Tabela_Movimentacao_Geral[[#This Row],[ID Produto]])*($H$2:$H997) - ($C$2:$C997="Saida")*($F$2:$F997=Tabela_Movimentacao_Geral[[#This Row],[ID Produto]])*($H$2:$H997)),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4</v>
      </c>
      <c r="I998" s="5">
        <f ca="1">_xlfn.XLOOKUP(Tabela_Movimentacao_Geral[[#This Row],[ID Produto]], Tabela_Produtos[ID_Produto],Tabela_Produtos[Preco_Unitario_Venda])</f>
        <v>1850</v>
      </c>
      <c r="J998" s="6">
        <f ca="1">Tabela_Movimentacao_Geral[[#This Row],[Quantidade]] * Tabela_Movimentacao_Geral[[#This Row],[Valor Unitário]]</f>
        <v>7400</v>
      </c>
      <c r="K998" t="str">
        <f ca="1">IF(
   $O$7="Desbloqueado",
   CHOOSE(RANDBETWEEN(1,3),"Pago","Pendente","Atrasado"),
   Tabela_Movimentacao_Geral[[#This Row],[Status Financeiro]]
)</f>
        <v>Pendente</v>
      </c>
      <c r="L998" t="str">
        <f ca="1">IF(
   $O$7="Desbloqueado",
   CHOOSE(RANDBETWEEN(1,3),"Entregue","Em Rota","Aguardando"),
   Tabela_Movimentacao_Geral[[#This Row],[Status Logistico]]
)</f>
        <v>Entregue</v>
      </c>
      <c r="M99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46143</v>
      </c>
    </row>
    <row r="999" spans="1:13" x14ac:dyDescent="0.3">
      <c r="A999" t="str">
        <f t="shared" si="15"/>
        <v>T0998</v>
      </c>
      <c r="B999" s="1">
        <v>46135</v>
      </c>
      <c r="C999" t="str" cm="1">
        <f t="array" aca="1" ref="C999" ca="1">IF($O$7="Desbloqueado",
  _xlfn.LET(
    _xlpm.saldo_atual, SUM(($C$2:$C998="Entrada")*($F$2:$F998=Tabela_Movimentacao_Geral[[#This Row],[ID Produto]])*($H$2:$H998) - ($C$2:$C998="Saida")*($F$2:$F998=Tabela_Movimentacao_Geral[[#This Row],[ID Produto]])*($H$2:$H998)),
    IF(_xlpm.saldo_atual &gt; 0, IF(RANDBETWEEN(0,10)&gt;3,"Saida","Entrada"), "Entrada")
  ),
  Tabela_Movimentacao_Geral[[#This Row],[Tipo Fluxo]]
)</f>
        <v>Saida</v>
      </c>
      <c r="D99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CLI016</v>
      </c>
      <c r="E99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Auto Pecas Jato</v>
      </c>
      <c r="F999" t="str">
        <f ca="1">IF(
  $O$7="Desbloqueado",
  "PROD"&amp;TEXT(RANDBETWEEN(1,200),"000"),
  Tabela_Movimentacao_Geral[[#This Row],[ID Produto]]
)</f>
        <v>PROD142</v>
      </c>
      <c r="G999" t="str">
        <f ca="1">_xlfn.XLOOKUP(Tabela_Movimentacao_Geral[[#This Row],[ID Produto]], Tabela_Produtos[ID_Produto],Tabela_Produtos[Descricao_Produto],"Produto não encontrado")</f>
        <v>Trava de Seguranca Note</v>
      </c>
      <c r="H999" cm="1">
        <f t="array" aca="1" ref="H999" ca="1">IF(
   $O$7="Desbloqueado",
   _xlfn.LET(
     _xlpm.saldo_atual, SUM(($C$2:$C998="Entrada")*($F$2:$F998=Tabela_Movimentacao_Geral[[#This Row],[ID Produto]])*($H$2:$H998) - ($C$2:$C998="Saida")*($F$2:$F998=Tabela_Movimentacao_Geral[[#This Row],[ID Produto]])*($H$2:$H998)),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22</v>
      </c>
      <c r="I999" s="5">
        <f ca="1">_xlfn.XLOOKUP(Tabela_Movimentacao_Geral[[#This Row],[ID Produto]], Tabela_Produtos[ID_Produto],Tabela_Produtos[Preco_Unitario_Venda])</f>
        <v>85</v>
      </c>
      <c r="J999" s="6">
        <f ca="1">Tabela_Movimentacao_Geral[[#This Row],[Quantidade]] * Tabela_Movimentacao_Geral[[#This Row],[Valor Unitário]]</f>
        <v>1870</v>
      </c>
      <c r="K999" t="str">
        <f ca="1">IF(
   $O$7="Desbloqueado",
   CHOOSE(RANDBETWEEN(1,3),"Pago","Pendente","Atrasado"),
   Tabela_Movimentacao_Geral[[#This Row],[Status Financeiro]]
)</f>
        <v>Pendente</v>
      </c>
      <c r="L999" t="str">
        <f ca="1">IF(
   $O$7="Desbloqueado",
   CHOOSE(RANDBETWEEN(1,3),"Entregue","Em Rota","Aguardando"),
   Tabela_Movimentacao_Geral[[#This Row],[Status Logistico]]
)</f>
        <v>Em Rota</v>
      </c>
      <c r="M999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00" spans="1:13" x14ac:dyDescent="0.3">
      <c r="A1000" t="str">
        <f t="shared" si="15"/>
        <v>T0999</v>
      </c>
      <c r="B1000" s="1">
        <v>46136</v>
      </c>
      <c r="C1000" t="str" cm="1">
        <f t="array" aca="1" ref="C1000" ca="1">IF($O$7="Desbloqueado",
  _xlfn.LET(
    _xlpm.saldo_atual, SUM(($C$2:$C999="Entrada")*($F$2:$F999=Tabela_Movimentacao_Geral[[#This Row],[ID Produto]])*($H$2:$H999) - ($C$2:$C999="Saida")*($F$2:$F999=Tabela_Movimentacao_Geral[[#This Row],[ID Produto]])*($H$2:$H999)),
    IF(_xlpm.saldo_atual &gt; 0, IF(RANDBETWEEN(0,10)&gt;3,"Saida","Entrada"), "Entrada")
  ),
  Tabela_Movimentacao_Geral[[#This Row],[Tipo Fluxo]]
)</f>
        <v>Saida</v>
      </c>
      <c r="D100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CLI011</v>
      </c>
      <c r="E100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Academia Fit</v>
      </c>
      <c r="F1000" t="str">
        <f ca="1">IF(
  $O$7="Desbloqueado",
  "PROD"&amp;TEXT(RANDBETWEEN(1,200),"000"),
  Tabela_Movimentacao_Geral[[#This Row],[ID Produto]]
)</f>
        <v>PROD118</v>
      </c>
      <c r="G1000" t="str">
        <f ca="1">_xlfn.XLOOKUP(Tabela_Movimentacao_Geral[[#This Row],[ID Produto]], Tabela_Produtos[ID_Produto],Tabela_Produtos[Descricao_Produto],"Produto não encontrado")</f>
        <v>Case para HD Externo 2.5</v>
      </c>
      <c r="H1000" cm="1">
        <f t="array" aca="1" ref="H1000" ca="1">IF(
   $O$7="Desbloqueado",
   _xlfn.LET(
     _xlpm.saldo_atual, SUM(($C$2:$C999="Entrada")*($F$2:$F999=Tabela_Movimentacao_Geral[[#This Row],[ID Produto]])*($H$2:$H999) - ($C$2:$C999="Saida")*($F$2:$F999=Tabela_Movimentacao_Geral[[#This Row],[ID Produto]])*($H$2:$H999)),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1000" s="5">
        <f ca="1">_xlfn.XLOOKUP(Tabela_Movimentacao_Geral[[#This Row],[ID Produto]], Tabela_Produtos[ID_Produto],Tabela_Produtos[Preco_Unitario_Venda])</f>
        <v>55</v>
      </c>
      <c r="J1000" s="6">
        <f ca="1">Tabela_Movimentacao_Geral[[#This Row],[Quantidade]] * Tabela_Movimentacao_Geral[[#This Row],[Valor Unitário]]</f>
        <v>1265</v>
      </c>
      <c r="K1000" t="str">
        <f ca="1">IF(
   $O$7="Desbloqueado",
   CHOOSE(RANDBETWEEN(1,3),"Pago","Pendente","Atrasado"),
   Tabela_Movimentacao_Geral[[#This Row],[Status Financeiro]]
)</f>
        <v>Pago</v>
      </c>
      <c r="L1000" t="str">
        <f ca="1">IF(
   $O$7="Desbloqueado",
   CHOOSE(RANDBETWEEN(1,3),"Entregue","Em Rota","Aguardando"),
   Tabela_Movimentacao_Geral[[#This Row],[Status Logistico]]
)</f>
        <v>Entregue</v>
      </c>
      <c r="M100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01" spans="1:13" x14ac:dyDescent="0.3">
      <c r="A1001" t="str">
        <f t="shared" si="15"/>
        <v>T1000</v>
      </c>
      <c r="B1001" s="1">
        <v>46136</v>
      </c>
      <c r="C1001" t="str" cm="1">
        <f t="array" aca="1" ref="C1001" ca="1">IF($O$7="Desbloqueado",
  _xlfn.LET(
    _xlpm.saldo_atual, SUM(($C$2:$C1000="Entrada")*($F$2:$F1000=Tabela_Movimentacao_Geral[[#This Row],[ID Produto]])*($H$2:$H1000) - ($C$2:$C1000="Saida")*($F$2:$F1000=Tabela_Movimentacao_Geral[[#This Row],[ID Produto]])*($H$2:$H1000)),
    IF(_xlpm.saldo_atual &gt; 0, IF(RANDBETWEEN(0,10)&gt;3,"Saida","Entrada"), "Entrada")
  ),
  Tabela_Movimentacao_Geral[[#This Row],[Tipo Fluxo]]
)</f>
        <v>Entrada</v>
      </c>
      <c r="D100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100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1001" t="str">
        <f ca="1">IF(
  $O$7="Desbloqueado",
  "PROD"&amp;TEXT(RANDBETWEEN(1,200),"000"),
  Tabela_Movimentacao_Geral[[#This Row],[ID Produto]]
)</f>
        <v>PROD022</v>
      </c>
      <c r="G1001" t="str">
        <f ca="1">_xlfn.XLOOKUP(Tabela_Movimentacao_Geral[[#This Row],[ID Produto]], Tabela_Produtos[ID_Produto],Tabela_Produtos[Descricao_Produto],"Produto não encontrado")</f>
        <v>Licenca Windows 11 Pro</v>
      </c>
      <c r="H1001" cm="1">
        <f t="array" aca="1" ref="H1001" ca="1">IF(
   $O$7="Desbloqueado",
   _xlfn.LET(
     _xlpm.saldo_atual, SUM(($C$2:$C1000="Entrada")*($F$2:$F1000=Tabela_Movimentacao_Geral[[#This Row],[ID Produto]])*($H$2:$H1000) - ($C$2:$C1000="Saida")*($F$2:$F1000=Tabela_Movimentacao_Geral[[#This Row],[ID Produto]])*($H$2:$H1000)),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37</v>
      </c>
      <c r="I1001" s="5">
        <f ca="1">_xlfn.XLOOKUP(Tabela_Movimentacao_Geral[[#This Row],[ID Produto]], Tabela_Produtos[ID_Produto],Tabela_Produtos[Preco_Unitario_Venda])</f>
        <v>980</v>
      </c>
      <c r="J1001" s="6">
        <f ca="1">Tabela_Movimentacao_Geral[[#This Row],[Quantidade]] * Tabela_Movimentacao_Geral[[#This Row],[Valor Unitário]]</f>
        <v>36260</v>
      </c>
      <c r="K1001" t="str">
        <f ca="1">IF(
   $O$7="Desbloqueado",
   CHOOSE(RANDBETWEEN(1,3),"Pago","Pendente","Atrasado"),
   Tabela_Movimentacao_Geral[[#This Row],[Status Financeiro]]
)</f>
        <v>Atrasado</v>
      </c>
      <c r="L1001" t="str">
        <f ca="1">IF(
   $O$7="Desbloqueado",
   CHOOSE(RANDBETWEEN(1,3),"Entregue","Em Rota","Aguardando"),
   Tabela_Movimentacao_Geral[[#This Row],[Status Logistico]]
)</f>
        <v>Em Rota</v>
      </c>
      <c r="M1001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46139</v>
      </c>
    </row>
    <row r="1002" spans="1:13" x14ac:dyDescent="0.3">
      <c r="A1002" t="str">
        <f t="shared" si="15"/>
        <v>T1001</v>
      </c>
      <c r="B1002" s="1">
        <v>46136</v>
      </c>
      <c r="C1002" t="str" cm="1">
        <f t="array" aca="1" ref="C1002" ca="1">IF($O$7="Desbloqueado",
  _xlfn.LET(
    _xlpm.saldo_atual, SUM(($C$2:$C1001="Entrada")*($F$2:$F1001=Tabela_Movimentacao_Geral[[#This Row],[ID Produto]])*($H$2:$H1001) - ($C$2:$C1001="Saida")*($F$2:$F1001=Tabela_Movimentacao_Geral[[#This Row],[ID Produto]])*($H$2:$H1001)),
    IF(_xlpm.saldo_atual &gt; 0, IF(RANDBETWEEN(0,10)&gt;3,"Saida","Entrada"), "Entrada")
  ),
  Tabela_Movimentacao_Geral[[#This Row],[Tipo Fluxo]]
)</f>
        <v>Entrada</v>
      </c>
      <c r="D100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FORN012</v>
      </c>
      <c r="E100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Fast Delivery</v>
      </c>
      <c r="F1002" t="str">
        <f ca="1">IF(
  $O$7="Desbloqueado",
  "PROD"&amp;TEXT(RANDBETWEEN(1,200),"000"),
  Tabela_Movimentacao_Geral[[#This Row],[ID Produto]]
)</f>
        <v>PROD092</v>
      </c>
      <c r="G1002" t="str">
        <f ca="1">_xlfn.XLOOKUP(Tabela_Movimentacao_Geral[[#This Row],[ID Produto]], Tabela_Produtos[ID_Produto],Tabela_Produtos[Descricao_Produto],"Produto não encontrado")</f>
        <v>Fita LTO-8 Ultrium</v>
      </c>
      <c r="H1002" cm="1">
        <f t="array" aca="1" ref="H1002" ca="1">IF(
   $O$7="Desbloqueado",
   _xlfn.LET(
     _xlpm.saldo_atual, SUM(($C$2:$C1001="Entrada")*($F$2:$F1001=Tabela_Movimentacao_Geral[[#This Row],[ID Produto]])*($H$2:$H1001) - ($C$2:$C1001="Saida")*($F$2:$F1001=Tabela_Movimentacao_Geral[[#This Row],[ID Produto]])*($H$2:$H1001)),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23</v>
      </c>
      <c r="I1002" s="5">
        <f ca="1">_xlfn.XLOOKUP(Tabela_Movimentacao_Geral[[#This Row],[ID Produto]], Tabela_Produtos[ID_Produto],Tabela_Produtos[Preco_Unitario_Venda])</f>
        <v>950</v>
      </c>
      <c r="J1002" s="6">
        <f ca="1">Tabela_Movimentacao_Geral[[#This Row],[Quantidade]] * Tabela_Movimentacao_Geral[[#This Row],[Valor Unitário]]</f>
        <v>21850</v>
      </c>
      <c r="K1002" t="str">
        <f ca="1">IF(
   $O$7="Desbloqueado",
   CHOOSE(RANDBETWEEN(1,3),"Pago","Pendente","Atrasado"),
   Tabela_Movimentacao_Geral[[#This Row],[Status Financeiro]]
)</f>
        <v>Pendente</v>
      </c>
      <c r="L1002" t="str">
        <f ca="1">IF(
   $O$7="Desbloqueado",
   CHOOSE(RANDBETWEEN(1,3),"Entregue","Em Rota","Aguardando"),
   Tabela_Movimentacao_Geral[[#This Row],[Status Logistico]]
)</f>
        <v>Entregue</v>
      </c>
      <c r="M100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46137</v>
      </c>
    </row>
    <row r="1003" spans="1:13" x14ac:dyDescent="0.3">
      <c r="A1003" t="str">
        <f t="shared" si="15"/>
        <v>T1002</v>
      </c>
      <c r="B1003" s="1">
        <v>46137</v>
      </c>
      <c r="C1003" t="str" cm="1">
        <f t="array" aca="1" ref="C1003" ca="1">IF($O$7="Desbloqueado",
  _xlfn.LET(
    _xlpm.saldo_atual, SUM(($C$2:$C1002="Entrada")*($F$2:$F1002=Tabela_Movimentacao_Geral[[#This Row],[ID Produto]])*($H$2:$H1002) - ($C$2:$C1002="Saida")*($F$2:$F1002=Tabela_Movimentacao_Geral[[#This Row],[ID Produto]])*($H$2:$H1002)),
    IF(_xlpm.saldo_atual &gt; 0, IF(RANDBETWEEN(0,10)&gt;3,"Saida","Entrada"), "Entrada")
  ),
  Tabela_Movimentacao_Geral[[#This Row],[Tipo Fluxo]]
)</f>
        <v>Entrada</v>
      </c>
      <c r="D100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FORN014</v>
      </c>
      <c r="E100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DevTools Inc</v>
      </c>
      <c r="F1003" t="str">
        <f ca="1">IF(
  $O$7="Desbloqueado",
  "PROD"&amp;TEXT(RANDBETWEEN(1,200),"000"),
  Tabela_Movimentacao_Geral[[#This Row],[ID Produto]]
)</f>
        <v>PROD145</v>
      </c>
      <c r="G1003" t="str">
        <f ca="1">_xlfn.XLOOKUP(Tabela_Movimentacao_Geral[[#This Row],[ID Produto]], Tabela_Produtos[ID_Produto],Tabela_Produtos[Descricao_Produto],"Produto não encontrado")</f>
        <v>Pulseira Antiestatica</v>
      </c>
      <c r="H1003" cm="1">
        <f t="array" aca="1" ref="H1003" ca="1">IF(
   $O$7="Desbloqueado",
   _xlfn.LET(
     _xlpm.saldo_atual, SUM(($C$2:$C1002="Entrada")*($F$2:$F1002=Tabela_Movimentacao_Geral[[#This Row],[ID Produto]])*($H$2:$H1002) - ($C$2:$C1002="Saida")*($F$2:$F1002=Tabela_Movimentacao_Geral[[#This Row],[ID Produto]])*($H$2:$H1002)),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31</v>
      </c>
      <c r="I1003" s="5">
        <f ca="1">_xlfn.XLOOKUP(Tabela_Movimentacao_Geral[[#This Row],[ID Produto]], Tabela_Produtos[ID_Produto],Tabela_Produtos[Preco_Unitario_Venda])</f>
        <v>25</v>
      </c>
      <c r="J1003" s="6">
        <f ca="1">Tabela_Movimentacao_Geral[[#This Row],[Quantidade]] * Tabela_Movimentacao_Geral[[#This Row],[Valor Unitário]]</f>
        <v>775</v>
      </c>
      <c r="K1003" t="str">
        <f ca="1">IF(
   $O$7="Desbloqueado",
   CHOOSE(RANDBETWEEN(1,3),"Pago","Pendente","Atrasado"),
   Tabela_Movimentacao_Geral[[#This Row],[Status Financeiro]]
)</f>
        <v>Atrasado</v>
      </c>
      <c r="L1003" t="str">
        <f ca="1">IF(
   $O$7="Desbloqueado",
   CHOOSE(RANDBETWEEN(1,3),"Entregue","Em Rota","Aguardando"),
   Tabela_Movimentacao_Geral[[#This Row],[Status Logistico]]
)</f>
        <v>Entregue</v>
      </c>
      <c r="M1003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46138</v>
      </c>
    </row>
    <row r="1004" spans="1:13" x14ac:dyDescent="0.3">
      <c r="A1004" t="str">
        <f t="shared" si="15"/>
        <v>T1003</v>
      </c>
      <c r="B1004" s="1">
        <v>46138</v>
      </c>
      <c r="C1004" t="str" cm="1">
        <f t="array" aca="1" ref="C1004" ca="1">IF($O$7="Desbloqueado",
  _xlfn.LET(
    _xlpm.saldo_atual, SUM(($C$2:$C1003="Entrada")*($F$2:$F1003=Tabela_Movimentacao_Geral[[#This Row],[ID Produto]])*($H$2:$H1003) - ($C$2:$C1003="Saida")*($F$2:$F1003=Tabela_Movimentacao_Geral[[#This Row],[ID Produto]])*($H$2:$H1003)),
    IF(_xlpm.saldo_atual &gt; 0, IF(RANDBETWEEN(0,10)&gt;3,"Saida","Entrada"), "Entrada")
  ),
  Tabela_Movimentacao_Geral[[#This Row],[Tipo Fluxo]]
)</f>
        <v>Entrada</v>
      </c>
      <c r="D100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FORN005</v>
      </c>
      <c r="E100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CloudNexus Data</v>
      </c>
      <c r="F1004" t="str">
        <f ca="1">IF(
  $O$7="Desbloqueado",
  "PROD"&amp;TEXT(RANDBETWEEN(1,200),"000"),
  Tabela_Movimentacao_Geral[[#This Row],[ID Produto]]
)</f>
        <v>PROD131</v>
      </c>
      <c r="G1004" t="str">
        <f ca="1">_xlfn.XLOOKUP(Tabela_Movimentacao_Geral[[#This Row],[ID Produto]], Tabela_Produtos[ID_Produto],Tabela_Produtos[Descricao_Produto],"Produto não encontrado")</f>
        <v>Bateria Nobreak 12V 7Ah</v>
      </c>
      <c r="H1004" cm="1">
        <f t="array" aca="1" ref="H1004" ca="1">IF(
   $O$7="Desbloqueado",
   _xlfn.LET(
     _xlpm.saldo_atual, SUM(($C$2:$C1003="Entrada")*($F$2:$F1003=Tabela_Movimentacao_Geral[[#This Row],[ID Produto]])*($H$2:$H1003) - ($C$2:$C1003="Saida")*($F$2:$F1003=Tabela_Movimentacao_Geral[[#This Row],[ID Produto]])*($H$2:$H1003)),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72</v>
      </c>
      <c r="I1004" s="5">
        <f ca="1">_xlfn.XLOOKUP(Tabela_Movimentacao_Geral[[#This Row],[ID Produto]], Tabela_Produtos[ID_Produto],Tabela_Produtos[Preco_Unitario_Venda])</f>
        <v>145</v>
      </c>
      <c r="J1004" s="6">
        <f ca="1">Tabela_Movimentacao_Geral[[#This Row],[Quantidade]] * Tabela_Movimentacao_Geral[[#This Row],[Valor Unitário]]</f>
        <v>10440</v>
      </c>
      <c r="K1004" t="str">
        <f ca="1">IF(
   $O$7="Desbloqueado",
   CHOOSE(RANDBETWEEN(1,3),"Pago","Pendente","Atrasado"),
   Tabela_Movimentacao_Geral[[#This Row],[Status Financeiro]]
)</f>
        <v>Atrasado</v>
      </c>
      <c r="L1004" t="str">
        <f ca="1">IF(
   $O$7="Desbloqueado",
   CHOOSE(RANDBETWEEN(1,3),"Entregue","Em Rota","Aguardando"),
   Tabela_Movimentacao_Geral[[#This Row],[Status Logistico]]
)</f>
        <v>Aguardando</v>
      </c>
      <c r="M1004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46139</v>
      </c>
    </row>
    <row r="1005" spans="1:13" x14ac:dyDescent="0.3">
      <c r="A1005" t="str">
        <f t="shared" si="15"/>
        <v>T1004</v>
      </c>
      <c r="B1005" s="1">
        <v>46138</v>
      </c>
      <c r="C1005" t="str" cm="1">
        <f t="array" aca="1" ref="C1005" ca="1">IF($O$7="Desbloqueado",
  _xlfn.LET(
    _xlpm.saldo_atual, SUM(($C$2:$C1004="Entrada")*($F$2:$F1004=Tabela_Movimentacao_Geral[[#This Row],[ID Produto]])*($H$2:$H1004) - ($C$2:$C1004="Saida")*($F$2:$F1004=Tabela_Movimentacao_Geral[[#This Row],[ID Produto]])*($H$2:$H1004)),
    IF(_xlpm.saldo_atual &gt; 0, IF(RANDBETWEEN(0,10)&gt;3,"Saida","Entrada"), "Entrada")
  ),
  Tabela_Movimentacao_Geral[[#This Row],[Tipo Fluxo]]
)</f>
        <v>Entrada</v>
      </c>
      <c r="D100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100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1005" t="str">
        <f ca="1">IF(
  $O$7="Desbloqueado",
  "PROD"&amp;TEXT(RANDBETWEEN(1,200),"000"),
  Tabela_Movimentacao_Geral[[#This Row],[ID Produto]]
)</f>
        <v>PROD058</v>
      </c>
      <c r="G1005" t="str">
        <f ca="1">_xlfn.XLOOKUP(Tabela_Movimentacao_Geral[[#This Row],[ID Produto]], Tabela_Produtos[ID_Produto],Tabela_Produtos[Descricao_Produto],"Produto não encontrado")</f>
        <v>Caneta Esferografica Preta</v>
      </c>
      <c r="H1005" cm="1">
        <f t="array" aca="1" ref="H1005" ca="1">IF(
   $O$7="Desbloqueado",
   _xlfn.LET(
     _xlpm.saldo_atual, SUM(($C$2:$C1004="Entrada")*($F$2:$F1004=Tabela_Movimentacao_Geral[[#This Row],[ID Produto]])*($H$2:$H1004) - ($C$2:$C1004="Saida")*($F$2:$F1004=Tabela_Movimentacao_Geral[[#This Row],[ID Produto]])*($H$2:$H1004)),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19</v>
      </c>
      <c r="I1005" s="5">
        <f ca="1">_xlfn.XLOOKUP(Tabela_Movimentacao_Geral[[#This Row],[ID Produto]], Tabela_Produtos[ID_Produto],Tabela_Produtos[Preco_Unitario_Venda])</f>
        <v>1.5</v>
      </c>
      <c r="J1005" s="6">
        <f ca="1">Tabela_Movimentacao_Geral[[#This Row],[Quantidade]] * Tabela_Movimentacao_Geral[[#This Row],[Valor Unitário]]</f>
        <v>28.5</v>
      </c>
      <c r="K1005" t="str">
        <f ca="1">IF(
   $O$7="Desbloqueado",
   CHOOSE(RANDBETWEEN(1,3),"Pago","Pendente","Atrasado"),
   Tabela_Movimentacao_Geral[[#This Row],[Status Financeiro]]
)</f>
        <v>Pendente</v>
      </c>
      <c r="L1005" t="str">
        <f ca="1">IF(
   $O$7="Desbloqueado",
   CHOOSE(RANDBETWEEN(1,3),"Entregue","Em Rota","Aguardando"),
   Tabela_Movimentacao_Geral[[#This Row],[Status Logistico]]
)</f>
        <v>Aguardando</v>
      </c>
      <c r="M1005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46148</v>
      </c>
    </row>
    <row r="1006" spans="1:13" x14ac:dyDescent="0.3">
      <c r="A1006" t="str">
        <f t="shared" si="15"/>
        <v>T1005</v>
      </c>
      <c r="B1006" s="1">
        <v>46138</v>
      </c>
      <c r="C1006" t="str" cm="1">
        <f t="array" aca="1" ref="C1006" ca="1">IF($O$7="Desbloqueado",
  _xlfn.LET(
    _xlpm.saldo_atual, SUM(($C$2:$C1005="Entrada")*($F$2:$F1005=Tabela_Movimentacao_Geral[[#This Row],[ID Produto]])*($H$2:$H1005) - ($C$2:$C1005="Saida")*($F$2:$F1005=Tabela_Movimentacao_Geral[[#This Row],[ID Produto]])*($H$2:$H1005)),
    IF(_xlpm.saldo_atual &gt; 0, IF(RANDBETWEEN(0,10)&gt;3,"Saida","Entrada"), "Entrada")
  ),
  Tabela_Movimentacao_Geral[[#This Row],[Tipo Fluxo]]
)</f>
        <v>Entrada</v>
      </c>
      <c r="D100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100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1006" t="str">
        <f ca="1">IF(
  $O$7="Desbloqueado",
  "PROD"&amp;TEXT(RANDBETWEEN(1,200),"000"),
  Tabela_Movimentacao_Geral[[#This Row],[ID Produto]]
)</f>
        <v>PROD060</v>
      </c>
      <c r="G1006" t="str">
        <f ca="1">_xlfn.XLOOKUP(Tabela_Movimentacao_Geral[[#This Row],[ID Produto]], Tabela_Produtos[ID_Produto],Tabela_Produtos[Descricao_Produto],"Produto não encontrado")</f>
        <v>Grafite 0.7mm HB</v>
      </c>
      <c r="H1006" cm="1">
        <f t="array" aca="1" ref="H1006" ca="1">IF(
   $O$7="Desbloqueado",
   _xlfn.LET(
     _xlpm.saldo_atual, SUM(($C$2:$C1005="Entrada")*($F$2:$F1005=Tabela_Movimentacao_Geral[[#This Row],[ID Produto]])*($H$2:$H1005) - ($C$2:$C1005="Saida")*($F$2:$F1005=Tabela_Movimentacao_Geral[[#This Row],[ID Produto]])*($H$2:$H1005)),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18</v>
      </c>
      <c r="I1006" s="5">
        <f ca="1">_xlfn.XLOOKUP(Tabela_Movimentacao_Geral[[#This Row],[ID Produto]], Tabela_Produtos[ID_Produto],Tabela_Produtos[Preco_Unitario_Venda])</f>
        <v>5</v>
      </c>
      <c r="J1006" s="6">
        <f ca="1">Tabela_Movimentacao_Geral[[#This Row],[Quantidade]] * Tabela_Movimentacao_Geral[[#This Row],[Valor Unitário]]</f>
        <v>90</v>
      </c>
      <c r="K1006" t="str">
        <f ca="1">IF(
   $O$7="Desbloqueado",
   CHOOSE(RANDBETWEEN(1,3),"Pago","Pendente","Atrasado"),
   Tabela_Movimentacao_Geral[[#This Row],[Status Financeiro]]
)</f>
        <v>Pago</v>
      </c>
      <c r="L1006" t="str">
        <f ca="1">IF(
   $O$7="Desbloqueado",
   CHOOSE(RANDBETWEEN(1,3),"Entregue","Em Rota","Aguardando"),
   Tabela_Movimentacao_Geral[[#This Row],[Status Logistico]]
)</f>
        <v>Aguardando</v>
      </c>
      <c r="M1006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46141</v>
      </c>
    </row>
    <row r="1007" spans="1:13" x14ac:dyDescent="0.3">
      <c r="A1007" t="str">
        <f t="shared" si="15"/>
        <v>T1006</v>
      </c>
      <c r="B1007" s="1">
        <v>46139</v>
      </c>
      <c r="C1007" t="str" cm="1">
        <f t="array" aca="1" ref="C1007" ca="1">IF($O$7="Desbloqueado",
  _xlfn.LET(
    _xlpm.saldo_atual, SUM(($C$2:$C1006="Entrada")*($F$2:$F1006=Tabela_Movimentacao_Geral[[#This Row],[ID Produto]])*($H$2:$H1006) - ($C$2:$C1006="Saida")*($F$2:$F1006=Tabela_Movimentacao_Geral[[#This Row],[ID Produto]])*($H$2:$H1006)),
    IF(_xlpm.saldo_atual &gt; 0, IF(RANDBETWEEN(0,10)&gt;3,"Saida","Entrada"), "Entrada")
  ),
  Tabela_Movimentacao_Geral[[#This Row],[Tipo Fluxo]]
)</f>
        <v>Saida</v>
      </c>
      <c r="D100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CLI006</v>
      </c>
      <c r="E100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Construtora Forte</v>
      </c>
      <c r="F1007" t="str">
        <f ca="1">IF(
  $O$7="Desbloqueado",
  "PROD"&amp;TEXT(RANDBETWEEN(1,200),"000"),
  Tabela_Movimentacao_Geral[[#This Row],[ID Produto]]
)</f>
        <v>PROD056</v>
      </c>
      <c r="G1007" t="str">
        <f ca="1">_xlfn.XLOOKUP(Tabela_Movimentacao_Geral[[#This Row],[ID Produto]], Tabela_Produtos[ID_Produto],Tabela_Produtos[Descricao_Produto],"Produto não encontrado")</f>
        <v>Envelope Pardo A4 50un</v>
      </c>
      <c r="H1007" cm="1">
        <f t="array" aca="1" ref="H1007" ca="1">IF(
   $O$7="Desbloqueado",
   _xlfn.LET(
     _xlpm.saldo_atual, SUM(($C$2:$C1006="Entrada")*($F$2:$F1006=Tabela_Movimentacao_Geral[[#This Row],[ID Produto]])*($H$2:$H1006) - ($C$2:$C1006="Saida")*($F$2:$F1006=Tabela_Movimentacao_Geral[[#This Row],[ID Produto]])*($H$2:$H1006)),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98</v>
      </c>
      <c r="I1007" s="5">
        <f ca="1">_xlfn.XLOOKUP(Tabela_Movimentacao_Geral[[#This Row],[ID Produto]], Tabela_Produtos[ID_Produto],Tabela_Produtos[Preco_Unitario_Venda])</f>
        <v>25</v>
      </c>
      <c r="J1007" s="6">
        <f ca="1">Tabela_Movimentacao_Geral[[#This Row],[Quantidade]] * Tabela_Movimentacao_Geral[[#This Row],[Valor Unitário]]</f>
        <v>2450</v>
      </c>
      <c r="K1007" t="str">
        <f ca="1">IF(
   $O$7="Desbloqueado",
   CHOOSE(RANDBETWEEN(1,3),"Pago","Pendente","Atrasado"),
   Tabela_Movimentacao_Geral[[#This Row],[Status Financeiro]]
)</f>
        <v>Atrasado</v>
      </c>
      <c r="L1007" t="str">
        <f ca="1">IF(
   $O$7="Desbloqueado",
   CHOOSE(RANDBETWEEN(1,3),"Entregue","Em Rota","Aguardando"),
   Tabela_Movimentacao_Geral[[#This Row],[Status Logistico]]
)</f>
        <v>Em Rota</v>
      </c>
      <c r="M100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08" spans="1:13" x14ac:dyDescent="0.3">
      <c r="A1008" t="str">
        <f t="shared" si="15"/>
        <v>T1007</v>
      </c>
      <c r="B1008" s="1">
        <v>46139</v>
      </c>
      <c r="C1008" t="str" cm="1">
        <f t="array" aca="1" ref="C1008" ca="1">IF($O$7="Desbloqueado",
  _xlfn.LET(
    _xlpm.saldo_atual, SUM(($C$2:$C1007="Entrada")*($F$2:$F1007=Tabela_Movimentacao_Geral[[#This Row],[ID Produto]])*($H$2:$H1007) - ($C$2:$C1007="Saida")*($F$2:$F1007=Tabela_Movimentacao_Geral[[#This Row],[ID Produto]])*($H$2:$H1007)),
    IF(_xlpm.saldo_atual &gt; 0, IF(RANDBETWEEN(0,10)&gt;3,"Saida","Entrada"), "Entrada")
  ),
  Tabela_Movimentacao_Geral[[#This Row],[Tipo Fluxo]]
)</f>
        <v>Entrada</v>
      </c>
      <c r="D100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FORN007</v>
      </c>
      <c r="E100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CyberSecurity SA</v>
      </c>
      <c r="F1008" t="str">
        <f ca="1">IF(
  $O$7="Desbloqueado",
  "PROD"&amp;TEXT(RANDBETWEEN(1,200),"000"),
  Tabela_Movimentacao_Geral[[#This Row],[ID Produto]]
)</f>
        <v>PROD185</v>
      </c>
      <c r="G1008" t="str">
        <f ca="1">_xlfn.XLOOKUP(Tabela_Movimentacao_Geral[[#This Row],[ID Produto]], Tabela_Produtos[ID_Produto],Tabela_Produtos[Descricao_Produto],"Produto não encontrado")</f>
        <v>PDU Básica 12 Tomadas</v>
      </c>
      <c r="H1008" cm="1">
        <f t="array" aca="1" ref="H1008" ca="1">IF(
   $O$7="Desbloqueado",
   _xlfn.LET(
     _xlpm.saldo_atual, SUM(($C$2:$C1007="Entrada")*($F$2:$F1007=Tabela_Movimentacao_Geral[[#This Row],[ID Produto]])*($H$2:$H1007) - ($C$2:$C1007="Saida")*($F$2:$F1007=Tabela_Movimentacao_Geral[[#This Row],[ID Produto]])*($H$2:$H1007)),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88</v>
      </c>
      <c r="I1008" s="5">
        <f ca="1">_xlfn.XLOOKUP(Tabela_Movimentacao_Geral[[#This Row],[ID Produto]], Tabela_Produtos[ID_Produto],Tabela_Produtos[Preco_Unitario_Venda])</f>
        <v>380</v>
      </c>
      <c r="J1008" s="6">
        <f ca="1">Tabela_Movimentacao_Geral[[#This Row],[Quantidade]] * Tabela_Movimentacao_Geral[[#This Row],[Valor Unitário]]</f>
        <v>33440</v>
      </c>
      <c r="K1008" t="str">
        <f ca="1">IF(
   $O$7="Desbloqueado",
   CHOOSE(RANDBETWEEN(1,3),"Pago","Pendente","Atrasado"),
   Tabela_Movimentacao_Geral[[#This Row],[Status Financeiro]]
)</f>
        <v>Atrasado</v>
      </c>
      <c r="L1008" t="str">
        <f ca="1">IF(
   $O$7="Desbloqueado",
   CHOOSE(RANDBETWEEN(1,3),"Entregue","Em Rota","Aguardando"),
   Tabela_Movimentacao_Geral[[#This Row],[Status Logistico]]
)</f>
        <v>Entregue</v>
      </c>
      <c r="M100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46146</v>
      </c>
    </row>
    <row r="1009" spans="1:13" x14ac:dyDescent="0.3">
      <c r="A1009" t="str">
        <f t="shared" si="15"/>
        <v>T1008</v>
      </c>
      <c r="B1009" s="1">
        <v>46139</v>
      </c>
      <c r="C1009" t="str" cm="1">
        <f t="array" aca="1" ref="C1009" ca="1">IF($O$7="Desbloqueado",
  _xlfn.LET(
    _xlpm.saldo_atual, SUM(($C$2:$C1008="Entrada")*($F$2:$F1008=Tabela_Movimentacao_Geral[[#This Row],[ID Produto]])*($H$2:$H1008) - ($C$2:$C1008="Saida")*($F$2:$F1008=Tabela_Movimentacao_Geral[[#This Row],[ID Produto]])*($H$2:$H1008)),
    IF(_xlpm.saldo_atual &gt; 0, IF(RANDBETWEEN(0,10)&gt;3,"Saida","Entrada"), "Entrada")
  ),
  Tabela_Movimentacao_Geral[[#This Row],[Tipo Fluxo]]
)</f>
        <v>Entrada</v>
      </c>
      <c r="D100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FORN009</v>
      </c>
      <c r="E100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Movel Tech</v>
      </c>
      <c r="F1009" t="str">
        <f ca="1">IF(
  $O$7="Desbloqueado",
  "PROD"&amp;TEXT(RANDBETWEEN(1,200),"000"),
  Tabela_Movimentacao_Geral[[#This Row],[ID Produto]]
)</f>
        <v>PROD160</v>
      </c>
      <c r="G1009" t="str">
        <f ca="1">_xlfn.XLOOKUP(Tabela_Movimentacao_Geral[[#This Row],[ID Produto]], Tabela_Produtos[ID_Produto],Tabela_Produtos[Descricao_Produto],"Produto não encontrado")</f>
        <v>Alfinete para Quadro 50un</v>
      </c>
      <c r="H1009" cm="1">
        <f t="array" aca="1" ref="H1009" ca="1">IF(
   $O$7="Desbloqueado",
   _xlfn.LET(
     _xlpm.saldo_atual, SUM(($C$2:$C1008="Entrada")*($F$2:$F1008=Tabela_Movimentacao_Geral[[#This Row],[ID Produto]])*($H$2:$H1008) - ($C$2:$C1008="Saida")*($F$2:$F1008=Tabela_Movimentacao_Geral[[#This Row],[ID Produto]])*($H$2:$H1008)),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148</v>
      </c>
      <c r="I1009" s="5">
        <f ca="1">_xlfn.XLOOKUP(Tabela_Movimentacao_Geral[[#This Row],[ID Produto]], Tabela_Produtos[ID_Produto],Tabela_Produtos[Preco_Unitario_Venda])</f>
        <v>9</v>
      </c>
      <c r="J1009" s="6">
        <f ca="1">Tabela_Movimentacao_Geral[[#This Row],[Quantidade]] * Tabela_Movimentacao_Geral[[#This Row],[Valor Unitário]]</f>
        <v>1332</v>
      </c>
      <c r="K1009" t="str">
        <f ca="1">IF(
   $O$7="Desbloqueado",
   CHOOSE(RANDBETWEEN(1,3),"Pago","Pendente","Atrasado"),
   Tabela_Movimentacao_Geral[[#This Row],[Status Financeiro]]
)</f>
        <v>Pago</v>
      </c>
      <c r="L1009" t="str">
        <f ca="1">IF(
   $O$7="Desbloqueado",
   CHOOSE(RANDBETWEEN(1,3),"Entregue","Em Rota","Aguardando"),
   Tabela_Movimentacao_Geral[[#This Row],[Status Logistico]]
)</f>
        <v>Entregue</v>
      </c>
      <c r="M100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46149</v>
      </c>
    </row>
    <row r="1010" spans="1:13" x14ac:dyDescent="0.3">
      <c r="A1010" t="str">
        <f t="shared" si="15"/>
        <v>T1009</v>
      </c>
      <c r="B1010" s="1">
        <v>46140</v>
      </c>
      <c r="C1010" t="str" cm="1">
        <f t="array" aca="1" ref="C1010" ca="1">IF($O$7="Desbloqueado",
  _xlfn.LET(
    _xlpm.saldo_atual, SUM(($C$2:$C1009="Entrada")*($F$2:$F1009=Tabela_Movimentacao_Geral[[#This Row],[ID Produto]])*($H$2:$H1009) - ($C$2:$C1009="Saida")*($F$2:$F1009=Tabela_Movimentacao_Geral[[#This Row],[ID Produto]])*($H$2:$H1009)),
    IF(_xlpm.saldo_atual &gt; 0, IF(RANDBETWEEN(0,10)&gt;3,"Saida","Entrada"), "Entrada")
  ),
  Tabela_Movimentacao_Geral[[#This Row],[Tipo Fluxo]]
)</f>
        <v>Saida</v>
      </c>
      <c r="D101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CLI005</v>
      </c>
      <c r="E101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Banco Futuro</v>
      </c>
      <c r="F1010" t="str">
        <f ca="1">IF(
  $O$7="Desbloqueado",
  "PROD"&amp;TEXT(RANDBETWEEN(1,200),"000"),
  Tabela_Movimentacao_Geral[[#This Row],[ID Produto]]
)</f>
        <v>PROD167</v>
      </c>
      <c r="G1010" t="str">
        <f ca="1">_xlfn.XLOOKUP(Tabela_Movimentacao_Geral[[#This Row],[ID Produto]], Tabela_Produtos[ID_Produto],Tabela_Produtos[Descricao_Produto],"Produto não encontrado")</f>
        <v>Pasta L Transparente 10un</v>
      </c>
      <c r="H1010" cm="1">
        <f t="array" aca="1" ref="H1010" ca="1">IF(
   $O$7="Desbloqueado",
   _xlfn.LET(
     _xlpm.saldo_atual, SUM(($C$2:$C1009="Entrada")*($F$2:$F1009=Tabela_Movimentacao_Geral[[#This Row],[ID Produto]])*($H$2:$H1009) - ($C$2:$C1009="Saida")*($F$2:$F1009=Tabela_Movimentacao_Geral[[#This Row],[ID Produto]])*($H$2:$H1009)),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123</v>
      </c>
      <c r="I1010" s="5">
        <f ca="1">_xlfn.XLOOKUP(Tabela_Movimentacao_Geral[[#This Row],[ID Produto]], Tabela_Produtos[ID_Produto],Tabela_Produtos[Preco_Unitario_Venda])</f>
        <v>18</v>
      </c>
      <c r="J1010" s="6">
        <f ca="1">Tabela_Movimentacao_Geral[[#This Row],[Quantidade]] * Tabela_Movimentacao_Geral[[#This Row],[Valor Unitário]]</f>
        <v>2214</v>
      </c>
      <c r="K1010" t="str">
        <f ca="1">IF(
   $O$7="Desbloqueado",
   CHOOSE(RANDBETWEEN(1,3),"Pago","Pendente","Atrasado"),
   Tabela_Movimentacao_Geral[[#This Row],[Status Financeiro]]
)</f>
        <v>Atrasado</v>
      </c>
      <c r="L1010" t="str">
        <f ca="1">IF(
   $O$7="Desbloqueado",
   CHOOSE(RANDBETWEEN(1,3),"Entregue","Em Rota","Aguardando"),
   Tabela_Movimentacao_Geral[[#This Row],[Status Logistico]]
)</f>
        <v>Entregue</v>
      </c>
      <c r="M1010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11" spans="1:13" x14ac:dyDescent="0.3">
      <c r="A1011" t="str">
        <f t="shared" si="15"/>
        <v>T1010</v>
      </c>
      <c r="B1011" s="1">
        <v>46140</v>
      </c>
      <c r="C1011" t="str" cm="1">
        <f t="array" aca="1" ref="C1011" ca="1">IF($O$7="Desbloqueado",
  _xlfn.LET(
    _xlpm.saldo_atual, SUM(($C$2:$C1010="Entrada")*($F$2:$F1010=Tabela_Movimentacao_Geral[[#This Row],[ID Produto]])*($H$2:$H1010) - ($C$2:$C1010="Saida")*($F$2:$F1010=Tabela_Movimentacao_Geral[[#This Row],[ID Produto]])*($H$2:$H1010)),
    IF(_xlpm.saldo_atual &gt; 0, IF(RANDBETWEEN(0,10)&gt;3,"Saida","Entrada"), "Entrada")
  ),
  Tabela_Movimentacao_Geral[[#This Row],[Tipo Fluxo]]
)</f>
        <v>Saida</v>
      </c>
      <c r="D101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101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1011" t="str">
        <f ca="1">IF(
  $O$7="Desbloqueado",
  "PROD"&amp;TEXT(RANDBETWEEN(1,200),"000"),
  Tabela_Movimentacao_Geral[[#This Row],[ID Produto]]
)</f>
        <v>PROD131</v>
      </c>
      <c r="G1011" t="str">
        <f ca="1">_xlfn.XLOOKUP(Tabela_Movimentacao_Geral[[#This Row],[ID Produto]], Tabela_Produtos[ID_Produto],Tabela_Produtos[Descricao_Produto],"Produto não encontrado")</f>
        <v>Bateria Nobreak 12V 7Ah</v>
      </c>
      <c r="H1011" cm="1">
        <f t="array" aca="1" ref="H1011" ca="1">IF(
   $O$7="Desbloqueado",
   _xlfn.LET(
     _xlpm.saldo_atual, SUM(($C$2:$C1010="Entrada")*($F$2:$F1010=Tabela_Movimentacao_Geral[[#This Row],[ID Produto]])*($H$2:$H1010) - ($C$2:$C1010="Saida")*($F$2:$F1010=Tabela_Movimentacao_Geral[[#This Row],[ID Produto]])*($H$2:$H1010)),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88</v>
      </c>
      <c r="I1011" s="5">
        <f ca="1">_xlfn.XLOOKUP(Tabela_Movimentacao_Geral[[#This Row],[ID Produto]], Tabela_Produtos[ID_Produto],Tabela_Produtos[Preco_Unitario_Venda])</f>
        <v>145</v>
      </c>
      <c r="J1011" s="6">
        <f ca="1">Tabela_Movimentacao_Geral[[#This Row],[Quantidade]] * Tabela_Movimentacao_Geral[[#This Row],[Valor Unitário]]</f>
        <v>12760</v>
      </c>
      <c r="K1011" t="str">
        <f ca="1">IF(
   $O$7="Desbloqueado",
   CHOOSE(RANDBETWEEN(1,3),"Pago","Pendente","Atrasado"),
   Tabela_Movimentacao_Geral[[#This Row],[Status Financeiro]]
)</f>
        <v>Atrasado</v>
      </c>
      <c r="L1011" t="str">
        <f ca="1">IF(
   $O$7="Desbloqueado",
   CHOOSE(RANDBETWEEN(1,3),"Entregue","Em Rota","Aguardando"),
   Tabela_Movimentacao_Geral[[#This Row],[Status Logistico]]
)</f>
        <v>Aguardando</v>
      </c>
      <c r="M101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12" spans="1:13" x14ac:dyDescent="0.3">
      <c r="A1012" t="str">
        <f t="shared" si="15"/>
        <v>T1011</v>
      </c>
      <c r="B1012" s="1">
        <v>46140</v>
      </c>
      <c r="C1012" t="str" cm="1">
        <f t="array" aca="1" ref="C1012" ca="1">IF($O$7="Desbloqueado",
  _xlfn.LET(
    _xlpm.saldo_atual, SUM(($C$2:$C1011="Entrada")*($F$2:$F1011=Tabela_Movimentacao_Geral[[#This Row],[ID Produto]])*($H$2:$H1011) - ($C$2:$C1011="Saida")*($F$2:$F1011=Tabela_Movimentacao_Geral[[#This Row],[ID Produto]])*($H$2:$H1011)),
    IF(_xlpm.saldo_atual &gt; 0, IF(RANDBETWEEN(0,10)&gt;3,"Saida","Entrada"), "Entrada")
  ),
  Tabela_Movimentacao_Geral[[#This Row],[Tipo Fluxo]]
)</f>
        <v>Entrada</v>
      </c>
      <c r="D1012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FORN018</v>
      </c>
      <c r="E1012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Link Direct</v>
      </c>
      <c r="F1012" t="str">
        <f ca="1">IF(
  $O$7="Desbloqueado",
  "PROD"&amp;TEXT(RANDBETWEEN(1,200),"000"),
  Tabela_Movimentacao_Geral[[#This Row],[ID Produto]]
)</f>
        <v>PROD151</v>
      </c>
      <c r="G1012" t="str">
        <f ca="1">_xlfn.XLOOKUP(Tabela_Movimentacao_Geral[[#This Row],[ID Produto]], Tabela_Produtos[ID_Produto],Tabela_Produtos[Descricao_Produto],"Produto não encontrado")</f>
        <v>Papel Fotografico A4 20fls</v>
      </c>
      <c r="H1012" cm="1">
        <f t="array" aca="1" ref="H1012" ca="1">IF(
   $O$7="Desbloqueado",
   _xlfn.LET(
     _xlpm.saldo_atual, SUM(($C$2:$C1011="Entrada")*($F$2:$F1011=Tabela_Movimentacao_Geral[[#This Row],[ID Produto]])*($H$2:$H1011) - ($C$2:$C1011="Saida")*($F$2:$F1011=Tabela_Movimentacao_Geral[[#This Row],[ID Produto]])*($H$2:$H1011)),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</v>
      </c>
      <c r="I1012" s="5">
        <f ca="1">_xlfn.XLOOKUP(Tabela_Movimentacao_Geral[[#This Row],[ID Produto]], Tabela_Produtos[ID_Produto],Tabela_Produtos[Preco_Unitario_Venda])</f>
        <v>45</v>
      </c>
      <c r="J1012" s="6">
        <f ca="1">Tabela_Movimentacao_Geral[[#This Row],[Quantidade]] * Tabela_Movimentacao_Geral[[#This Row],[Valor Unitário]]</f>
        <v>315</v>
      </c>
      <c r="K1012" t="str">
        <f ca="1">IF(
   $O$7="Desbloqueado",
   CHOOSE(RANDBETWEEN(1,3),"Pago","Pendente","Atrasado"),
   Tabela_Movimentacao_Geral[[#This Row],[Status Financeiro]]
)</f>
        <v>Atrasado</v>
      </c>
      <c r="L1012" t="str">
        <f ca="1">IF(
   $O$7="Desbloqueado",
   CHOOSE(RANDBETWEEN(1,3),"Entregue","Em Rota","Aguardando"),
   Tabela_Movimentacao_Geral[[#This Row],[Status Logistico]]
)</f>
        <v>Aguardando</v>
      </c>
      <c r="M1012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46142</v>
      </c>
    </row>
    <row r="1013" spans="1:13" x14ac:dyDescent="0.3">
      <c r="A1013" t="str">
        <f t="shared" si="15"/>
        <v>T1012</v>
      </c>
      <c r="B1013" s="1">
        <v>46140</v>
      </c>
      <c r="C1013" t="str" cm="1">
        <f t="array" aca="1" ref="C1013" ca="1">IF($O$7="Desbloqueado",
  _xlfn.LET(
    _xlpm.saldo_atual, SUM(($C$2:$C1012="Entrada")*($F$2:$F1012=Tabela_Movimentacao_Geral[[#This Row],[ID Produto]])*($H$2:$H1012) - ($C$2:$C1012="Saida")*($F$2:$F1012=Tabela_Movimentacao_Geral[[#This Row],[ID Produto]])*($H$2:$H1012)),
    IF(_xlpm.saldo_atual &gt; 0, IF(RANDBETWEEN(0,10)&gt;3,"Saida","Entrada"), "Entrada")
  ),
  Tabela_Movimentacao_Geral[[#This Row],[Tipo Fluxo]]
)</f>
        <v>Saida</v>
      </c>
      <c r="D1013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CLI013</v>
      </c>
      <c r="E1013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Advocacia Associada</v>
      </c>
      <c r="F1013" t="str">
        <f ca="1">IF(
  $O$7="Desbloqueado",
  "PROD"&amp;TEXT(RANDBETWEEN(1,200),"000"),
  Tabela_Movimentacao_Geral[[#This Row],[ID Produto]]
)</f>
        <v>PROD017</v>
      </c>
      <c r="G1013" t="str">
        <f ca="1">_xlfn.XLOOKUP(Tabela_Movimentacao_Geral[[#This Row],[ID Produto]], Tabela_Produtos[ID_Produto],Tabela_Produtos[Descricao_Produto],"Produto não encontrado")</f>
        <v>Adaptador USB-C para HDMI</v>
      </c>
      <c r="H1013" cm="1">
        <f t="array" aca="1" ref="H1013" ca="1">IF(
   $O$7="Desbloqueado",
   _xlfn.LET(
     _xlpm.saldo_atual, SUM(($C$2:$C1012="Entrada")*($F$2:$F1012=Tabela_Movimentacao_Geral[[#This Row],[ID Produto]])*($H$2:$H1012) - ($C$2:$C1012="Saida")*($F$2:$F1012=Tabela_Movimentacao_Geral[[#This Row],[ID Produto]])*($H$2:$H1012)),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95</v>
      </c>
      <c r="I1013" s="5">
        <f ca="1">_xlfn.XLOOKUP(Tabela_Movimentacao_Geral[[#This Row],[ID Produto]], Tabela_Produtos[ID_Produto],Tabela_Produtos[Preco_Unitario_Venda])</f>
        <v>130</v>
      </c>
      <c r="J1013" s="6">
        <f ca="1">Tabela_Movimentacao_Geral[[#This Row],[Quantidade]] * Tabela_Movimentacao_Geral[[#This Row],[Valor Unitário]]</f>
        <v>12350</v>
      </c>
      <c r="K1013" t="str">
        <f ca="1">IF(
   $O$7="Desbloqueado",
   CHOOSE(RANDBETWEEN(1,3),"Pago","Pendente","Atrasado"),
   Tabela_Movimentacao_Geral[[#This Row],[Status Financeiro]]
)</f>
        <v>Atrasado</v>
      </c>
      <c r="L1013" t="str">
        <f ca="1">IF(
   $O$7="Desbloqueado",
   CHOOSE(RANDBETWEEN(1,3),"Entregue","Em Rota","Aguardando"),
   Tabela_Movimentacao_Geral[[#This Row],[Status Logistico]]
)</f>
        <v>Em Rota</v>
      </c>
      <c r="M1013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14" spans="1:13" x14ac:dyDescent="0.3">
      <c r="A1014" t="str">
        <f t="shared" si="15"/>
        <v>T1013</v>
      </c>
      <c r="B1014" s="1">
        <v>46140</v>
      </c>
      <c r="C1014" t="str" cm="1">
        <f t="array" aca="1" ref="C1014" ca="1">IF($O$7="Desbloqueado",
  _xlfn.LET(
    _xlpm.saldo_atual, SUM(($C$2:$C1013="Entrada")*($F$2:$F1013=Tabela_Movimentacao_Geral[[#This Row],[ID Produto]])*($H$2:$H1013) - ($C$2:$C1013="Saida")*($F$2:$F1013=Tabela_Movimentacao_Geral[[#This Row],[ID Produto]])*($H$2:$H1013)),
    IF(_xlpm.saldo_atual &gt; 0, IF(RANDBETWEEN(0,10)&gt;3,"Saida","Entrada"), "Entrada")
  ),
  Tabela_Movimentacao_Geral[[#This Row],[Tipo Fluxo]]
)</f>
        <v>Saida</v>
      </c>
      <c r="D1014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CLI007</v>
      </c>
      <c r="E1014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Tecno Logica</v>
      </c>
      <c r="F1014" t="str">
        <f ca="1">IF(
  $O$7="Desbloqueado",
  "PROD"&amp;TEXT(RANDBETWEEN(1,200),"000"),
  Tabela_Movimentacao_Geral[[#This Row],[ID Produto]]
)</f>
        <v>PROD132</v>
      </c>
      <c r="G1014" t="str">
        <f ca="1">_xlfn.XLOOKUP(Tabela_Movimentacao_Geral[[#This Row],[ID Produto]], Tabela_Produtos[ID_Produto],Tabela_Produtos[Descricao_Produto],"Produto não encontrado")</f>
        <v>Cooler para Gabinete 120mm</v>
      </c>
      <c r="H1014" cm="1">
        <f t="array" aca="1" ref="H1014" ca="1">IF(
   $O$7="Desbloqueado",
   _xlfn.LET(
     _xlpm.saldo_atual, SUM(($C$2:$C1013="Entrada")*($F$2:$F1013=Tabela_Movimentacao_Geral[[#This Row],[ID Produto]])*($H$2:$H1013) - ($C$2:$C1013="Saida")*($F$2:$F1013=Tabela_Movimentacao_Geral[[#This Row],[ID Produto]])*($H$2:$H1013)),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127</v>
      </c>
      <c r="I1014" s="5">
        <f ca="1">_xlfn.XLOOKUP(Tabela_Movimentacao_Geral[[#This Row],[ID Produto]], Tabela_Produtos[ID_Produto],Tabela_Produtos[Preco_Unitario_Venda])</f>
        <v>45</v>
      </c>
      <c r="J1014" s="6">
        <f ca="1">Tabela_Movimentacao_Geral[[#This Row],[Quantidade]] * Tabela_Movimentacao_Geral[[#This Row],[Valor Unitário]]</f>
        <v>5715</v>
      </c>
      <c r="K1014" t="str">
        <f ca="1">IF(
   $O$7="Desbloqueado",
   CHOOSE(RANDBETWEEN(1,3),"Pago","Pendente","Atrasado"),
   Tabela_Movimentacao_Geral[[#This Row],[Status Financeiro]]
)</f>
        <v>Atrasado</v>
      </c>
      <c r="L1014" t="str">
        <f ca="1">IF(
   $O$7="Desbloqueado",
   CHOOSE(RANDBETWEEN(1,3),"Entregue","Em Rota","Aguardando"),
   Tabela_Movimentacao_Geral[[#This Row],[Status Logistico]]
)</f>
        <v>Entregue</v>
      </c>
      <c r="M1014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15" spans="1:13" x14ac:dyDescent="0.3">
      <c r="A1015" t="str">
        <f t="shared" si="15"/>
        <v>T1014</v>
      </c>
      <c r="B1015" s="1">
        <v>46141</v>
      </c>
      <c r="C1015" t="str" cm="1">
        <f t="array" aca="1" ref="C1015" ca="1">IF($O$7="Desbloqueado",
  _xlfn.LET(
    _xlpm.saldo_atual, SUM(($C$2:$C1014="Entrada")*($F$2:$F1014=Tabela_Movimentacao_Geral[[#This Row],[ID Produto]])*($H$2:$H1014) - ($C$2:$C1014="Saida")*($F$2:$F1014=Tabela_Movimentacao_Geral[[#This Row],[ID Produto]])*($H$2:$H1014)),
    IF(_xlpm.saldo_atual &gt; 0, IF(RANDBETWEEN(0,10)&gt;3,"Saida","Entrada"), "Entrada")
  ),
  Tabela_Movimentacao_Geral[[#This Row],[Tipo Fluxo]]
)</f>
        <v>Saida</v>
      </c>
      <c r="D1015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1015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1015" t="str">
        <f ca="1">IF(
  $O$7="Desbloqueado",
  "PROD"&amp;TEXT(RANDBETWEEN(1,200),"000"),
  Tabela_Movimentacao_Geral[[#This Row],[ID Produto]]
)</f>
        <v>PROD159</v>
      </c>
      <c r="G1015" t="str">
        <f ca="1">_xlfn.XLOOKUP(Tabela_Movimentacao_Geral[[#This Row],[ID Produto]], Tabela_Produtos[ID_Produto],Tabela_Produtos[Descricao_Produto],"Produto não encontrado")</f>
        <v>Elastico de Borracha 100g</v>
      </c>
      <c r="H1015" cm="1">
        <f t="array" aca="1" ref="H1015" ca="1">IF(
   $O$7="Desbloqueado",
   _xlfn.LET(
     _xlpm.saldo_atual, SUM(($C$2:$C1014="Entrada")*($F$2:$F1014=Tabela_Movimentacao_Geral[[#This Row],[ID Produto]])*($H$2:$H1014) - ($C$2:$C1014="Saida")*($F$2:$F1014=Tabela_Movimentacao_Geral[[#This Row],[ID Produto]])*($H$2:$H1014)),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128</v>
      </c>
      <c r="I1015" s="5">
        <f ca="1">_xlfn.XLOOKUP(Tabela_Movimentacao_Geral[[#This Row],[ID Produto]], Tabela_Produtos[ID_Produto],Tabela_Produtos[Preco_Unitario_Venda])</f>
        <v>12</v>
      </c>
      <c r="J1015" s="6">
        <f ca="1">Tabela_Movimentacao_Geral[[#This Row],[Quantidade]] * Tabela_Movimentacao_Geral[[#This Row],[Valor Unitário]]</f>
        <v>1536</v>
      </c>
      <c r="K1015" t="str">
        <f ca="1">IF(
   $O$7="Desbloqueado",
   CHOOSE(RANDBETWEEN(1,3),"Pago","Pendente","Atrasado"),
   Tabela_Movimentacao_Geral[[#This Row],[Status Financeiro]]
)</f>
        <v>Pago</v>
      </c>
      <c r="L1015" t="str">
        <f ca="1">IF(
   $O$7="Desbloqueado",
   CHOOSE(RANDBETWEEN(1,3),"Entregue","Em Rota","Aguardando"),
   Tabela_Movimentacao_Geral[[#This Row],[Status Logistico]]
)</f>
        <v>Em Rota</v>
      </c>
      <c r="M1015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16" spans="1:13" x14ac:dyDescent="0.3">
      <c r="A1016" t="str">
        <f t="shared" si="15"/>
        <v>T1015</v>
      </c>
      <c r="B1016" s="1">
        <v>46142</v>
      </c>
      <c r="C1016" t="str" cm="1">
        <f t="array" aca="1" ref="C1016" ca="1">IF($O$7="Desbloqueado",
  _xlfn.LET(
    _xlpm.saldo_atual, SUM(($C$2:$C1015="Entrada")*($F$2:$F1015=Tabela_Movimentacao_Geral[[#This Row],[ID Produto]])*($H$2:$H1015) - ($C$2:$C1015="Saida")*($F$2:$F1015=Tabela_Movimentacao_Geral[[#This Row],[ID Produto]])*($H$2:$H1015)),
    IF(_xlpm.saldo_atual &gt; 0, IF(RANDBETWEEN(0,10)&gt;3,"Saida","Entrada"), "Entrada")
  ),
  Tabela_Movimentacao_Geral[[#This Row],[Tipo Fluxo]]
)</f>
        <v>Saida</v>
      </c>
      <c r="D1016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CLI009</v>
      </c>
      <c r="E1016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Farma Plus</v>
      </c>
      <c r="F1016" t="str">
        <f ca="1">IF(
  $O$7="Desbloqueado",
  "PROD"&amp;TEXT(RANDBETWEEN(1,200),"000"),
  Tabela_Movimentacao_Geral[[#This Row],[ID Produto]]
)</f>
        <v>PROD041</v>
      </c>
      <c r="G1016" t="str">
        <f ca="1">_xlfn.XLOOKUP(Tabela_Movimentacao_Geral[[#This Row],[ID Produto]], Tabela_Produtos[ID_Produto],Tabela_Produtos[Descricao_Produto],"Produto não encontrado")</f>
        <v>Cartao de Memoria 128GB</v>
      </c>
      <c r="H1016" cm="1">
        <f t="array" aca="1" ref="H1016" ca="1">IF(
   $O$7="Desbloqueado",
   _xlfn.LET(
     _xlpm.saldo_atual, SUM(($C$2:$C1015="Entrada")*($F$2:$F1015=Tabela_Movimentacao_Geral[[#This Row],[ID Produto]])*($H$2:$H1015) - ($C$2:$C1015="Saida")*($F$2:$F1015=Tabela_Movimentacao_Geral[[#This Row],[ID Produto]])*($H$2:$H1015)),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52</v>
      </c>
      <c r="I1016" s="5">
        <f ca="1">_xlfn.XLOOKUP(Tabela_Movimentacao_Geral[[#This Row],[ID Produto]], Tabela_Produtos[ID_Produto],Tabela_Produtos[Preco_Unitario_Venda])</f>
        <v>140</v>
      </c>
      <c r="J1016" s="6">
        <f ca="1">Tabela_Movimentacao_Geral[[#This Row],[Quantidade]] * Tabela_Movimentacao_Geral[[#This Row],[Valor Unitário]]</f>
        <v>7280</v>
      </c>
      <c r="K1016" t="str">
        <f ca="1">IF(
   $O$7="Desbloqueado",
   CHOOSE(RANDBETWEEN(1,3),"Pago","Pendente","Atrasado"),
   Tabela_Movimentacao_Geral[[#This Row],[Status Financeiro]]
)</f>
        <v>Atrasado</v>
      </c>
      <c r="L1016" t="str">
        <f ca="1">IF(
   $O$7="Desbloqueado",
   CHOOSE(RANDBETWEEN(1,3),"Entregue","Em Rota","Aguardando"),
   Tabela_Movimentacao_Geral[[#This Row],[Status Logistico]]
)</f>
        <v>Aguardando</v>
      </c>
      <c r="M1016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17" spans="1:13" x14ac:dyDescent="0.3">
      <c r="A1017" t="str">
        <f t="shared" si="15"/>
        <v>T1016</v>
      </c>
      <c r="B1017" s="1">
        <v>46143</v>
      </c>
      <c r="C1017" t="str" cm="1">
        <f t="array" aca="1" ref="C1017" ca="1">IF($O$7="Desbloqueado",
  _xlfn.LET(
    _xlpm.saldo_atual, SUM(($C$2:$C1016="Entrada")*($F$2:$F1016=Tabela_Movimentacao_Geral[[#This Row],[ID Produto]])*($H$2:$H1016) - ($C$2:$C1016="Saida")*($F$2:$F1016=Tabela_Movimentacao_Geral[[#This Row],[ID Produto]])*($H$2:$H1016)),
    IF(_xlpm.saldo_atual &gt; 0, IF(RANDBETWEEN(0,10)&gt;3,"Saida","Entrada"), "Entrada")
  ),
  Tabela_Movimentacao_Geral[[#This Row],[Tipo Fluxo]]
)</f>
        <v>Saida</v>
      </c>
      <c r="D1017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CLI015</v>
      </c>
      <c r="E1017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Pet Shop Amigo</v>
      </c>
      <c r="F1017" t="str">
        <f ca="1">IF(
  $O$7="Desbloqueado",
  "PROD"&amp;TEXT(RANDBETWEEN(1,200),"000"),
  Tabela_Movimentacao_Geral[[#This Row],[ID Produto]]
)</f>
        <v>PROD050</v>
      </c>
      <c r="G1017" t="str">
        <f ca="1">_xlfn.XLOOKUP(Tabela_Movimentacao_Geral[[#This Row],[ID Produto]], Tabela_Produtos[ID_Produto],Tabela_Produtos[Descricao_Produto],"Produto não encontrado")</f>
        <v>Leitor de Codigo de Barras</v>
      </c>
      <c r="H1017" cm="1">
        <f t="array" aca="1" ref="H1017" ca="1">IF(
   $O$7="Desbloqueado",
   _xlfn.LET(
     _xlpm.saldo_atual, SUM(($C$2:$C1016="Entrada")*($F$2:$F1016=Tabela_Movimentacao_Geral[[#This Row],[ID Produto]])*($H$2:$H1016) - ($C$2:$C1016="Saida")*($F$2:$F1016=Tabela_Movimentacao_Geral[[#This Row],[ID Produto]])*($H$2:$H1016)),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14</v>
      </c>
      <c r="I1017" s="5">
        <f ca="1">_xlfn.XLOOKUP(Tabela_Movimentacao_Geral[[#This Row],[ID Produto]], Tabela_Produtos[ID_Produto],Tabela_Produtos[Preco_Unitario_Venda])</f>
        <v>230</v>
      </c>
      <c r="J1017" s="6">
        <f ca="1">Tabela_Movimentacao_Geral[[#This Row],[Quantidade]] * Tabela_Movimentacao_Geral[[#This Row],[Valor Unitário]]</f>
        <v>3220</v>
      </c>
      <c r="K1017" t="str">
        <f ca="1">IF(
   $O$7="Desbloqueado",
   CHOOSE(RANDBETWEEN(1,3),"Pago","Pendente","Atrasado"),
   Tabela_Movimentacao_Geral[[#This Row],[Status Financeiro]]
)</f>
        <v>Pendente</v>
      </c>
      <c r="L1017" t="str">
        <f ca="1">IF(
   $O$7="Desbloqueado",
   CHOOSE(RANDBETWEEN(1,3),"Entregue","Em Rota","Aguardando"),
   Tabela_Movimentacao_Geral[[#This Row],[Status Logistico]]
)</f>
        <v>Entregue</v>
      </c>
      <c r="M1017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18" spans="1:13" x14ac:dyDescent="0.3">
      <c r="A1018" t="str">
        <f t="shared" si="15"/>
        <v>T1017</v>
      </c>
      <c r="B1018" s="1">
        <v>46143</v>
      </c>
      <c r="C1018" t="str" cm="1">
        <f t="array" aca="1" ref="C1018" ca="1">IF($O$7="Desbloqueado",
  _xlfn.LET(
    _xlpm.saldo_atual, SUM(($C$2:$C1017="Entrada")*($F$2:$F1017=Tabela_Movimentacao_Geral[[#This Row],[ID Produto]])*($H$2:$H1017) - ($C$2:$C1017="Saida")*($F$2:$F1017=Tabela_Movimentacao_Geral[[#This Row],[ID Produto]])*($H$2:$H1017)),
    IF(_xlpm.saldo_atual &gt; 0, IF(RANDBETWEEN(0,10)&gt;3,"Saida","Entrada"), "Entrada")
  ),
  Tabela_Movimentacao_Geral[[#This Row],[Tipo Fluxo]]
)</f>
        <v>Entrada</v>
      </c>
      <c r="D1018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FORN004</v>
      </c>
      <c r="E1018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LogiBrasil Transportes</v>
      </c>
      <c r="F1018" t="str">
        <f ca="1">IF(
  $O$7="Desbloqueado",
  "PROD"&amp;TEXT(RANDBETWEEN(1,200),"000"),
  Tabela_Movimentacao_Geral[[#This Row],[ID Produto]]
)</f>
        <v>PROD056</v>
      </c>
      <c r="G1018" t="str">
        <f ca="1">_xlfn.XLOOKUP(Tabela_Movimentacao_Geral[[#This Row],[ID Produto]], Tabela_Produtos[ID_Produto],Tabela_Produtos[Descricao_Produto],"Produto não encontrado")</f>
        <v>Envelope Pardo A4 50un</v>
      </c>
      <c r="H1018" cm="1">
        <f t="array" aca="1" ref="H1018" ca="1">IF(
   $O$7="Desbloqueado",
   _xlfn.LET(
     _xlpm.saldo_atual, SUM(($C$2:$C1017="Entrada")*($F$2:$F1017=Tabela_Movimentacao_Geral[[#This Row],[ID Produto]])*($H$2:$H1017) - ($C$2:$C1017="Saida")*($F$2:$F1017=Tabela_Movimentacao_Geral[[#This Row],[ID Produto]])*($H$2:$H1017)),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33</v>
      </c>
      <c r="I1018" s="5">
        <f ca="1">_xlfn.XLOOKUP(Tabela_Movimentacao_Geral[[#This Row],[ID Produto]], Tabela_Produtos[ID_Produto],Tabela_Produtos[Preco_Unitario_Venda])</f>
        <v>25</v>
      </c>
      <c r="J1018" s="6">
        <f ca="1">Tabela_Movimentacao_Geral[[#This Row],[Quantidade]] * Tabela_Movimentacao_Geral[[#This Row],[Valor Unitário]]</f>
        <v>825</v>
      </c>
      <c r="K1018" t="str">
        <f ca="1">IF(
   $O$7="Desbloqueado",
   CHOOSE(RANDBETWEEN(1,3),"Pago","Pendente","Atrasado"),
   Tabela_Movimentacao_Geral[[#This Row],[Status Financeiro]]
)</f>
        <v>Pago</v>
      </c>
      <c r="L1018" t="str">
        <f ca="1">IF(
   $O$7="Desbloqueado",
   CHOOSE(RANDBETWEEN(1,3),"Entregue","Em Rota","Aguardando"),
   Tabela_Movimentacao_Geral[[#This Row],[Status Logistico]]
)</f>
        <v>Entregue</v>
      </c>
      <c r="M1018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46146</v>
      </c>
    </row>
    <row r="1019" spans="1:13" x14ac:dyDescent="0.3">
      <c r="A1019" t="str">
        <f t="shared" si="15"/>
        <v>T1018</v>
      </c>
      <c r="B1019" s="1">
        <v>46144</v>
      </c>
      <c r="C1019" t="str" cm="1">
        <f t="array" aca="1" ref="C1019" ca="1">IF($O$7="Desbloqueado",
  _xlfn.LET(
    _xlpm.saldo_atual, SUM(($C$2:$C1018="Entrada")*($F$2:$F1018=Tabela_Movimentacao_Geral[[#This Row],[ID Produto]])*($H$2:$H1018) - ($C$2:$C1018="Saida")*($F$2:$F1018=Tabela_Movimentacao_Geral[[#This Row],[ID Produto]])*($H$2:$H1018)),
    IF(_xlpm.saldo_atual &gt; 0, IF(RANDBETWEEN(0,10)&gt;3,"Saida","Entrada"), "Entrada")
  ),
  Tabela_Movimentacao_Geral[[#This Row],[Tipo Fluxo]]
)</f>
        <v>Entrada</v>
      </c>
      <c r="D1019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FORN002</v>
      </c>
      <c r="E1019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SoftPrime Licencas</v>
      </c>
      <c r="F1019" t="str">
        <f ca="1">IF(
  $O$7="Desbloqueado",
  "PROD"&amp;TEXT(RANDBETWEEN(1,200),"000"),
  Tabela_Movimentacao_Geral[[#This Row],[ID Produto]]
)</f>
        <v>PROD161</v>
      </c>
      <c r="G1019" t="str">
        <f ca="1">_xlfn.XLOOKUP(Tabela_Movimentacao_Geral[[#This Row],[ID Produto]], Tabela_Produtos[ID_Produto],Tabela_Produtos[Descricao_Produto],"Produto não encontrado")</f>
        <v>Prancheta Oficio Madeira</v>
      </c>
      <c r="H1019" cm="1">
        <f t="array" aca="1" ref="H1019" ca="1">IF(
   $O$7="Desbloqueado",
   _xlfn.LET(
     _xlpm.saldo_atual, SUM(($C$2:$C1018="Entrada")*($F$2:$F1018=Tabela_Movimentacao_Geral[[#This Row],[ID Produto]])*($H$2:$H1018) - ($C$2:$C1018="Saida")*($F$2:$F1018=Tabela_Movimentacao_Geral[[#This Row],[ID Produto]])*($H$2:$H1018)),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78</v>
      </c>
      <c r="I1019" s="5">
        <f ca="1">_xlfn.XLOOKUP(Tabela_Movimentacao_Geral[[#This Row],[ID Produto]], Tabela_Produtos[ID_Produto],Tabela_Produtos[Preco_Unitario_Venda])</f>
        <v>15</v>
      </c>
      <c r="J1019" s="6">
        <f ca="1">Tabela_Movimentacao_Geral[[#This Row],[Quantidade]] * Tabela_Movimentacao_Geral[[#This Row],[Valor Unitário]]</f>
        <v>1170</v>
      </c>
      <c r="K1019" t="str">
        <f ca="1">IF(
   $O$7="Desbloqueado",
   CHOOSE(RANDBETWEEN(1,3),"Pago","Pendente","Atrasado"),
   Tabela_Movimentacao_Geral[[#This Row],[Status Financeiro]]
)</f>
        <v>Atrasado</v>
      </c>
      <c r="L1019" t="str">
        <f ca="1">IF(
   $O$7="Desbloqueado",
   CHOOSE(RANDBETWEEN(1,3),"Entregue","Em Rota","Aguardando"),
   Tabela_Movimentacao_Geral[[#This Row],[Status Logistico]]
)</f>
        <v>Em Rota</v>
      </c>
      <c r="M1019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46145</v>
      </c>
    </row>
    <row r="1020" spans="1:13" x14ac:dyDescent="0.3">
      <c r="A1020" t="str">
        <f t="shared" si="15"/>
        <v>T1019</v>
      </c>
      <c r="B1020" s="1">
        <v>46144</v>
      </c>
      <c r="C1020" t="str" cm="1">
        <f t="array" aca="1" ref="C1020" ca="1">IF($O$7="Desbloqueado",
  _xlfn.LET(
    _xlpm.saldo_atual, SUM(($C$2:$C1019="Entrada")*($F$2:$F1019=Tabela_Movimentacao_Geral[[#This Row],[ID Produto]])*($H$2:$H1019) - ($C$2:$C1019="Saida")*($F$2:$F1019=Tabela_Movimentacao_Geral[[#This Row],[ID Produto]])*($H$2:$H1019)),
    IF(_xlpm.saldo_atual &gt; 0, IF(RANDBETWEEN(0,10)&gt;3,"Saida","Entrada"), "Entrada")
  ),
  Tabela_Movimentacao_Geral[[#This Row],[Tipo Fluxo]]
)</f>
        <v>Entrada</v>
      </c>
      <c r="D1020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FORN001</v>
      </c>
      <c r="E1020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TechFlow Solucoes</v>
      </c>
      <c r="F1020" t="str">
        <f ca="1">IF(
  $O$7="Desbloqueado",
  "PROD"&amp;TEXT(RANDBETWEEN(1,200),"000"),
  Tabela_Movimentacao_Geral[[#This Row],[ID Produto]]
)</f>
        <v>PROD066</v>
      </c>
      <c r="G1020" t="str">
        <f ca="1">_xlfn.XLOOKUP(Tabela_Movimentacao_Geral[[#This Row],[ID Produto]], Tabela_Produtos[ID_Produto],Tabela_Produtos[Descricao_Produto],"Produto não encontrado")</f>
        <v>Calculadora Cientifica</v>
      </c>
      <c r="H1020" cm="1">
        <f t="array" aca="1" ref="H1020" ca="1">IF(
   $O$7="Desbloqueado",
   _xlfn.LET(
     _xlpm.saldo_atual, SUM(($C$2:$C1019="Entrada")*($F$2:$F1019=Tabela_Movimentacao_Geral[[#This Row],[ID Produto]])*($H$2:$H1019) - ($C$2:$C1019="Saida")*($F$2:$F1019=Tabela_Movimentacao_Geral[[#This Row],[ID Produto]])*($H$2:$H1019)),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34</v>
      </c>
      <c r="I1020" s="5">
        <f ca="1">_xlfn.XLOOKUP(Tabela_Movimentacao_Geral[[#This Row],[ID Produto]], Tabela_Produtos[ID_Produto],Tabela_Produtos[Preco_Unitario_Venda])</f>
        <v>95</v>
      </c>
      <c r="J1020" s="6">
        <f ca="1">Tabela_Movimentacao_Geral[[#This Row],[Quantidade]] * Tabela_Movimentacao_Geral[[#This Row],[Valor Unitário]]</f>
        <v>3230</v>
      </c>
      <c r="K1020" t="str">
        <f ca="1">IF(
   $O$7="Desbloqueado",
   CHOOSE(RANDBETWEEN(1,3),"Pago","Pendente","Atrasado"),
   Tabela_Movimentacao_Geral[[#This Row],[Status Financeiro]]
)</f>
        <v>Atrasado</v>
      </c>
      <c r="L1020" t="str">
        <f ca="1">IF(
   $O$7="Desbloqueado",
   CHOOSE(RANDBETWEEN(1,3),"Entregue","Em Rota","Aguardando"),
   Tabela_Movimentacao_Geral[[#This Row],[Status Logistico]]
)</f>
        <v>Em Rota</v>
      </c>
      <c r="M1020" s="7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46149</v>
      </c>
    </row>
    <row r="1021" spans="1:13" x14ac:dyDescent="0.3">
      <c r="A1021" t="str">
        <f t="shared" si="15"/>
        <v>T1020</v>
      </c>
      <c r="B1021" s="1">
        <v>46144</v>
      </c>
      <c r="C1021" t="str" cm="1">
        <f t="array" aca="1" ref="C1021" ca="1">IF($O$7="Desbloqueado",
  _xlfn.LET(
    _xlpm.saldo_atual, SUM(($C$2:$C1020="Entrada")*($F$2:$F1020=Tabela_Movimentacao_Geral[[#This Row],[ID Produto]])*($H$2:$H1020) - ($C$2:$C1020="Saida")*($F$2:$F1020=Tabela_Movimentacao_Geral[[#This Row],[ID Produto]])*($H$2:$H1020)),
    IF(_xlpm.saldo_atual &gt; 0, IF(RANDBETWEEN(0,10)&gt;3,"Saida","Entrada"), "Entrada")
  ),
  Tabela_Movimentacao_Geral[[#This Row],[Tipo Fluxo]]
)</f>
        <v>Saida</v>
      </c>
      <c r="D1021" t="str">
        <f ca="1">IF(
   $O$7="Desbloqueado",
   IF(
     Tabela_Movimentacao_Geral[[#This Row],[Tipo Fluxo]]="Saida",
     "CLI"&amp;TEXT(RANDBETWEEN(1,20),"000"),
     "FORN"&amp;TEXT(RANDBETWEEN(1,20),"000")
   ),
   Tabela_Movimentacao_Geral[[#This Row],[ID Entidade]]
)</f>
        <v>CLI001</v>
      </c>
      <c r="E1021" t="str">
        <f ca="1">IF(Tabela_Movimentacao_Geral[[#This Row],[Tipo Fluxo]]="Saida",_xlfn.XLOOKUP(Tabela_Movimentacao_Geral[[#This Row],[ID Entidade]], Tabela_Clientes[ID_Cliente],Tabela_Clientes[Nome_Cliente],"Cliente não encontrado"),_xlfn.XLOOKUP(Tabela_Movimentacao_Geral[[#This Row],[ID Entidade]], Tabela_Fornecedores[ID_Fornecedor], Tabela_Fornecedores[Nome_Fantasia], "Fornecedor não encontrado"))</f>
        <v>Industrias Alpha</v>
      </c>
      <c r="F1021" t="str">
        <f ca="1">IF(
  $O$7="Desbloqueado",
  "PROD"&amp;TEXT(RANDBETWEEN(1,200),"000"),
  Tabela_Movimentacao_Geral[[#This Row],[ID Produto]]
)</f>
        <v>PROD075</v>
      </c>
      <c r="G1021" t="str">
        <f ca="1">_xlfn.XLOOKUP(Tabela_Movimentacao_Geral[[#This Row],[ID Produto]], Tabela_Produtos[ID_Produto],Tabela_Produtos[Descricao_Produto],"Produto não encontrado")</f>
        <v>Suporte de Pasta Acrilico</v>
      </c>
      <c r="H1021" cm="1">
        <f t="array" aca="1" ref="H1021" ca="1">IF(
   $O$7="Desbloqueado",
   _xlfn.LET(
     _xlpm.saldo_atual, SUM(($C$2:$C1020="Entrada")*($F$2:$F1020=Tabela_Movimentacao_Geral[[#This Row],[ID Produto]])*($H$2:$H1020) - ($C$2:$C1020="Saida")*($F$2:$F1020=Tabela_Movimentacao_Geral[[#This Row],[ID Produto]])*($H$2:$H1020)),
       _xlpm.estoque_minimo, _xlfn.XLOOKUP(Tabela_Movimentacao_Geral[[#This Row],[ID Produto]], Tabela_Produtos[ID_Produto], Tabela_Produtos[Estoque_Minimo], 0),
     IF(
       _xlpm.saldo_atual &gt; _xlpm.estoque_minimo,
       IF(
         Tabela_Movimentacao_Geral[[#This Row],[Tipo Fluxo]]="Saida",
         RANDBETWEEN(1, _xlpm.saldo_atual),
         RANDBETWEEN(1, 100)
       ),
       IF(
         Tabela_Movimentacao_Geral[[#This Row],[Tipo Fluxo]]="Saida",
         RANDBETWEEN(1, _xlpm.saldo_atual),
         IF(
           _xlpm.saldo_atual &lt; 0,
           ABS(_xlpm.saldo_atual) + _xlpm.estoque_minimo + RANDBETWEEN(1, 100),
           _xlpm.estoque_minimo - _xlpm.saldo_atual + RANDBETWEEN(1, 100)
         )
       )
     )
   ),
   Tabela_Movimentacao_Geral[[#This Row],[Quantidade]]
)</f>
        <v>1</v>
      </c>
      <c r="I1021" s="5">
        <f ca="1">_xlfn.XLOOKUP(Tabela_Movimentacao_Geral[[#This Row],[ID Produto]], Tabela_Produtos[ID_Produto],Tabela_Produtos[Preco_Unitario_Venda])</f>
        <v>38</v>
      </c>
      <c r="J1021" s="6">
        <f ca="1">Tabela_Movimentacao_Geral[[#This Row],[Quantidade]] * Tabela_Movimentacao_Geral[[#This Row],[Valor Unitário]]</f>
        <v>38</v>
      </c>
      <c r="K1021" t="str">
        <f ca="1">IF(
   $O$7="Desbloqueado",
   CHOOSE(RANDBETWEEN(1,3),"Pago","Pendente","Atrasado"),
   Tabela_Movimentacao_Geral[[#This Row],[Status Financeiro]]
)</f>
        <v>Pago</v>
      </c>
      <c r="L1021" t="str">
        <f ca="1">IF(
   $O$7="Desbloqueado",
   CHOOSE(RANDBETWEEN(1,3),"Entregue","Em Rota","Aguardando"),
   Tabela_Movimentacao_Geral[[#This Row],[Status Logistico]]
)</f>
        <v>Em Rota</v>
      </c>
      <c r="M1021" s="7" t="str">
        <f ca="1">IF(
  $O$7="Desbloqueado",
  IF(
    Tabela_Movimentacao_Geral[[#This Row],[Tipo Fluxo]]="Entrada",
    Tabela_Movimentacao_Geral[[#This Row],[Data]] + _xlfn.XLOOKUP(Tabela_Movimentacao_Geral[[#This Row],[ID Entidade]],Tabela_Fornecedores[ID_Fornecedor],Tabela_Fornecedores[Lead_Time]),
    "N/A"
  ),
  Tabela_Movimentacao_Geral[[#This Row],[Previsão de Entrega]]
)</f>
        <v>N/A</v>
      </c>
    </row>
    <row r="1022" spans="1:13" x14ac:dyDescent="0.3">
      <c r="J1022" s="6"/>
    </row>
    <row r="1023" spans="1:13" x14ac:dyDescent="0.3">
      <c r="J1023" s="6"/>
    </row>
  </sheetData>
  <mergeCells count="3">
    <mergeCell ref="O1:O6"/>
    <mergeCell ref="O9:O15"/>
    <mergeCell ref="O17:V17"/>
  </mergeCells>
  <conditionalFormatting sqref="O7">
    <cfRule type="cellIs" dxfId="3" priority="1" operator="equal">
      <formula>"Bloqueado"</formula>
    </cfRule>
    <cfRule type="cellIs" dxfId="2" priority="2" operator="equal">
      <formula>"Desbloqueado"</formula>
    </cfRule>
  </conditionalFormatting>
  <dataValidations disablePrompts="1" count="1">
    <dataValidation type="list" allowBlank="1" showInputMessage="1" showErrorMessage="1" sqref="O7" xr:uid="{CE7A9BB8-3CD3-4231-BA15-C7D6D52E5E53}">
      <formula1>"Bloqueado,Desbloqueado"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7000-4CAE-444A-832B-11572D5B51E0}">
  <sheetPr codeName="Planilha2"/>
  <dimension ref="A1:O201"/>
  <sheetViews>
    <sheetView topLeftCell="D2" zoomScaleNormal="100" workbookViewId="0">
      <selection activeCell="J28" sqref="J28"/>
    </sheetView>
  </sheetViews>
  <sheetFormatPr defaultRowHeight="14.4" x14ac:dyDescent="0.3"/>
  <cols>
    <col min="1" max="1" width="11.77734375" bestFit="1" customWidth="1"/>
    <col min="2" max="2" width="18.33203125" bestFit="1" customWidth="1"/>
    <col min="3" max="3" width="17.77734375" bestFit="1" customWidth="1"/>
    <col min="4" max="4" width="15.6640625" bestFit="1" customWidth="1"/>
    <col min="6" max="6" width="14.88671875" customWidth="1"/>
    <col min="7" max="7" width="18.88671875" bestFit="1" customWidth="1"/>
    <col min="8" max="8" width="17.6640625" bestFit="1" customWidth="1"/>
    <col min="9" max="9" width="13.88671875" customWidth="1"/>
    <col min="10" max="10" width="12.5546875" bestFit="1" customWidth="1"/>
    <col min="12" max="12" width="12" customWidth="1"/>
    <col min="13" max="13" width="26.6640625" bestFit="1" customWidth="1"/>
    <col min="14" max="14" width="22.44140625" style="5" customWidth="1"/>
    <col min="15" max="15" width="17.6640625" bestFit="1" customWidth="1"/>
  </cols>
  <sheetData>
    <row r="1" spans="1:15" x14ac:dyDescent="0.3">
      <c r="A1" t="s">
        <v>79</v>
      </c>
      <c r="B1" t="s">
        <v>80</v>
      </c>
      <c r="C1" t="s">
        <v>81</v>
      </c>
      <c r="D1" t="s">
        <v>82</v>
      </c>
      <c r="F1" s="8" t="s">
        <v>8</v>
      </c>
      <c r="G1" s="8" t="s">
        <v>26</v>
      </c>
      <c r="H1" s="8" t="s">
        <v>9</v>
      </c>
      <c r="I1" s="8" t="s">
        <v>10</v>
      </c>
      <c r="J1" s="8" t="s">
        <v>27</v>
      </c>
      <c r="L1" s="8" t="s">
        <v>143</v>
      </c>
      <c r="M1" s="8" t="s">
        <v>144</v>
      </c>
      <c r="N1" s="12" t="s">
        <v>145</v>
      </c>
      <c r="O1" s="8" t="s">
        <v>146</v>
      </c>
    </row>
    <row r="2" spans="1:15" x14ac:dyDescent="0.3">
      <c r="A2" t="s">
        <v>83</v>
      </c>
      <c r="B2" t="s">
        <v>84</v>
      </c>
      <c r="C2" t="s">
        <v>85</v>
      </c>
      <c r="D2">
        <v>50000</v>
      </c>
      <c r="F2" s="2" t="s">
        <v>11</v>
      </c>
      <c r="G2" s="2" t="s">
        <v>28</v>
      </c>
      <c r="H2" s="2" t="s">
        <v>29</v>
      </c>
      <c r="I2" s="2" t="s">
        <v>12</v>
      </c>
      <c r="J2" s="2">
        <v>5</v>
      </c>
      <c r="L2" s="2" t="s">
        <v>147</v>
      </c>
      <c r="M2" s="2" t="s">
        <v>148</v>
      </c>
      <c r="N2" s="10">
        <v>850</v>
      </c>
      <c r="O2" s="2">
        <v>10</v>
      </c>
    </row>
    <row r="3" spans="1:15" x14ac:dyDescent="0.3">
      <c r="A3" t="s">
        <v>86</v>
      </c>
      <c r="B3" t="s">
        <v>87</v>
      </c>
      <c r="C3" t="s">
        <v>88</v>
      </c>
      <c r="D3">
        <v>15000</v>
      </c>
      <c r="F3" s="3" t="s">
        <v>13</v>
      </c>
      <c r="G3" s="3" t="s">
        <v>30</v>
      </c>
      <c r="H3" s="3" t="s">
        <v>31</v>
      </c>
      <c r="I3" s="3" t="s">
        <v>14</v>
      </c>
      <c r="J3" s="3">
        <v>1</v>
      </c>
      <c r="L3" s="3" t="s">
        <v>149</v>
      </c>
      <c r="M3" s="3" t="s">
        <v>150</v>
      </c>
      <c r="N3" s="11">
        <v>350</v>
      </c>
      <c r="O3" s="3">
        <v>15</v>
      </c>
    </row>
    <row r="4" spans="1:15" x14ac:dyDescent="0.3">
      <c r="A4" t="s">
        <v>89</v>
      </c>
      <c r="B4" t="s">
        <v>90</v>
      </c>
      <c r="C4" t="s">
        <v>91</v>
      </c>
      <c r="D4">
        <v>80000</v>
      </c>
      <c r="F4" s="2" t="s">
        <v>15</v>
      </c>
      <c r="G4" s="2" t="s">
        <v>16</v>
      </c>
      <c r="H4" s="2" t="s">
        <v>32</v>
      </c>
      <c r="I4" s="2" t="s">
        <v>17</v>
      </c>
      <c r="J4" s="2">
        <v>2</v>
      </c>
      <c r="L4" s="2" t="s">
        <v>151</v>
      </c>
      <c r="M4" s="2" t="s">
        <v>152</v>
      </c>
      <c r="N4" s="10">
        <v>120</v>
      </c>
      <c r="O4" s="2">
        <v>30</v>
      </c>
    </row>
    <row r="5" spans="1:15" x14ac:dyDescent="0.3">
      <c r="A5" t="s">
        <v>92</v>
      </c>
      <c r="B5" t="s">
        <v>93</v>
      </c>
      <c r="C5" t="s">
        <v>94</v>
      </c>
      <c r="D5">
        <v>10000</v>
      </c>
      <c r="F5" s="3" t="s">
        <v>18</v>
      </c>
      <c r="G5" s="3" t="s">
        <v>19</v>
      </c>
      <c r="H5" s="3" t="s">
        <v>33</v>
      </c>
      <c r="I5" s="3" t="s">
        <v>34</v>
      </c>
      <c r="J5" s="3">
        <v>3</v>
      </c>
      <c r="L5" s="3" t="s">
        <v>153</v>
      </c>
      <c r="M5" s="3" t="s">
        <v>154</v>
      </c>
      <c r="N5" s="11">
        <v>1200</v>
      </c>
      <c r="O5" s="3">
        <v>5</v>
      </c>
    </row>
    <row r="6" spans="1:15" x14ac:dyDescent="0.3">
      <c r="A6" t="s">
        <v>95</v>
      </c>
      <c r="B6" t="s">
        <v>96</v>
      </c>
      <c r="C6" t="s">
        <v>97</v>
      </c>
      <c r="D6">
        <v>200000</v>
      </c>
      <c r="F6" s="2" t="s">
        <v>20</v>
      </c>
      <c r="G6" s="2" t="s">
        <v>21</v>
      </c>
      <c r="H6" s="2" t="s">
        <v>35</v>
      </c>
      <c r="I6" s="2" t="s">
        <v>22</v>
      </c>
      <c r="J6" s="2">
        <v>1</v>
      </c>
      <c r="L6" s="2" t="s">
        <v>155</v>
      </c>
      <c r="M6" s="2" t="s">
        <v>156</v>
      </c>
      <c r="N6" s="10">
        <v>3500</v>
      </c>
      <c r="O6" s="2">
        <v>8</v>
      </c>
    </row>
    <row r="7" spans="1:15" x14ac:dyDescent="0.3">
      <c r="A7" t="s">
        <v>98</v>
      </c>
      <c r="B7" t="s">
        <v>99</v>
      </c>
      <c r="C7" t="s">
        <v>100</v>
      </c>
      <c r="D7">
        <v>120000</v>
      </c>
      <c r="F7" s="3" t="s">
        <v>23</v>
      </c>
      <c r="G7" s="3" t="s">
        <v>24</v>
      </c>
      <c r="H7" s="3" t="s">
        <v>36</v>
      </c>
      <c r="I7" s="3" t="s">
        <v>17</v>
      </c>
      <c r="J7" s="3">
        <v>2</v>
      </c>
      <c r="L7" s="3" t="s">
        <v>157</v>
      </c>
      <c r="M7" s="3" t="s">
        <v>158</v>
      </c>
      <c r="N7" s="11">
        <v>5500</v>
      </c>
      <c r="O7" s="3">
        <v>4</v>
      </c>
    </row>
    <row r="8" spans="1:15" x14ac:dyDescent="0.3">
      <c r="A8" t="s">
        <v>101</v>
      </c>
      <c r="B8" t="s">
        <v>102</v>
      </c>
      <c r="C8" t="s">
        <v>103</v>
      </c>
      <c r="D8">
        <v>45000</v>
      </c>
      <c r="F8" s="2" t="s">
        <v>25</v>
      </c>
      <c r="G8" s="2" t="s">
        <v>37</v>
      </c>
      <c r="H8" s="2" t="s">
        <v>38</v>
      </c>
      <c r="I8" s="2" t="s">
        <v>39</v>
      </c>
      <c r="J8" s="2">
        <v>7</v>
      </c>
      <c r="L8" s="2" t="s">
        <v>159</v>
      </c>
      <c r="M8" s="2" t="s">
        <v>160</v>
      </c>
      <c r="N8" s="10">
        <v>1800</v>
      </c>
      <c r="O8" s="2">
        <v>3</v>
      </c>
    </row>
    <row r="9" spans="1:15" x14ac:dyDescent="0.3">
      <c r="A9" t="s">
        <v>104</v>
      </c>
      <c r="B9" t="s">
        <v>105</v>
      </c>
      <c r="C9" t="s">
        <v>106</v>
      </c>
      <c r="D9">
        <v>30000</v>
      </c>
      <c r="F9" s="3" t="s">
        <v>40</v>
      </c>
      <c r="G9" s="3" t="s">
        <v>41</v>
      </c>
      <c r="H9" s="3" t="s">
        <v>42</v>
      </c>
      <c r="I9" s="3" t="s">
        <v>12</v>
      </c>
      <c r="J9" s="3">
        <v>15</v>
      </c>
      <c r="L9" s="3" t="s">
        <v>161</v>
      </c>
      <c r="M9" s="3" t="s">
        <v>162</v>
      </c>
      <c r="N9" s="11">
        <v>250</v>
      </c>
      <c r="O9" s="3">
        <v>20</v>
      </c>
    </row>
    <row r="10" spans="1:15" x14ac:dyDescent="0.3">
      <c r="A10" t="s">
        <v>107</v>
      </c>
      <c r="B10" t="s">
        <v>108</v>
      </c>
      <c r="C10" t="s">
        <v>109</v>
      </c>
      <c r="D10">
        <v>25000</v>
      </c>
      <c r="F10" s="2" t="s">
        <v>43</v>
      </c>
      <c r="G10" s="2" t="s">
        <v>44</v>
      </c>
      <c r="H10" s="2" t="s">
        <v>45</v>
      </c>
      <c r="I10" s="2" t="s">
        <v>22</v>
      </c>
      <c r="J10" s="2">
        <v>10</v>
      </c>
      <c r="L10" s="2" t="s">
        <v>163</v>
      </c>
      <c r="M10" s="2" t="s">
        <v>164</v>
      </c>
      <c r="N10" s="10">
        <v>45</v>
      </c>
      <c r="O10" s="2">
        <v>50</v>
      </c>
    </row>
    <row r="11" spans="1:15" x14ac:dyDescent="0.3">
      <c r="A11" t="s">
        <v>110</v>
      </c>
      <c r="B11" t="s">
        <v>111</v>
      </c>
      <c r="C11" t="s">
        <v>112</v>
      </c>
      <c r="D11">
        <v>60000</v>
      </c>
      <c r="F11" s="3" t="s">
        <v>46</v>
      </c>
      <c r="G11" s="3" t="s">
        <v>47</v>
      </c>
      <c r="H11" s="3" t="s">
        <v>48</v>
      </c>
      <c r="I11" s="3" t="s">
        <v>14</v>
      </c>
      <c r="J11" s="3">
        <v>2</v>
      </c>
      <c r="L11" s="3" t="s">
        <v>165</v>
      </c>
      <c r="M11" s="3" t="s">
        <v>166</v>
      </c>
      <c r="N11" s="11">
        <v>320</v>
      </c>
      <c r="O11" s="3">
        <v>25</v>
      </c>
    </row>
    <row r="12" spans="1:15" x14ac:dyDescent="0.3">
      <c r="A12" t="s">
        <v>113</v>
      </c>
      <c r="B12" t="s">
        <v>114</v>
      </c>
      <c r="C12" t="s">
        <v>115</v>
      </c>
      <c r="D12">
        <v>5000</v>
      </c>
      <c r="F12" s="2" t="s">
        <v>49</v>
      </c>
      <c r="G12" s="2" t="s">
        <v>50</v>
      </c>
      <c r="H12" s="2" t="s">
        <v>51</v>
      </c>
      <c r="I12" s="2" t="s">
        <v>17</v>
      </c>
      <c r="J12" s="2">
        <v>4</v>
      </c>
      <c r="L12" s="2" t="s">
        <v>167</v>
      </c>
      <c r="M12" s="2" t="s">
        <v>168</v>
      </c>
      <c r="N12" s="10">
        <v>280</v>
      </c>
      <c r="O12" s="2">
        <v>15</v>
      </c>
    </row>
    <row r="13" spans="1:15" x14ac:dyDescent="0.3">
      <c r="A13" t="s">
        <v>116</v>
      </c>
      <c r="B13" t="s">
        <v>117</v>
      </c>
      <c r="C13" t="s">
        <v>118</v>
      </c>
      <c r="D13">
        <v>3000</v>
      </c>
      <c r="F13" s="3" t="s">
        <v>52</v>
      </c>
      <c r="G13" s="3" t="s">
        <v>53</v>
      </c>
      <c r="H13" s="3" t="s">
        <v>54</v>
      </c>
      <c r="I13" s="3" t="s">
        <v>34</v>
      </c>
      <c r="J13" s="3">
        <v>1</v>
      </c>
      <c r="L13" s="3" t="s">
        <v>169</v>
      </c>
      <c r="M13" s="3" t="s">
        <v>170</v>
      </c>
      <c r="N13" s="11">
        <v>450</v>
      </c>
      <c r="O13" s="3">
        <v>12</v>
      </c>
    </row>
    <row r="14" spans="1:15" x14ac:dyDescent="0.3">
      <c r="A14" t="s">
        <v>119</v>
      </c>
      <c r="B14" t="s">
        <v>120</v>
      </c>
      <c r="C14" t="s">
        <v>121</v>
      </c>
      <c r="D14">
        <v>15000</v>
      </c>
      <c r="F14" s="2" t="s">
        <v>55</v>
      </c>
      <c r="G14" s="2" t="s">
        <v>56</v>
      </c>
      <c r="H14" s="2" t="s">
        <v>57</v>
      </c>
      <c r="I14" s="2" t="s">
        <v>12</v>
      </c>
      <c r="J14" s="2">
        <v>6</v>
      </c>
      <c r="L14" s="2" t="s">
        <v>171</v>
      </c>
      <c r="M14" s="2" t="s">
        <v>172</v>
      </c>
      <c r="N14" s="10">
        <v>180</v>
      </c>
      <c r="O14" s="2">
        <v>20</v>
      </c>
    </row>
    <row r="15" spans="1:15" x14ac:dyDescent="0.3">
      <c r="A15" t="s">
        <v>122</v>
      </c>
      <c r="B15" t="s">
        <v>123</v>
      </c>
      <c r="C15" t="s">
        <v>124</v>
      </c>
      <c r="D15">
        <v>12000</v>
      </c>
      <c r="F15" s="3" t="s">
        <v>58</v>
      </c>
      <c r="G15" s="3" t="s">
        <v>59</v>
      </c>
      <c r="H15" s="3" t="s">
        <v>60</v>
      </c>
      <c r="I15" s="3" t="s">
        <v>14</v>
      </c>
      <c r="J15" s="3">
        <v>1</v>
      </c>
      <c r="L15" s="3" t="s">
        <v>173</v>
      </c>
      <c r="M15" s="3" t="s">
        <v>174</v>
      </c>
      <c r="N15" s="11">
        <v>650</v>
      </c>
      <c r="O15" s="3">
        <v>10</v>
      </c>
    </row>
    <row r="16" spans="1:15" x14ac:dyDescent="0.3">
      <c r="A16" t="s">
        <v>125</v>
      </c>
      <c r="B16" t="s">
        <v>126</v>
      </c>
      <c r="C16" t="s">
        <v>127</v>
      </c>
      <c r="D16">
        <v>8000</v>
      </c>
      <c r="F16" s="2" t="s">
        <v>61</v>
      </c>
      <c r="G16" s="2" t="s">
        <v>62</v>
      </c>
      <c r="H16" s="2" t="s">
        <v>63</v>
      </c>
      <c r="I16" s="2" t="s">
        <v>17</v>
      </c>
      <c r="J16" s="2">
        <v>3</v>
      </c>
      <c r="L16" s="2" t="s">
        <v>175</v>
      </c>
      <c r="M16" s="2" t="s">
        <v>176</v>
      </c>
      <c r="N16" s="10">
        <v>1200</v>
      </c>
      <c r="O16" s="2">
        <v>5</v>
      </c>
    </row>
    <row r="17" spans="1:15" x14ac:dyDescent="0.3">
      <c r="A17" t="s">
        <v>128</v>
      </c>
      <c r="B17" t="s">
        <v>129</v>
      </c>
      <c r="C17" t="s">
        <v>130</v>
      </c>
      <c r="D17">
        <v>40000</v>
      </c>
      <c r="F17" s="3" t="s">
        <v>64</v>
      </c>
      <c r="G17" s="3" t="s">
        <v>65</v>
      </c>
      <c r="H17" s="3" t="s">
        <v>66</v>
      </c>
      <c r="I17" s="3" t="s">
        <v>22</v>
      </c>
      <c r="J17" s="3">
        <v>12</v>
      </c>
      <c r="L17" s="3" t="s">
        <v>177</v>
      </c>
      <c r="M17" s="3" t="s">
        <v>178</v>
      </c>
      <c r="N17" s="11">
        <v>55</v>
      </c>
      <c r="O17" s="3">
        <v>40</v>
      </c>
    </row>
    <row r="18" spans="1:15" x14ac:dyDescent="0.3">
      <c r="A18" t="s">
        <v>131</v>
      </c>
      <c r="B18" t="s">
        <v>132</v>
      </c>
      <c r="C18" t="s">
        <v>133</v>
      </c>
      <c r="D18">
        <v>20000</v>
      </c>
      <c r="F18" s="2" t="s">
        <v>67</v>
      </c>
      <c r="G18" s="2" t="s">
        <v>68</v>
      </c>
      <c r="H18" s="2" t="s">
        <v>69</v>
      </c>
      <c r="I18" s="2" t="s">
        <v>39</v>
      </c>
      <c r="J18" s="2">
        <v>3</v>
      </c>
      <c r="L18" s="2" t="s">
        <v>179</v>
      </c>
      <c r="M18" s="2" t="s">
        <v>180</v>
      </c>
      <c r="N18" s="10">
        <v>130</v>
      </c>
      <c r="O18" s="2">
        <v>15</v>
      </c>
    </row>
    <row r="19" spans="1:15" x14ac:dyDescent="0.3">
      <c r="A19" t="s">
        <v>134</v>
      </c>
      <c r="B19" t="s">
        <v>135</v>
      </c>
      <c r="C19" t="s">
        <v>136</v>
      </c>
      <c r="D19">
        <v>35000</v>
      </c>
      <c r="F19" s="3" t="s">
        <v>70</v>
      </c>
      <c r="G19" s="3" t="s">
        <v>71</v>
      </c>
      <c r="H19" s="3" t="s">
        <v>72</v>
      </c>
      <c r="I19" s="3" t="s">
        <v>34</v>
      </c>
      <c r="J19" s="3">
        <v>2</v>
      </c>
      <c r="L19" s="3" t="s">
        <v>181</v>
      </c>
      <c r="M19" s="3" t="s">
        <v>182</v>
      </c>
      <c r="N19" s="11">
        <v>380</v>
      </c>
      <c r="O19" s="3">
        <v>10</v>
      </c>
    </row>
    <row r="20" spans="1:15" x14ac:dyDescent="0.3">
      <c r="A20" t="s">
        <v>137</v>
      </c>
      <c r="B20" t="s">
        <v>138</v>
      </c>
      <c r="C20" t="s">
        <v>139</v>
      </c>
      <c r="D20">
        <v>50000</v>
      </c>
      <c r="F20" s="2" t="s">
        <v>73</v>
      </c>
      <c r="G20" s="2" t="s">
        <v>74</v>
      </c>
      <c r="H20" s="2" t="s">
        <v>75</v>
      </c>
      <c r="I20" s="2" t="s">
        <v>12</v>
      </c>
      <c r="J20" s="2">
        <v>8</v>
      </c>
      <c r="L20" s="2" t="s">
        <v>183</v>
      </c>
      <c r="M20" s="2" t="s">
        <v>184</v>
      </c>
      <c r="N20" s="10">
        <v>220</v>
      </c>
      <c r="O20" s="2">
        <v>8</v>
      </c>
    </row>
    <row r="21" spans="1:15" x14ac:dyDescent="0.3">
      <c r="A21" t="s">
        <v>140</v>
      </c>
      <c r="B21" t="s">
        <v>141</v>
      </c>
      <c r="C21" t="s">
        <v>142</v>
      </c>
      <c r="D21">
        <v>10000</v>
      </c>
      <c r="F21" s="9" t="s">
        <v>76</v>
      </c>
      <c r="G21" s="9" t="s">
        <v>77</v>
      </c>
      <c r="H21" s="9" t="s">
        <v>78</v>
      </c>
      <c r="I21" s="9" t="s">
        <v>14</v>
      </c>
      <c r="J21" s="9">
        <v>1</v>
      </c>
      <c r="L21" s="3" t="s">
        <v>185</v>
      </c>
      <c r="M21" s="3" t="s">
        <v>186</v>
      </c>
      <c r="N21" s="11">
        <v>400</v>
      </c>
      <c r="O21" s="3">
        <v>6</v>
      </c>
    </row>
    <row r="22" spans="1:15" x14ac:dyDescent="0.3">
      <c r="L22" s="2" t="s">
        <v>187</v>
      </c>
      <c r="M22" s="2" t="s">
        <v>188</v>
      </c>
      <c r="N22" s="10">
        <v>599</v>
      </c>
      <c r="O22" s="2">
        <v>100</v>
      </c>
    </row>
    <row r="23" spans="1:15" x14ac:dyDescent="0.3">
      <c r="L23" s="3" t="s">
        <v>189</v>
      </c>
      <c r="M23" s="3" t="s">
        <v>190</v>
      </c>
      <c r="N23" s="11">
        <v>980</v>
      </c>
      <c r="O23" s="3">
        <v>100</v>
      </c>
    </row>
    <row r="24" spans="1:15" x14ac:dyDescent="0.3">
      <c r="L24" s="2" t="s">
        <v>191</v>
      </c>
      <c r="M24" s="2" t="s">
        <v>192</v>
      </c>
      <c r="N24" s="10">
        <v>150</v>
      </c>
      <c r="O24" s="2">
        <v>200</v>
      </c>
    </row>
    <row r="25" spans="1:15" x14ac:dyDescent="0.3">
      <c r="L25" s="3" t="s">
        <v>193</v>
      </c>
      <c r="M25" s="3" t="s">
        <v>194</v>
      </c>
      <c r="N25" s="11">
        <v>2400</v>
      </c>
      <c r="O25" s="3">
        <v>50</v>
      </c>
    </row>
    <row r="26" spans="1:15" x14ac:dyDescent="0.3">
      <c r="L26" s="2" t="s">
        <v>195</v>
      </c>
      <c r="M26" s="2" t="s">
        <v>196</v>
      </c>
      <c r="N26" s="10">
        <v>85</v>
      </c>
      <c r="O26" s="2">
        <v>100</v>
      </c>
    </row>
    <row r="27" spans="1:15" x14ac:dyDescent="0.3">
      <c r="L27" s="3" t="s">
        <v>197</v>
      </c>
      <c r="M27" s="3" t="s">
        <v>198</v>
      </c>
      <c r="N27" s="11">
        <v>85</v>
      </c>
      <c r="O27" s="3">
        <v>25</v>
      </c>
    </row>
    <row r="28" spans="1:15" x14ac:dyDescent="0.3">
      <c r="L28" s="2" t="s">
        <v>199</v>
      </c>
      <c r="M28" s="2" t="s">
        <v>200</v>
      </c>
      <c r="N28" s="10">
        <v>75</v>
      </c>
      <c r="O28" s="2">
        <v>30</v>
      </c>
    </row>
    <row r="29" spans="1:15" x14ac:dyDescent="0.3">
      <c r="L29" s="3" t="s">
        <v>201</v>
      </c>
      <c r="M29" s="3" t="s">
        <v>202</v>
      </c>
      <c r="N29" s="11">
        <v>25</v>
      </c>
      <c r="O29" s="3">
        <v>60</v>
      </c>
    </row>
    <row r="30" spans="1:15" x14ac:dyDescent="0.3">
      <c r="L30" s="2" t="s">
        <v>203</v>
      </c>
      <c r="M30" s="2" t="s">
        <v>204</v>
      </c>
      <c r="N30" s="10">
        <v>320</v>
      </c>
      <c r="O30" s="2">
        <v>10</v>
      </c>
    </row>
    <row r="31" spans="1:15" x14ac:dyDescent="0.3">
      <c r="L31" s="3" t="s">
        <v>205</v>
      </c>
      <c r="M31" s="3" t="s">
        <v>206</v>
      </c>
      <c r="N31" s="11">
        <v>250</v>
      </c>
      <c r="O31" s="3">
        <v>15</v>
      </c>
    </row>
    <row r="32" spans="1:15" x14ac:dyDescent="0.3">
      <c r="L32" s="2" t="s">
        <v>207</v>
      </c>
      <c r="M32" s="2" t="s">
        <v>208</v>
      </c>
      <c r="N32" s="10">
        <v>1450</v>
      </c>
      <c r="O32" s="2">
        <v>4</v>
      </c>
    </row>
    <row r="33" spans="12:15" x14ac:dyDescent="0.3">
      <c r="L33" s="3" t="s">
        <v>209</v>
      </c>
      <c r="M33" s="3" t="s">
        <v>210</v>
      </c>
      <c r="N33" s="11">
        <v>110</v>
      </c>
      <c r="O33" s="3">
        <v>20</v>
      </c>
    </row>
    <row r="34" spans="12:15" x14ac:dyDescent="0.3">
      <c r="L34" s="2" t="s">
        <v>211</v>
      </c>
      <c r="M34" s="2" t="s">
        <v>212</v>
      </c>
      <c r="N34" s="10">
        <v>65</v>
      </c>
      <c r="O34" s="2">
        <v>50</v>
      </c>
    </row>
    <row r="35" spans="12:15" x14ac:dyDescent="0.3">
      <c r="L35" s="3" t="s">
        <v>213</v>
      </c>
      <c r="M35" s="3" t="s">
        <v>214</v>
      </c>
      <c r="N35" s="11">
        <v>4200</v>
      </c>
      <c r="O35" s="3">
        <v>2</v>
      </c>
    </row>
    <row r="36" spans="12:15" x14ac:dyDescent="0.3">
      <c r="L36" s="2" t="s">
        <v>215</v>
      </c>
      <c r="M36" s="2" t="s">
        <v>216</v>
      </c>
      <c r="N36" s="10">
        <v>600</v>
      </c>
      <c r="O36" s="2">
        <v>3</v>
      </c>
    </row>
    <row r="37" spans="12:15" x14ac:dyDescent="0.3">
      <c r="L37" s="3" t="s">
        <v>217</v>
      </c>
      <c r="M37" s="3" t="s">
        <v>218</v>
      </c>
      <c r="N37" s="11">
        <v>2100</v>
      </c>
      <c r="O37" s="3">
        <v>5</v>
      </c>
    </row>
    <row r="38" spans="12:15" x14ac:dyDescent="0.3">
      <c r="L38" s="2" t="s">
        <v>219</v>
      </c>
      <c r="M38" s="2" t="s">
        <v>220</v>
      </c>
      <c r="N38" s="10">
        <v>1400</v>
      </c>
      <c r="O38" s="2">
        <v>6</v>
      </c>
    </row>
    <row r="39" spans="12:15" x14ac:dyDescent="0.3">
      <c r="L39" s="3" t="s">
        <v>221</v>
      </c>
      <c r="M39" s="3" t="s">
        <v>222</v>
      </c>
      <c r="N39" s="11">
        <v>145</v>
      </c>
      <c r="O39" s="3">
        <v>15</v>
      </c>
    </row>
    <row r="40" spans="12:15" x14ac:dyDescent="0.3">
      <c r="L40" s="2" t="s">
        <v>223</v>
      </c>
      <c r="M40" s="2" t="s">
        <v>224</v>
      </c>
      <c r="N40" s="10">
        <v>40</v>
      </c>
      <c r="O40" s="2">
        <v>25</v>
      </c>
    </row>
    <row r="41" spans="12:15" x14ac:dyDescent="0.3">
      <c r="L41" s="3" t="s">
        <v>225</v>
      </c>
      <c r="M41" s="3" t="s">
        <v>226</v>
      </c>
      <c r="N41" s="11">
        <v>5</v>
      </c>
      <c r="O41" s="3">
        <v>100</v>
      </c>
    </row>
    <row r="42" spans="12:15" x14ac:dyDescent="0.3">
      <c r="L42" s="2" t="s">
        <v>227</v>
      </c>
      <c r="M42" s="2" t="s">
        <v>228</v>
      </c>
      <c r="N42" s="10">
        <v>140</v>
      </c>
      <c r="O42" s="2">
        <v>30</v>
      </c>
    </row>
    <row r="43" spans="12:15" x14ac:dyDescent="0.3">
      <c r="L43" s="3" t="s">
        <v>229</v>
      </c>
      <c r="M43" s="3" t="s">
        <v>230</v>
      </c>
      <c r="N43" s="11">
        <v>890</v>
      </c>
      <c r="O43" s="3">
        <v>7</v>
      </c>
    </row>
    <row r="44" spans="12:15" x14ac:dyDescent="0.3">
      <c r="L44" s="2" t="s">
        <v>231</v>
      </c>
      <c r="M44" s="2" t="s">
        <v>232</v>
      </c>
      <c r="N44" s="10">
        <v>22</v>
      </c>
      <c r="O44" s="2">
        <v>50</v>
      </c>
    </row>
    <row r="45" spans="12:15" x14ac:dyDescent="0.3">
      <c r="L45" s="3" t="s">
        <v>233</v>
      </c>
      <c r="M45" s="3" t="s">
        <v>234</v>
      </c>
      <c r="N45" s="11">
        <v>95</v>
      </c>
      <c r="O45" s="3">
        <v>20</v>
      </c>
    </row>
    <row r="46" spans="12:15" x14ac:dyDescent="0.3">
      <c r="L46" s="2" t="s">
        <v>235</v>
      </c>
      <c r="M46" s="2" t="s">
        <v>236</v>
      </c>
      <c r="N46" s="10">
        <v>280</v>
      </c>
      <c r="O46" s="2">
        <v>10</v>
      </c>
    </row>
    <row r="47" spans="12:15" x14ac:dyDescent="0.3">
      <c r="L47" s="3" t="s">
        <v>237</v>
      </c>
      <c r="M47" s="3" t="s">
        <v>238</v>
      </c>
      <c r="N47" s="11">
        <v>15</v>
      </c>
      <c r="O47" s="3">
        <v>100</v>
      </c>
    </row>
    <row r="48" spans="12:15" x14ac:dyDescent="0.3">
      <c r="L48" s="2" t="s">
        <v>239</v>
      </c>
      <c r="M48" s="2" t="s">
        <v>240</v>
      </c>
      <c r="N48" s="10">
        <v>420</v>
      </c>
      <c r="O48" s="2">
        <v>8</v>
      </c>
    </row>
    <row r="49" spans="12:15" x14ac:dyDescent="0.3">
      <c r="L49" s="3" t="s">
        <v>241</v>
      </c>
      <c r="M49" s="3" t="s">
        <v>242</v>
      </c>
      <c r="N49" s="11">
        <v>55</v>
      </c>
      <c r="O49" s="3">
        <v>40</v>
      </c>
    </row>
    <row r="50" spans="12:15" x14ac:dyDescent="0.3">
      <c r="L50" s="2" t="s">
        <v>243</v>
      </c>
      <c r="M50" s="2" t="s">
        <v>244</v>
      </c>
      <c r="N50" s="10">
        <v>1550</v>
      </c>
      <c r="O50" s="2">
        <v>4</v>
      </c>
    </row>
    <row r="51" spans="12:15" x14ac:dyDescent="0.3">
      <c r="L51" s="3" t="s">
        <v>245</v>
      </c>
      <c r="M51" s="3" t="s">
        <v>246</v>
      </c>
      <c r="N51" s="11">
        <v>230</v>
      </c>
      <c r="O51" s="3">
        <v>15</v>
      </c>
    </row>
    <row r="52" spans="12:15" x14ac:dyDescent="0.3">
      <c r="L52" s="2" t="s">
        <v>247</v>
      </c>
      <c r="M52" s="2" t="s">
        <v>248</v>
      </c>
      <c r="N52" s="10">
        <v>28</v>
      </c>
      <c r="O52" s="2">
        <v>100</v>
      </c>
    </row>
    <row r="53" spans="12:15" x14ac:dyDescent="0.3">
      <c r="L53" s="3" t="s">
        <v>249</v>
      </c>
      <c r="M53" s="3" t="s">
        <v>250</v>
      </c>
      <c r="N53" s="11">
        <v>6.5</v>
      </c>
      <c r="O53" s="3">
        <v>200</v>
      </c>
    </row>
    <row r="54" spans="12:15" x14ac:dyDescent="0.3">
      <c r="L54" s="2" t="s">
        <v>251</v>
      </c>
      <c r="M54" s="2" t="s">
        <v>252</v>
      </c>
      <c r="N54" s="10">
        <v>35</v>
      </c>
      <c r="O54" s="2">
        <v>30</v>
      </c>
    </row>
    <row r="55" spans="12:15" x14ac:dyDescent="0.3">
      <c r="L55" s="3" t="s">
        <v>253</v>
      </c>
      <c r="M55" s="3" t="s">
        <v>254</v>
      </c>
      <c r="N55" s="11">
        <v>8</v>
      </c>
      <c r="O55" s="3">
        <v>150</v>
      </c>
    </row>
    <row r="56" spans="12:15" x14ac:dyDescent="0.3">
      <c r="L56" s="2" t="s">
        <v>255</v>
      </c>
      <c r="M56" s="2" t="s">
        <v>256</v>
      </c>
      <c r="N56" s="10">
        <v>42</v>
      </c>
      <c r="O56" s="2">
        <v>80</v>
      </c>
    </row>
    <row r="57" spans="12:15" x14ac:dyDescent="0.3">
      <c r="L57" s="3" t="s">
        <v>257</v>
      </c>
      <c r="M57" s="3" t="s">
        <v>258</v>
      </c>
      <c r="N57" s="11">
        <v>25</v>
      </c>
      <c r="O57" s="3">
        <v>120</v>
      </c>
    </row>
    <row r="58" spans="12:15" x14ac:dyDescent="0.3">
      <c r="L58" s="2" t="s">
        <v>259</v>
      </c>
      <c r="M58" s="2" t="s">
        <v>260</v>
      </c>
      <c r="N58" s="10">
        <v>1.5</v>
      </c>
      <c r="O58" s="2">
        <v>500</v>
      </c>
    </row>
    <row r="59" spans="12:15" x14ac:dyDescent="0.3">
      <c r="L59" s="3" t="s">
        <v>261</v>
      </c>
      <c r="M59" s="3" t="s">
        <v>262</v>
      </c>
      <c r="N59" s="11">
        <v>1.5</v>
      </c>
      <c r="O59" s="3">
        <v>500</v>
      </c>
    </row>
    <row r="60" spans="12:15" x14ac:dyDescent="0.3">
      <c r="L60" s="2" t="s">
        <v>263</v>
      </c>
      <c r="M60" s="2" t="s">
        <v>264</v>
      </c>
      <c r="N60" s="10">
        <v>12</v>
      </c>
      <c r="O60" s="2">
        <v>100</v>
      </c>
    </row>
    <row r="61" spans="12:15" x14ac:dyDescent="0.3">
      <c r="L61" s="3" t="s">
        <v>265</v>
      </c>
      <c r="M61" s="3" t="s">
        <v>266</v>
      </c>
      <c r="N61" s="11">
        <v>5</v>
      </c>
      <c r="O61" s="3">
        <v>150</v>
      </c>
    </row>
    <row r="62" spans="12:15" x14ac:dyDescent="0.3">
      <c r="L62" s="2" t="s">
        <v>267</v>
      </c>
      <c r="M62" s="2" t="s">
        <v>268</v>
      </c>
      <c r="N62" s="10">
        <v>2.5</v>
      </c>
      <c r="O62" s="2">
        <v>150</v>
      </c>
    </row>
    <row r="63" spans="12:15" x14ac:dyDescent="0.3">
      <c r="L63" s="3" t="s">
        <v>269</v>
      </c>
      <c r="M63" s="3" t="s">
        <v>270</v>
      </c>
      <c r="N63" s="11">
        <v>4.5</v>
      </c>
      <c r="O63" s="3">
        <v>100</v>
      </c>
    </row>
    <row r="64" spans="12:15" x14ac:dyDescent="0.3">
      <c r="L64" s="2" t="s">
        <v>271</v>
      </c>
      <c r="M64" s="2" t="s">
        <v>272</v>
      </c>
      <c r="N64" s="10">
        <v>18</v>
      </c>
      <c r="O64" s="2">
        <v>50</v>
      </c>
    </row>
    <row r="65" spans="12:15" x14ac:dyDescent="0.3">
      <c r="L65" s="3" t="s">
        <v>273</v>
      </c>
      <c r="M65" s="3" t="s">
        <v>274</v>
      </c>
      <c r="N65" s="11">
        <v>14</v>
      </c>
      <c r="O65" s="3">
        <v>60</v>
      </c>
    </row>
    <row r="66" spans="12:15" x14ac:dyDescent="0.3">
      <c r="L66" s="2" t="s">
        <v>275</v>
      </c>
      <c r="M66" s="2" t="s">
        <v>276</v>
      </c>
      <c r="N66" s="10">
        <v>12</v>
      </c>
      <c r="O66" s="2">
        <v>90</v>
      </c>
    </row>
    <row r="67" spans="12:15" x14ac:dyDescent="0.3">
      <c r="L67" s="3" t="s">
        <v>277</v>
      </c>
      <c r="M67" s="3" t="s">
        <v>278</v>
      </c>
      <c r="N67" s="11">
        <v>95</v>
      </c>
      <c r="O67" s="3">
        <v>20</v>
      </c>
    </row>
    <row r="68" spans="12:15" x14ac:dyDescent="0.3">
      <c r="L68" s="2" t="s">
        <v>279</v>
      </c>
      <c r="M68" s="2" t="s">
        <v>280</v>
      </c>
      <c r="N68" s="10">
        <v>4.5</v>
      </c>
      <c r="O68" s="2">
        <v>200</v>
      </c>
    </row>
    <row r="69" spans="12:15" x14ac:dyDescent="0.3">
      <c r="L69" s="3" t="s">
        <v>281</v>
      </c>
      <c r="M69" s="3" t="s">
        <v>282</v>
      </c>
      <c r="N69" s="11">
        <v>180</v>
      </c>
      <c r="O69" s="3">
        <v>5</v>
      </c>
    </row>
    <row r="70" spans="12:15" x14ac:dyDescent="0.3">
      <c r="L70" s="2" t="s">
        <v>283</v>
      </c>
      <c r="M70" s="2" t="s">
        <v>284</v>
      </c>
      <c r="N70" s="10">
        <v>15</v>
      </c>
      <c r="O70" s="2">
        <v>30</v>
      </c>
    </row>
    <row r="71" spans="12:15" x14ac:dyDescent="0.3">
      <c r="L71" s="3" t="s">
        <v>285</v>
      </c>
      <c r="M71" s="3" t="s">
        <v>286</v>
      </c>
      <c r="N71" s="11">
        <v>7.5</v>
      </c>
      <c r="O71" s="3">
        <v>100</v>
      </c>
    </row>
    <row r="72" spans="12:15" x14ac:dyDescent="0.3">
      <c r="L72" s="2" t="s">
        <v>287</v>
      </c>
      <c r="M72" s="2" t="s">
        <v>288</v>
      </c>
      <c r="N72" s="10">
        <v>8.5</v>
      </c>
      <c r="O72" s="2">
        <v>250</v>
      </c>
    </row>
    <row r="73" spans="12:15" x14ac:dyDescent="0.3">
      <c r="L73" s="3" t="s">
        <v>289</v>
      </c>
      <c r="M73" s="3" t="s">
        <v>290</v>
      </c>
      <c r="N73" s="11">
        <v>45</v>
      </c>
      <c r="O73" s="3">
        <v>40</v>
      </c>
    </row>
    <row r="74" spans="12:15" x14ac:dyDescent="0.3">
      <c r="L74" s="2" t="s">
        <v>291</v>
      </c>
      <c r="M74" s="2" t="s">
        <v>292</v>
      </c>
      <c r="N74" s="10">
        <v>2.5</v>
      </c>
      <c r="O74" s="2">
        <v>300</v>
      </c>
    </row>
    <row r="75" spans="12:15" x14ac:dyDescent="0.3">
      <c r="L75" s="3" t="s">
        <v>293</v>
      </c>
      <c r="M75" s="3" t="s">
        <v>294</v>
      </c>
      <c r="N75" s="11">
        <v>3.5</v>
      </c>
      <c r="O75" s="3">
        <v>300</v>
      </c>
    </row>
    <row r="76" spans="12:15" x14ac:dyDescent="0.3">
      <c r="L76" s="2" t="s">
        <v>295</v>
      </c>
      <c r="M76" s="2" t="s">
        <v>296</v>
      </c>
      <c r="N76" s="10">
        <v>38</v>
      </c>
      <c r="O76" s="2">
        <v>15</v>
      </c>
    </row>
    <row r="77" spans="12:15" x14ac:dyDescent="0.3">
      <c r="L77" s="3" t="s">
        <v>297</v>
      </c>
      <c r="M77" s="3" t="s">
        <v>298</v>
      </c>
      <c r="N77" s="11">
        <v>750</v>
      </c>
      <c r="O77" s="3">
        <v>4</v>
      </c>
    </row>
    <row r="78" spans="12:15" x14ac:dyDescent="0.3">
      <c r="L78" s="2" t="s">
        <v>299</v>
      </c>
      <c r="M78" s="2" t="s">
        <v>300</v>
      </c>
      <c r="N78" s="10">
        <v>28</v>
      </c>
      <c r="O78" s="2">
        <v>20</v>
      </c>
    </row>
    <row r="79" spans="12:15" x14ac:dyDescent="0.3">
      <c r="L79" s="3" t="s">
        <v>301</v>
      </c>
      <c r="M79" s="3" t="s">
        <v>302</v>
      </c>
      <c r="N79" s="11">
        <v>15</v>
      </c>
      <c r="O79" s="3">
        <v>35</v>
      </c>
    </row>
    <row r="80" spans="12:15" x14ac:dyDescent="0.3">
      <c r="L80" s="2" t="s">
        <v>303</v>
      </c>
      <c r="M80" s="2" t="s">
        <v>304</v>
      </c>
      <c r="N80" s="10">
        <v>65</v>
      </c>
      <c r="O80" s="2">
        <v>12</v>
      </c>
    </row>
    <row r="81" spans="12:15" x14ac:dyDescent="0.3">
      <c r="L81" s="3" t="s">
        <v>305</v>
      </c>
      <c r="M81" s="3" t="s">
        <v>306</v>
      </c>
      <c r="N81" s="11">
        <v>110</v>
      </c>
      <c r="O81" s="3">
        <v>6</v>
      </c>
    </row>
    <row r="82" spans="12:15" x14ac:dyDescent="0.3">
      <c r="L82" s="2" t="s">
        <v>307</v>
      </c>
      <c r="M82" s="2" t="s">
        <v>308</v>
      </c>
      <c r="N82" s="10">
        <v>12500</v>
      </c>
      <c r="O82" s="2">
        <v>2</v>
      </c>
    </row>
    <row r="83" spans="12:15" x14ac:dyDescent="0.3">
      <c r="L83" s="3" t="s">
        <v>309</v>
      </c>
      <c r="M83" s="3" t="s">
        <v>310</v>
      </c>
      <c r="N83" s="11">
        <v>1800</v>
      </c>
      <c r="O83" s="3">
        <v>10</v>
      </c>
    </row>
    <row r="84" spans="12:15" x14ac:dyDescent="0.3">
      <c r="L84" s="2" t="s">
        <v>311</v>
      </c>
      <c r="M84" s="2" t="s">
        <v>312</v>
      </c>
      <c r="N84" s="10">
        <v>1450</v>
      </c>
      <c r="O84" s="2">
        <v>8</v>
      </c>
    </row>
    <row r="85" spans="12:15" x14ac:dyDescent="0.3">
      <c r="L85" s="3" t="s">
        <v>313</v>
      </c>
      <c r="M85" s="3" t="s">
        <v>314</v>
      </c>
      <c r="N85" s="11">
        <v>950</v>
      </c>
      <c r="O85" s="3">
        <v>5</v>
      </c>
    </row>
    <row r="86" spans="12:15" x14ac:dyDescent="0.3">
      <c r="L86" s="2" t="s">
        <v>315</v>
      </c>
      <c r="M86" s="2" t="s">
        <v>316</v>
      </c>
      <c r="N86" s="10">
        <v>85</v>
      </c>
      <c r="O86" s="2">
        <v>30</v>
      </c>
    </row>
    <row r="87" spans="12:15" x14ac:dyDescent="0.3">
      <c r="L87" s="3" t="s">
        <v>317</v>
      </c>
      <c r="M87" s="3" t="s">
        <v>318</v>
      </c>
      <c r="N87" s="11">
        <v>320</v>
      </c>
      <c r="O87" s="3">
        <v>20</v>
      </c>
    </row>
    <row r="88" spans="12:15" x14ac:dyDescent="0.3">
      <c r="L88" s="2" t="s">
        <v>319</v>
      </c>
      <c r="M88" s="2" t="s">
        <v>320</v>
      </c>
      <c r="N88" s="10">
        <v>450</v>
      </c>
      <c r="O88" s="2">
        <v>10</v>
      </c>
    </row>
    <row r="89" spans="12:15" x14ac:dyDescent="0.3">
      <c r="L89" s="3" t="s">
        <v>321</v>
      </c>
      <c r="M89" s="3" t="s">
        <v>322</v>
      </c>
      <c r="N89" s="11">
        <v>65</v>
      </c>
      <c r="O89" s="3">
        <v>15</v>
      </c>
    </row>
    <row r="90" spans="12:15" x14ac:dyDescent="0.3">
      <c r="L90" s="2" t="s">
        <v>323</v>
      </c>
      <c r="M90" s="2" t="s">
        <v>324</v>
      </c>
      <c r="N90" s="10">
        <v>850</v>
      </c>
      <c r="O90" s="2">
        <v>4</v>
      </c>
    </row>
    <row r="91" spans="12:15" x14ac:dyDescent="0.3">
      <c r="L91" s="3" t="s">
        <v>325</v>
      </c>
      <c r="M91" s="3" t="s">
        <v>326</v>
      </c>
      <c r="N91" s="11">
        <v>140</v>
      </c>
      <c r="O91" s="3">
        <v>10</v>
      </c>
    </row>
    <row r="92" spans="12:15" x14ac:dyDescent="0.3">
      <c r="L92" s="2" t="s">
        <v>327</v>
      </c>
      <c r="M92" s="2" t="s">
        <v>328</v>
      </c>
      <c r="N92" s="10">
        <v>28000</v>
      </c>
      <c r="O92" s="2">
        <v>1</v>
      </c>
    </row>
    <row r="93" spans="12:15" x14ac:dyDescent="0.3">
      <c r="L93" s="3" t="s">
        <v>329</v>
      </c>
      <c r="M93" s="3" t="s">
        <v>330</v>
      </c>
      <c r="N93" s="11">
        <v>950</v>
      </c>
      <c r="O93" s="3">
        <v>20</v>
      </c>
    </row>
    <row r="94" spans="12:15" x14ac:dyDescent="0.3">
      <c r="L94" s="2" t="s">
        <v>331</v>
      </c>
      <c r="M94" s="2" t="s">
        <v>332</v>
      </c>
      <c r="N94" s="10">
        <v>1200</v>
      </c>
      <c r="O94" s="2">
        <v>3</v>
      </c>
    </row>
    <row r="95" spans="12:15" x14ac:dyDescent="0.3">
      <c r="L95" s="3" t="s">
        <v>333</v>
      </c>
      <c r="M95" s="3" t="s">
        <v>334</v>
      </c>
      <c r="N95" s="11">
        <v>220</v>
      </c>
      <c r="O95" s="3">
        <v>8</v>
      </c>
    </row>
    <row r="96" spans="12:15" x14ac:dyDescent="0.3">
      <c r="L96" s="2" t="s">
        <v>335</v>
      </c>
      <c r="M96" s="2" t="s">
        <v>336</v>
      </c>
      <c r="N96" s="10">
        <v>2100</v>
      </c>
      <c r="O96" s="2">
        <v>4</v>
      </c>
    </row>
    <row r="97" spans="12:15" x14ac:dyDescent="0.3">
      <c r="L97" s="3" t="s">
        <v>337</v>
      </c>
      <c r="M97" s="3" t="s">
        <v>338</v>
      </c>
      <c r="N97" s="11">
        <v>650</v>
      </c>
      <c r="O97" s="3">
        <v>6</v>
      </c>
    </row>
    <row r="98" spans="12:15" x14ac:dyDescent="0.3">
      <c r="L98" s="2" t="s">
        <v>339</v>
      </c>
      <c r="M98" s="2" t="s">
        <v>340</v>
      </c>
      <c r="N98" s="10">
        <v>480</v>
      </c>
      <c r="O98" s="2">
        <v>15</v>
      </c>
    </row>
    <row r="99" spans="12:15" x14ac:dyDescent="0.3">
      <c r="L99" s="3" t="s">
        <v>341</v>
      </c>
      <c r="M99" s="3" t="s">
        <v>342</v>
      </c>
      <c r="N99" s="11">
        <v>1550</v>
      </c>
      <c r="O99" s="3">
        <v>4</v>
      </c>
    </row>
    <row r="100" spans="12:15" x14ac:dyDescent="0.3">
      <c r="L100" s="2" t="s">
        <v>343</v>
      </c>
      <c r="M100" s="2" t="s">
        <v>344</v>
      </c>
      <c r="N100" s="10">
        <v>750</v>
      </c>
      <c r="O100" s="2">
        <v>10</v>
      </c>
    </row>
    <row r="101" spans="12:15" x14ac:dyDescent="0.3">
      <c r="L101" s="3" t="s">
        <v>345</v>
      </c>
      <c r="M101" s="3" t="s">
        <v>346</v>
      </c>
      <c r="N101" s="11">
        <v>180</v>
      </c>
      <c r="O101" s="3">
        <v>15</v>
      </c>
    </row>
    <row r="102" spans="12:15" x14ac:dyDescent="0.3">
      <c r="L102" s="2" t="s">
        <v>347</v>
      </c>
      <c r="M102" s="2" t="s">
        <v>348</v>
      </c>
      <c r="N102" s="10">
        <v>2200</v>
      </c>
      <c r="O102" s="2">
        <v>6</v>
      </c>
    </row>
    <row r="103" spans="12:15" x14ac:dyDescent="0.3">
      <c r="L103" s="3" t="s">
        <v>349</v>
      </c>
      <c r="M103" s="3" t="s">
        <v>350</v>
      </c>
      <c r="N103" s="11">
        <v>290</v>
      </c>
      <c r="O103" s="3">
        <v>20</v>
      </c>
    </row>
    <row r="104" spans="12:15" x14ac:dyDescent="0.3">
      <c r="L104" s="2" t="s">
        <v>351</v>
      </c>
      <c r="M104" s="2" t="s">
        <v>352</v>
      </c>
      <c r="N104" s="10">
        <v>240</v>
      </c>
      <c r="O104" s="2">
        <v>25</v>
      </c>
    </row>
    <row r="105" spans="12:15" x14ac:dyDescent="0.3">
      <c r="L105" s="3" t="s">
        <v>353</v>
      </c>
      <c r="M105" s="3" t="s">
        <v>354</v>
      </c>
      <c r="N105" s="11">
        <v>185</v>
      </c>
      <c r="O105" s="3">
        <v>15</v>
      </c>
    </row>
    <row r="106" spans="12:15" x14ac:dyDescent="0.3">
      <c r="L106" s="2" t="s">
        <v>355</v>
      </c>
      <c r="M106" s="2" t="s">
        <v>356</v>
      </c>
      <c r="N106" s="10">
        <v>2600</v>
      </c>
      <c r="O106" s="2">
        <v>10</v>
      </c>
    </row>
    <row r="107" spans="12:15" x14ac:dyDescent="0.3">
      <c r="L107" s="3" t="s">
        <v>357</v>
      </c>
      <c r="M107" s="3" t="s">
        <v>358</v>
      </c>
      <c r="N107" s="11">
        <v>9500</v>
      </c>
      <c r="O107" s="3">
        <v>3</v>
      </c>
    </row>
    <row r="108" spans="12:15" x14ac:dyDescent="0.3">
      <c r="L108" s="2" t="s">
        <v>359</v>
      </c>
      <c r="M108" s="2" t="s">
        <v>360</v>
      </c>
      <c r="N108" s="10">
        <v>680</v>
      </c>
      <c r="O108" s="2">
        <v>10</v>
      </c>
    </row>
    <row r="109" spans="12:15" x14ac:dyDescent="0.3">
      <c r="L109" s="3" t="s">
        <v>361</v>
      </c>
      <c r="M109" s="3" t="s">
        <v>362</v>
      </c>
      <c r="N109" s="11">
        <v>1200</v>
      </c>
      <c r="O109" s="3">
        <v>5</v>
      </c>
    </row>
    <row r="110" spans="12:15" x14ac:dyDescent="0.3">
      <c r="L110" s="2" t="s">
        <v>363</v>
      </c>
      <c r="M110" s="2" t="s">
        <v>364</v>
      </c>
      <c r="N110" s="10">
        <v>75</v>
      </c>
      <c r="O110" s="2">
        <v>30</v>
      </c>
    </row>
    <row r="111" spans="12:15" x14ac:dyDescent="0.3">
      <c r="L111" s="3" t="s">
        <v>365</v>
      </c>
      <c r="M111" s="3" t="s">
        <v>366</v>
      </c>
      <c r="N111" s="11">
        <v>580</v>
      </c>
      <c r="O111" s="3">
        <v>20</v>
      </c>
    </row>
    <row r="112" spans="12:15" x14ac:dyDescent="0.3">
      <c r="L112" s="2" t="s">
        <v>367</v>
      </c>
      <c r="M112" s="2" t="s">
        <v>368</v>
      </c>
      <c r="N112" s="10">
        <v>420</v>
      </c>
      <c r="O112" s="2">
        <v>15</v>
      </c>
    </row>
    <row r="113" spans="12:15" x14ac:dyDescent="0.3">
      <c r="L113" s="3" t="s">
        <v>369</v>
      </c>
      <c r="M113" s="3" t="s">
        <v>370</v>
      </c>
      <c r="N113" s="11">
        <v>1100</v>
      </c>
      <c r="O113" s="3">
        <v>5</v>
      </c>
    </row>
    <row r="114" spans="12:15" x14ac:dyDescent="0.3">
      <c r="L114" s="2" t="s">
        <v>371</v>
      </c>
      <c r="M114" s="2" t="s">
        <v>372</v>
      </c>
      <c r="N114" s="10">
        <v>950</v>
      </c>
      <c r="O114" s="2">
        <v>8</v>
      </c>
    </row>
    <row r="115" spans="12:15" x14ac:dyDescent="0.3">
      <c r="L115" s="3" t="s">
        <v>373</v>
      </c>
      <c r="M115" s="3" t="s">
        <v>374</v>
      </c>
      <c r="N115" s="11">
        <v>1450</v>
      </c>
      <c r="O115" s="3">
        <v>7</v>
      </c>
    </row>
    <row r="116" spans="12:15" x14ac:dyDescent="0.3">
      <c r="L116" s="2" t="s">
        <v>375</v>
      </c>
      <c r="M116" s="2" t="s">
        <v>376</v>
      </c>
      <c r="N116" s="10">
        <v>980</v>
      </c>
      <c r="O116" s="2">
        <v>6</v>
      </c>
    </row>
    <row r="117" spans="12:15" x14ac:dyDescent="0.3">
      <c r="L117" s="3" t="s">
        <v>377</v>
      </c>
      <c r="M117" s="3" t="s">
        <v>378</v>
      </c>
      <c r="N117" s="11">
        <v>85</v>
      </c>
      <c r="O117" s="3">
        <v>30</v>
      </c>
    </row>
    <row r="118" spans="12:15" x14ac:dyDescent="0.3">
      <c r="L118" s="2" t="s">
        <v>379</v>
      </c>
      <c r="M118" s="2" t="s">
        <v>380</v>
      </c>
      <c r="N118" s="10">
        <v>95</v>
      </c>
      <c r="O118" s="2">
        <v>40</v>
      </c>
    </row>
    <row r="119" spans="12:15" x14ac:dyDescent="0.3">
      <c r="L119" s="3" t="s">
        <v>381</v>
      </c>
      <c r="M119" s="3" t="s">
        <v>382</v>
      </c>
      <c r="N119" s="11">
        <v>55</v>
      </c>
      <c r="O119" s="3">
        <v>25</v>
      </c>
    </row>
    <row r="120" spans="12:15" x14ac:dyDescent="0.3">
      <c r="L120" s="2" t="s">
        <v>383</v>
      </c>
      <c r="M120" s="2" t="s">
        <v>384</v>
      </c>
      <c r="N120" s="10">
        <v>75</v>
      </c>
      <c r="O120" s="2">
        <v>20</v>
      </c>
    </row>
    <row r="121" spans="12:15" x14ac:dyDescent="0.3">
      <c r="L121" s="3" t="s">
        <v>385</v>
      </c>
      <c r="M121" s="3" t="s">
        <v>386</v>
      </c>
      <c r="N121" s="11">
        <v>320</v>
      </c>
      <c r="O121" s="3">
        <v>10</v>
      </c>
    </row>
    <row r="122" spans="12:15" x14ac:dyDescent="0.3">
      <c r="L122" s="2" t="s">
        <v>387</v>
      </c>
      <c r="M122" s="2" t="s">
        <v>388</v>
      </c>
      <c r="N122" s="10">
        <v>15000</v>
      </c>
      <c r="O122" s="2">
        <v>2</v>
      </c>
    </row>
    <row r="123" spans="12:15" x14ac:dyDescent="0.3">
      <c r="L123" s="3" t="s">
        <v>389</v>
      </c>
      <c r="M123" s="3" t="s">
        <v>390</v>
      </c>
      <c r="N123" s="11">
        <v>180</v>
      </c>
      <c r="O123" s="3">
        <v>50</v>
      </c>
    </row>
    <row r="124" spans="12:15" x14ac:dyDescent="0.3">
      <c r="L124" s="2" t="s">
        <v>391</v>
      </c>
      <c r="M124" s="2" t="s">
        <v>392</v>
      </c>
      <c r="N124" s="10">
        <v>950</v>
      </c>
      <c r="O124" s="2">
        <v>20</v>
      </c>
    </row>
    <row r="125" spans="12:15" x14ac:dyDescent="0.3">
      <c r="L125" s="3" t="s">
        <v>393</v>
      </c>
      <c r="M125" s="3" t="s">
        <v>394</v>
      </c>
      <c r="N125" s="11">
        <v>250</v>
      </c>
      <c r="O125" s="3">
        <v>40</v>
      </c>
    </row>
    <row r="126" spans="12:15" x14ac:dyDescent="0.3">
      <c r="L126" s="2" t="s">
        <v>395</v>
      </c>
      <c r="M126" s="2" t="s">
        <v>396</v>
      </c>
      <c r="N126" s="10">
        <v>3200</v>
      </c>
      <c r="O126" s="2">
        <v>5</v>
      </c>
    </row>
    <row r="127" spans="12:15" x14ac:dyDescent="0.3">
      <c r="L127" s="3" t="s">
        <v>397</v>
      </c>
      <c r="M127" s="3" t="s">
        <v>398</v>
      </c>
      <c r="N127" s="11">
        <v>280</v>
      </c>
      <c r="O127" s="3">
        <v>12</v>
      </c>
    </row>
    <row r="128" spans="12:15" x14ac:dyDescent="0.3">
      <c r="L128" s="2" t="s">
        <v>399</v>
      </c>
      <c r="M128" s="2" t="s">
        <v>400</v>
      </c>
      <c r="N128" s="10">
        <v>350</v>
      </c>
      <c r="O128" s="2">
        <v>15</v>
      </c>
    </row>
    <row r="129" spans="12:15" x14ac:dyDescent="0.3">
      <c r="L129" s="3" t="s">
        <v>401</v>
      </c>
      <c r="M129" s="3" t="s">
        <v>402</v>
      </c>
      <c r="N129" s="11">
        <v>18</v>
      </c>
      <c r="O129" s="3">
        <v>80</v>
      </c>
    </row>
    <row r="130" spans="12:15" x14ac:dyDescent="0.3">
      <c r="L130" s="2" t="s">
        <v>403</v>
      </c>
      <c r="M130" s="2" t="s">
        <v>404</v>
      </c>
      <c r="N130" s="10">
        <v>650</v>
      </c>
      <c r="O130" s="2">
        <v>6</v>
      </c>
    </row>
    <row r="131" spans="12:15" x14ac:dyDescent="0.3">
      <c r="L131" s="3" t="s">
        <v>405</v>
      </c>
      <c r="M131" s="3" t="s">
        <v>406</v>
      </c>
      <c r="N131" s="11">
        <v>380</v>
      </c>
      <c r="O131" s="3">
        <v>10</v>
      </c>
    </row>
    <row r="132" spans="12:15" x14ac:dyDescent="0.3">
      <c r="L132" s="2" t="s">
        <v>407</v>
      </c>
      <c r="M132" s="2" t="s">
        <v>408</v>
      </c>
      <c r="N132" s="10">
        <v>145</v>
      </c>
      <c r="O132" s="2">
        <v>20</v>
      </c>
    </row>
    <row r="133" spans="12:15" x14ac:dyDescent="0.3">
      <c r="L133" s="3" t="s">
        <v>409</v>
      </c>
      <c r="M133" s="3" t="s">
        <v>410</v>
      </c>
      <c r="N133" s="11">
        <v>45</v>
      </c>
      <c r="O133" s="3">
        <v>40</v>
      </c>
    </row>
    <row r="134" spans="12:15" x14ac:dyDescent="0.3">
      <c r="L134" s="2" t="s">
        <v>411</v>
      </c>
      <c r="M134" s="2" t="s">
        <v>412</v>
      </c>
      <c r="N134" s="10">
        <v>110</v>
      </c>
      <c r="O134" s="2">
        <v>30</v>
      </c>
    </row>
    <row r="135" spans="12:15" x14ac:dyDescent="0.3">
      <c r="L135" s="3" t="s">
        <v>413</v>
      </c>
      <c r="M135" s="3" t="s">
        <v>414</v>
      </c>
      <c r="N135" s="11">
        <v>155</v>
      </c>
      <c r="O135" s="3">
        <v>8</v>
      </c>
    </row>
    <row r="136" spans="12:15" x14ac:dyDescent="0.3">
      <c r="L136" s="2" t="s">
        <v>415</v>
      </c>
      <c r="M136" s="2" t="s">
        <v>416</v>
      </c>
      <c r="N136" s="10">
        <v>120</v>
      </c>
      <c r="O136" s="2">
        <v>20</v>
      </c>
    </row>
    <row r="137" spans="12:15" x14ac:dyDescent="0.3">
      <c r="L137" s="3" t="s">
        <v>417</v>
      </c>
      <c r="M137" s="3" t="s">
        <v>418</v>
      </c>
      <c r="N137" s="11">
        <v>350</v>
      </c>
      <c r="O137" s="3">
        <v>10</v>
      </c>
    </row>
    <row r="138" spans="12:15" x14ac:dyDescent="0.3">
      <c r="L138" s="2" t="s">
        <v>419</v>
      </c>
      <c r="M138" s="2" t="s">
        <v>420</v>
      </c>
      <c r="N138" s="10">
        <v>450</v>
      </c>
      <c r="O138" s="2">
        <v>12</v>
      </c>
    </row>
    <row r="139" spans="12:15" x14ac:dyDescent="0.3">
      <c r="L139" s="3" t="s">
        <v>421</v>
      </c>
      <c r="M139" s="3" t="s">
        <v>422</v>
      </c>
      <c r="N139" s="11">
        <v>850</v>
      </c>
      <c r="O139" s="3">
        <v>8</v>
      </c>
    </row>
    <row r="140" spans="12:15" x14ac:dyDescent="0.3">
      <c r="L140" s="2" t="s">
        <v>423</v>
      </c>
      <c r="M140" s="2" t="s">
        <v>424</v>
      </c>
      <c r="N140" s="10">
        <v>480</v>
      </c>
      <c r="O140" s="2">
        <v>10</v>
      </c>
    </row>
    <row r="141" spans="12:15" x14ac:dyDescent="0.3">
      <c r="L141" s="3" t="s">
        <v>425</v>
      </c>
      <c r="M141" s="3" t="s">
        <v>426</v>
      </c>
      <c r="N141" s="11">
        <v>45</v>
      </c>
      <c r="O141" s="3">
        <v>20</v>
      </c>
    </row>
    <row r="142" spans="12:15" x14ac:dyDescent="0.3">
      <c r="L142" s="2" t="s">
        <v>427</v>
      </c>
      <c r="M142" s="2" t="s">
        <v>428</v>
      </c>
      <c r="N142" s="10">
        <v>190</v>
      </c>
      <c r="O142" s="2">
        <v>15</v>
      </c>
    </row>
    <row r="143" spans="12:15" x14ac:dyDescent="0.3">
      <c r="L143" s="3" t="s">
        <v>429</v>
      </c>
      <c r="M143" s="3" t="s">
        <v>430</v>
      </c>
      <c r="N143" s="11">
        <v>85</v>
      </c>
      <c r="O143" s="3">
        <v>30</v>
      </c>
    </row>
    <row r="144" spans="12:15" x14ac:dyDescent="0.3">
      <c r="L144" s="2" t="s">
        <v>431</v>
      </c>
      <c r="M144" s="2" t="s">
        <v>432</v>
      </c>
      <c r="N144" s="10">
        <v>35</v>
      </c>
      <c r="O144" s="2">
        <v>40</v>
      </c>
    </row>
    <row r="145" spans="12:15" x14ac:dyDescent="0.3">
      <c r="L145" s="3" t="s">
        <v>433</v>
      </c>
      <c r="M145" s="3" t="s">
        <v>434</v>
      </c>
      <c r="N145" s="11">
        <v>55</v>
      </c>
      <c r="O145" s="3">
        <v>30</v>
      </c>
    </row>
    <row r="146" spans="12:15" x14ac:dyDescent="0.3">
      <c r="L146" s="2" t="s">
        <v>435</v>
      </c>
      <c r="M146" s="2" t="s">
        <v>436</v>
      </c>
      <c r="N146" s="10">
        <v>25</v>
      </c>
      <c r="O146" s="2">
        <v>20</v>
      </c>
    </row>
    <row r="147" spans="12:15" x14ac:dyDescent="0.3">
      <c r="L147" s="3" t="s">
        <v>437</v>
      </c>
      <c r="M147" s="3" t="s">
        <v>438</v>
      </c>
      <c r="N147" s="11">
        <v>85</v>
      </c>
      <c r="O147" s="3">
        <v>10</v>
      </c>
    </row>
    <row r="148" spans="12:15" x14ac:dyDescent="0.3">
      <c r="L148" s="2" t="s">
        <v>439</v>
      </c>
      <c r="M148" s="2" t="s">
        <v>440</v>
      </c>
      <c r="N148" s="10">
        <v>65</v>
      </c>
      <c r="O148" s="2">
        <v>10</v>
      </c>
    </row>
    <row r="149" spans="12:15" x14ac:dyDescent="0.3">
      <c r="L149" s="3" t="s">
        <v>441</v>
      </c>
      <c r="M149" s="3" t="s">
        <v>442</v>
      </c>
      <c r="N149" s="11">
        <v>35</v>
      </c>
      <c r="O149" s="3">
        <v>15</v>
      </c>
    </row>
    <row r="150" spans="12:15" x14ac:dyDescent="0.3">
      <c r="L150" s="2" t="s">
        <v>443</v>
      </c>
      <c r="M150" s="2" t="s">
        <v>444</v>
      </c>
      <c r="N150" s="10">
        <v>145</v>
      </c>
      <c r="O150" s="2">
        <v>8</v>
      </c>
    </row>
    <row r="151" spans="12:15" x14ac:dyDescent="0.3">
      <c r="L151" s="3" t="s">
        <v>445</v>
      </c>
      <c r="M151" s="3" t="s">
        <v>446</v>
      </c>
      <c r="N151" s="11">
        <v>55</v>
      </c>
      <c r="O151" s="3">
        <v>12</v>
      </c>
    </row>
    <row r="152" spans="12:15" x14ac:dyDescent="0.3">
      <c r="L152" s="2" t="s">
        <v>447</v>
      </c>
      <c r="M152" s="2" t="s">
        <v>448</v>
      </c>
      <c r="N152" s="10">
        <v>45</v>
      </c>
      <c r="O152" s="2">
        <v>50</v>
      </c>
    </row>
    <row r="153" spans="12:15" x14ac:dyDescent="0.3">
      <c r="L153" s="3" t="s">
        <v>449</v>
      </c>
      <c r="M153" s="3" t="s">
        <v>450</v>
      </c>
      <c r="N153" s="11">
        <v>12</v>
      </c>
      <c r="O153" s="3">
        <v>100</v>
      </c>
    </row>
    <row r="154" spans="12:15" x14ac:dyDescent="0.3">
      <c r="L154" s="2" t="s">
        <v>451</v>
      </c>
      <c r="M154" s="2" t="s">
        <v>452</v>
      </c>
      <c r="N154" s="10">
        <v>25</v>
      </c>
      <c r="O154" s="2">
        <v>15</v>
      </c>
    </row>
    <row r="155" spans="12:15" x14ac:dyDescent="0.3">
      <c r="L155" s="3" t="s">
        <v>453</v>
      </c>
      <c r="M155" s="3" t="s">
        <v>454</v>
      </c>
      <c r="N155" s="11">
        <v>18</v>
      </c>
      <c r="O155" s="3">
        <v>40</v>
      </c>
    </row>
    <row r="156" spans="12:15" x14ac:dyDescent="0.3">
      <c r="L156" s="2" t="s">
        <v>455</v>
      </c>
      <c r="M156" s="2" t="s">
        <v>456</v>
      </c>
      <c r="N156" s="10">
        <v>12</v>
      </c>
      <c r="O156" s="2">
        <v>50</v>
      </c>
    </row>
    <row r="157" spans="12:15" x14ac:dyDescent="0.3">
      <c r="L157" s="3" t="s">
        <v>457</v>
      </c>
      <c r="M157" s="3" t="s">
        <v>458</v>
      </c>
      <c r="N157" s="11">
        <v>85</v>
      </c>
      <c r="O157" s="3">
        <v>12</v>
      </c>
    </row>
    <row r="158" spans="12:15" x14ac:dyDescent="0.3">
      <c r="L158" s="2" t="s">
        <v>459</v>
      </c>
      <c r="M158" s="2" t="s">
        <v>460</v>
      </c>
      <c r="N158" s="10">
        <v>28</v>
      </c>
      <c r="O158" s="2">
        <v>60</v>
      </c>
    </row>
    <row r="159" spans="12:15" x14ac:dyDescent="0.3">
      <c r="L159" s="3" t="s">
        <v>461</v>
      </c>
      <c r="M159" s="3" t="s">
        <v>462</v>
      </c>
      <c r="N159" s="11">
        <v>7</v>
      </c>
      <c r="O159" s="3">
        <v>100</v>
      </c>
    </row>
    <row r="160" spans="12:15" x14ac:dyDescent="0.3">
      <c r="L160" s="2" t="s">
        <v>463</v>
      </c>
      <c r="M160" s="2" t="s">
        <v>464</v>
      </c>
      <c r="N160" s="10">
        <v>12</v>
      </c>
      <c r="O160" s="2">
        <v>80</v>
      </c>
    </row>
    <row r="161" spans="12:15" x14ac:dyDescent="0.3">
      <c r="L161" s="3" t="s">
        <v>465</v>
      </c>
      <c r="M161" s="3" t="s">
        <v>466</v>
      </c>
      <c r="N161" s="11">
        <v>9</v>
      </c>
      <c r="O161" s="3">
        <v>120</v>
      </c>
    </row>
    <row r="162" spans="12:15" x14ac:dyDescent="0.3">
      <c r="L162" s="2" t="s">
        <v>467</v>
      </c>
      <c r="M162" s="2" t="s">
        <v>468</v>
      </c>
      <c r="N162" s="10">
        <v>15</v>
      </c>
      <c r="O162" s="2">
        <v>40</v>
      </c>
    </row>
    <row r="163" spans="12:15" x14ac:dyDescent="0.3">
      <c r="L163" s="3" t="s">
        <v>469</v>
      </c>
      <c r="M163" s="3" t="s">
        <v>470</v>
      </c>
      <c r="N163" s="11">
        <v>55</v>
      </c>
      <c r="O163" s="3">
        <v>20</v>
      </c>
    </row>
    <row r="164" spans="12:15" x14ac:dyDescent="0.3">
      <c r="L164" s="2" t="s">
        <v>471</v>
      </c>
      <c r="M164" s="2" t="s">
        <v>472</v>
      </c>
      <c r="N164" s="10">
        <v>18</v>
      </c>
      <c r="O164" s="2">
        <v>30</v>
      </c>
    </row>
    <row r="165" spans="12:15" x14ac:dyDescent="0.3">
      <c r="L165" s="3" t="s">
        <v>473</v>
      </c>
      <c r="M165" s="3" t="s">
        <v>474</v>
      </c>
      <c r="N165" s="11">
        <v>65</v>
      </c>
      <c r="O165" s="3">
        <v>10</v>
      </c>
    </row>
    <row r="166" spans="12:15" x14ac:dyDescent="0.3">
      <c r="L166" s="2" t="s">
        <v>475</v>
      </c>
      <c r="M166" s="2" t="s">
        <v>476</v>
      </c>
      <c r="N166" s="10">
        <v>18</v>
      </c>
      <c r="O166" s="2">
        <v>25</v>
      </c>
    </row>
    <row r="167" spans="12:15" x14ac:dyDescent="0.3">
      <c r="L167" s="3" t="s">
        <v>477</v>
      </c>
      <c r="M167" s="3" t="s">
        <v>478</v>
      </c>
      <c r="N167" s="11">
        <v>12</v>
      </c>
      <c r="O167" s="3">
        <v>40</v>
      </c>
    </row>
    <row r="168" spans="12:15" x14ac:dyDescent="0.3">
      <c r="L168" s="2" t="s">
        <v>479</v>
      </c>
      <c r="M168" s="2" t="s">
        <v>480</v>
      </c>
      <c r="N168" s="10">
        <v>18</v>
      </c>
      <c r="O168" s="2">
        <v>100</v>
      </c>
    </row>
    <row r="169" spans="12:15" x14ac:dyDescent="0.3">
      <c r="L169" s="3" t="s">
        <v>481</v>
      </c>
      <c r="M169" s="3" t="s">
        <v>482</v>
      </c>
      <c r="N169" s="11">
        <v>45</v>
      </c>
      <c r="O169" s="3">
        <v>40</v>
      </c>
    </row>
    <row r="170" spans="12:15" x14ac:dyDescent="0.3">
      <c r="L170" s="2" t="s">
        <v>483</v>
      </c>
      <c r="M170" s="2" t="s">
        <v>484</v>
      </c>
      <c r="N170" s="10">
        <v>12</v>
      </c>
      <c r="O170" s="2">
        <v>150</v>
      </c>
    </row>
    <row r="171" spans="12:15" x14ac:dyDescent="0.3">
      <c r="L171" s="3" t="s">
        <v>485</v>
      </c>
      <c r="M171" s="3" t="s">
        <v>486</v>
      </c>
      <c r="N171" s="11">
        <v>55</v>
      </c>
      <c r="O171" s="3">
        <v>30</v>
      </c>
    </row>
    <row r="172" spans="12:15" x14ac:dyDescent="0.3">
      <c r="L172" s="2" t="s">
        <v>487</v>
      </c>
      <c r="M172" s="2" t="s">
        <v>488</v>
      </c>
      <c r="N172" s="10">
        <v>65</v>
      </c>
      <c r="O172" s="2">
        <v>25</v>
      </c>
    </row>
    <row r="173" spans="12:15" x14ac:dyDescent="0.3">
      <c r="L173" s="3" t="s">
        <v>489</v>
      </c>
      <c r="M173" s="3" t="s">
        <v>490</v>
      </c>
      <c r="N173" s="11">
        <v>120</v>
      </c>
      <c r="O173" s="3">
        <v>5</v>
      </c>
    </row>
    <row r="174" spans="12:15" x14ac:dyDescent="0.3">
      <c r="L174" s="2" t="s">
        <v>491</v>
      </c>
      <c r="M174" s="2" t="s">
        <v>492</v>
      </c>
      <c r="N174" s="10">
        <v>15</v>
      </c>
      <c r="O174" s="2">
        <v>100</v>
      </c>
    </row>
    <row r="175" spans="12:15" x14ac:dyDescent="0.3">
      <c r="L175" s="3" t="s">
        <v>493</v>
      </c>
      <c r="M175" s="3" t="s">
        <v>494</v>
      </c>
      <c r="N175" s="11">
        <v>65</v>
      </c>
      <c r="O175" s="3">
        <v>40</v>
      </c>
    </row>
    <row r="176" spans="12:15" x14ac:dyDescent="0.3">
      <c r="L176" s="2" t="s">
        <v>495</v>
      </c>
      <c r="M176" s="2" t="s">
        <v>496</v>
      </c>
      <c r="N176" s="10">
        <v>110</v>
      </c>
      <c r="O176" s="2">
        <v>10</v>
      </c>
    </row>
    <row r="177" spans="12:15" x14ac:dyDescent="0.3">
      <c r="L177" s="3" t="s">
        <v>497</v>
      </c>
      <c r="M177" s="3" t="s">
        <v>498</v>
      </c>
      <c r="N177" s="11">
        <v>35</v>
      </c>
      <c r="O177" s="3">
        <v>50</v>
      </c>
    </row>
    <row r="178" spans="12:15" x14ac:dyDescent="0.3">
      <c r="L178" s="2" t="s">
        <v>499</v>
      </c>
      <c r="M178" s="2" t="s">
        <v>500</v>
      </c>
      <c r="N178" s="10">
        <v>280</v>
      </c>
      <c r="O178" s="2">
        <v>5</v>
      </c>
    </row>
    <row r="179" spans="12:15" x14ac:dyDescent="0.3">
      <c r="L179" s="3" t="s">
        <v>501</v>
      </c>
      <c r="M179" s="3" t="s">
        <v>502</v>
      </c>
      <c r="N179" s="11">
        <v>850</v>
      </c>
      <c r="O179" s="3">
        <v>3</v>
      </c>
    </row>
    <row r="180" spans="12:15" x14ac:dyDescent="0.3">
      <c r="L180" s="2" t="s">
        <v>503</v>
      </c>
      <c r="M180" s="2" t="s">
        <v>504</v>
      </c>
      <c r="N180" s="10">
        <v>1800</v>
      </c>
      <c r="O180" s="2">
        <v>2</v>
      </c>
    </row>
    <row r="181" spans="12:15" x14ac:dyDescent="0.3">
      <c r="L181" s="3" t="s">
        <v>505</v>
      </c>
      <c r="M181" s="3" t="s">
        <v>506</v>
      </c>
      <c r="N181" s="11">
        <v>450</v>
      </c>
      <c r="O181" s="3">
        <v>6</v>
      </c>
    </row>
    <row r="182" spans="12:15" x14ac:dyDescent="0.3">
      <c r="L182" s="2" t="s">
        <v>507</v>
      </c>
      <c r="M182" s="2" t="s">
        <v>508</v>
      </c>
      <c r="N182" s="10">
        <v>6500</v>
      </c>
      <c r="O182" s="2">
        <v>3</v>
      </c>
    </row>
    <row r="183" spans="12:15" x14ac:dyDescent="0.3">
      <c r="L183" s="3" t="s">
        <v>509</v>
      </c>
      <c r="M183" s="3" t="s">
        <v>510</v>
      </c>
      <c r="N183" s="11">
        <v>1850</v>
      </c>
      <c r="O183" s="3">
        <v>5</v>
      </c>
    </row>
    <row r="184" spans="12:15" x14ac:dyDescent="0.3">
      <c r="L184" s="2" t="s">
        <v>511</v>
      </c>
      <c r="M184" s="2" t="s">
        <v>512</v>
      </c>
      <c r="N184" s="10">
        <v>1200</v>
      </c>
      <c r="O184" s="2">
        <v>4</v>
      </c>
    </row>
    <row r="185" spans="12:15" x14ac:dyDescent="0.3">
      <c r="L185" s="3" t="s">
        <v>513</v>
      </c>
      <c r="M185" s="3" t="s">
        <v>514</v>
      </c>
      <c r="N185" s="11">
        <v>45</v>
      </c>
      <c r="O185" s="3">
        <v>20</v>
      </c>
    </row>
    <row r="186" spans="12:15" x14ac:dyDescent="0.3">
      <c r="L186" s="2" t="s">
        <v>515</v>
      </c>
      <c r="M186" s="2" t="s">
        <v>516</v>
      </c>
      <c r="N186" s="10">
        <v>380</v>
      </c>
      <c r="O186" s="2">
        <v>10</v>
      </c>
    </row>
    <row r="187" spans="12:15" x14ac:dyDescent="0.3">
      <c r="L187" s="3" t="s">
        <v>517</v>
      </c>
      <c r="M187" s="3" t="s">
        <v>518</v>
      </c>
      <c r="N187" s="11">
        <v>6800</v>
      </c>
      <c r="O187" s="3">
        <v>2</v>
      </c>
    </row>
    <row r="188" spans="12:15" x14ac:dyDescent="0.3">
      <c r="L188" s="2" t="s">
        <v>519</v>
      </c>
      <c r="M188" s="2" t="s">
        <v>520</v>
      </c>
      <c r="N188" s="10">
        <v>250</v>
      </c>
      <c r="O188" s="2">
        <v>8</v>
      </c>
    </row>
    <row r="189" spans="12:15" x14ac:dyDescent="0.3">
      <c r="L189" s="3" t="s">
        <v>521</v>
      </c>
      <c r="M189" s="3" t="s">
        <v>522</v>
      </c>
      <c r="N189" s="11">
        <v>1550</v>
      </c>
      <c r="O189" s="3">
        <v>3</v>
      </c>
    </row>
    <row r="190" spans="12:15" x14ac:dyDescent="0.3">
      <c r="L190" s="2" t="s">
        <v>523</v>
      </c>
      <c r="M190" s="2" t="s">
        <v>524</v>
      </c>
      <c r="N190" s="10">
        <v>22000</v>
      </c>
      <c r="O190" s="2">
        <v>1</v>
      </c>
    </row>
    <row r="191" spans="12:15" x14ac:dyDescent="0.3">
      <c r="L191" s="3" t="s">
        <v>525</v>
      </c>
      <c r="M191" s="3" t="s">
        <v>526</v>
      </c>
      <c r="N191" s="11">
        <v>8500</v>
      </c>
      <c r="O191" s="3">
        <v>2</v>
      </c>
    </row>
    <row r="192" spans="12:15" x14ac:dyDescent="0.3">
      <c r="L192" s="2" t="s">
        <v>527</v>
      </c>
      <c r="M192" s="2" t="s">
        <v>528</v>
      </c>
      <c r="N192" s="10">
        <v>145</v>
      </c>
      <c r="O192" s="2">
        <v>15</v>
      </c>
    </row>
    <row r="193" spans="12:15" x14ac:dyDescent="0.3">
      <c r="L193" s="3" t="s">
        <v>529</v>
      </c>
      <c r="M193" s="3" t="s">
        <v>530</v>
      </c>
      <c r="N193" s="11">
        <v>85</v>
      </c>
      <c r="O193" s="3">
        <v>20</v>
      </c>
    </row>
    <row r="194" spans="12:15" x14ac:dyDescent="0.3">
      <c r="L194" s="2" t="s">
        <v>531</v>
      </c>
      <c r="M194" s="2" t="s">
        <v>532</v>
      </c>
      <c r="N194" s="10">
        <v>450</v>
      </c>
      <c r="O194" s="2">
        <v>6</v>
      </c>
    </row>
    <row r="195" spans="12:15" x14ac:dyDescent="0.3">
      <c r="L195" s="3" t="s">
        <v>533</v>
      </c>
      <c r="M195" s="3" t="s">
        <v>534</v>
      </c>
      <c r="N195" s="11">
        <v>35</v>
      </c>
      <c r="O195" s="3">
        <v>50</v>
      </c>
    </row>
    <row r="196" spans="12:15" x14ac:dyDescent="0.3">
      <c r="L196" s="2" t="s">
        <v>535</v>
      </c>
      <c r="M196" s="2" t="s">
        <v>536</v>
      </c>
      <c r="N196" s="10">
        <v>120</v>
      </c>
      <c r="O196" s="2">
        <v>20</v>
      </c>
    </row>
    <row r="197" spans="12:15" x14ac:dyDescent="0.3">
      <c r="L197" s="3" t="s">
        <v>537</v>
      </c>
      <c r="M197" s="3" t="s">
        <v>538</v>
      </c>
      <c r="N197" s="11">
        <v>95</v>
      </c>
      <c r="O197" s="3">
        <v>15</v>
      </c>
    </row>
    <row r="198" spans="12:15" x14ac:dyDescent="0.3">
      <c r="L198" s="2" t="s">
        <v>539</v>
      </c>
      <c r="M198" s="2" t="s">
        <v>540</v>
      </c>
      <c r="N198" s="10">
        <v>280</v>
      </c>
      <c r="O198" s="2">
        <v>5</v>
      </c>
    </row>
    <row r="199" spans="12:15" x14ac:dyDescent="0.3">
      <c r="L199" s="3" t="s">
        <v>541</v>
      </c>
      <c r="M199" s="3" t="s">
        <v>542</v>
      </c>
      <c r="N199" s="11">
        <v>55</v>
      </c>
      <c r="O199" s="3">
        <v>12</v>
      </c>
    </row>
    <row r="200" spans="12:15" x14ac:dyDescent="0.3">
      <c r="L200" s="2" t="s">
        <v>543</v>
      </c>
      <c r="M200" s="2" t="s">
        <v>544</v>
      </c>
      <c r="N200" s="10">
        <v>25</v>
      </c>
      <c r="O200" s="2">
        <v>20</v>
      </c>
    </row>
    <row r="201" spans="12:15" x14ac:dyDescent="0.3">
      <c r="L201" s="9" t="s">
        <v>545</v>
      </c>
      <c r="M201" s="9" t="s">
        <v>546</v>
      </c>
      <c r="N201" s="13">
        <v>1200</v>
      </c>
      <c r="O201" s="9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BB1B-13EF-4126-9413-F9E76C9B081C}">
  <sheetPr codeName="Planilha3"/>
  <dimension ref="A1:K201"/>
  <sheetViews>
    <sheetView topLeftCell="A2" zoomScale="85" zoomScaleNormal="85" workbookViewId="0">
      <selection activeCell="A181" sqref="A181"/>
    </sheetView>
  </sheetViews>
  <sheetFormatPr defaultRowHeight="14.4" x14ac:dyDescent="0.3"/>
  <cols>
    <col min="1" max="1" width="12.5546875" customWidth="1"/>
    <col min="2" max="2" width="26.6640625" bestFit="1" customWidth="1"/>
    <col min="3" max="3" width="17.33203125" customWidth="1"/>
    <col min="4" max="4" width="17.21875" customWidth="1"/>
    <col min="5" max="5" width="16.109375" customWidth="1"/>
    <col min="6" max="6" width="15.44140625" customWidth="1"/>
    <col min="7" max="7" width="20.21875" bestFit="1" customWidth="1"/>
    <col min="9" max="9" width="12.5546875" customWidth="1"/>
    <col min="10" max="10" width="27.88671875" bestFit="1" customWidth="1"/>
    <col min="11" max="11" width="22.88671875" style="5" customWidth="1"/>
    <col min="12" max="12" width="17.33203125" customWidth="1"/>
  </cols>
  <sheetData>
    <row r="1" spans="1:11" x14ac:dyDescent="0.3">
      <c r="A1" s="15" t="s">
        <v>143</v>
      </c>
      <c r="B1" s="15" t="s">
        <v>144</v>
      </c>
      <c r="C1" s="15" t="s">
        <v>146</v>
      </c>
      <c r="D1" s="15" t="s">
        <v>578</v>
      </c>
      <c r="E1" s="15" t="s">
        <v>579</v>
      </c>
      <c r="F1" s="15" t="s">
        <v>585</v>
      </c>
      <c r="G1" s="15" t="s">
        <v>580</v>
      </c>
      <c r="K1"/>
    </row>
    <row r="2" spans="1:11" x14ac:dyDescent="0.3">
      <c r="A2" s="14" t="s">
        <v>147</v>
      </c>
      <c r="B2" s="14" t="str">
        <f>_xlfn.XLOOKUP(Tabela_Controle_Estoque[[#This Row],[ID_Produto]],Tabela_Produtos[ID_Produto],Tabela_Produtos[Descricao_Produto],"N/A")</f>
        <v>Monitor 24 pol Full HD</v>
      </c>
      <c r="C2" s="14">
        <f>_xlfn.XLOOKUP(Tabela_Controle_Estoque[[#This Row],[ID_Produto]],Tabela_Produtos[ID_Produto],Tabela_Produtos[Estoque_Minimo],"N/A")</f>
        <v>10</v>
      </c>
      <c r="D2" s="14">
        <f ca="1">SUMIFS(Tabela_Movimentacao_Geral[Quantidade],Tabela_Movimentacao_Geral[ID Produto],CONTROLE_ESTOQUE!$A2,Tabela_Movimentacao_Geral[Tipo Fluxo], "Entrada")</f>
        <v>179</v>
      </c>
      <c r="E2" s="14">
        <f ca="1">SUMIFS(Tabela_Movimentacao_Geral[Quantidade], Tabela_Movimentacao_Geral[ID Produto],CONTROLE_ESTOQUE!$A2,Tabela_Movimentacao_Geral[Tipo Fluxo], "Saida")</f>
        <v>18</v>
      </c>
      <c r="F2" s="14">
        <f ca="1">CONTROLE_ESTOQUE!$D2 - CONTROLE_ESTOQUE!$E2</f>
        <v>161</v>
      </c>
      <c r="G2" s="14" t="str">
        <f ca="1">IF(CONTROLE_ESTOQUE!$F2 &lt; CONTROLE_ESTOQUE!$C2, "COMPRAR URGENTE", "Estoque OK")</f>
        <v>Estoque OK</v>
      </c>
      <c r="K2"/>
    </row>
    <row r="3" spans="1:11" x14ac:dyDescent="0.3">
      <c r="A3" s="9" t="s">
        <v>149</v>
      </c>
      <c r="B3" s="9" t="str">
        <f>_xlfn.XLOOKUP(Tabela_Controle_Estoque[[#This Row],[ID_Produto]],Tabela_Produtos[ID_Produto],Tabela_Produtos[Descricao_Produto],"N/A")</f>
        <v>Teclado Mecanico RGB</v>
      </c>
      <c r="C3" s="9">
        <f>_xlfn.XLOOKUP(Tabela_Controle_Estoque[[#This Row],[ID_Produto]],Tabela_Produtos[ID_Produto],Tabela_Produtos[Estoque_Minimo],"N/A")</f>
        <v>15</v>
      </c>
      <c r="D3" s="9">
        <f ca="1">SUMIFS(Tabela_Movimentacao_Geral[Quantidade],Tabela_Movimentacao_Geral[ID Produto],CONTROLE_ESTOQUE!$A3,Tabela_Movimentacao_Geral[Tipo Fluxo], "Entrada")</f>
        <v>107</v>
      </c>
      <c r="E3" s="9">
        <f ca="1">SUMIFS(Tabela_Movimentacao_Geral[Quantidade], Tabela_Movimentacao_Geral[ID Produto],CONTROLE_ESTOQUE!$A3,Tabela_Movimentacao_Geral[Tipo Fluxo], "Saida")</f>
        <v>89</v>
      </c>
      <c r="F3" s="9">
        <f ca="1">CONTROLE_ESTOQUE!$D3 - CONTROLE_ESTOQUE!$E3</f>
        <v>18</v>
      </c>
      <c r="G3" s="9" t="str">
        <f ca="1">IF(CONTROLE_ESTOQUE!$F3 &lt; CONTROLE_ESTOQUE!$C3, "COMPRAR URGENTE", "Estoque OK")</f>
        <v>Estoque OK</v>
      </c>
      <c r="K3"/>
    </row>
    <row r="4" spans="1:11" x14ac:dyDescent="0.3">
      <c r="A4" s="14" t="s">
        <v>151</v>
      </c>
      <c r="B4" s="14" t="str">
        <f>_xlfn.XLOOKUP(Tabela_Controle_Estoque[[#This Row],[ID_Produto]],Tabela_Produtos[ID_Produto],Tabela_Produtos[Descricao_Produto],"N/A")</f>
        <v>Mouse Sem Fio Optico</v>
      </c>
      <c r="C4" s="14">
        <f>_xlfn.XLOOKUP(Tabela_Controle_Estoque[[#This Row],[ID_Produto]],Tabela_Produtos[ID_Produto],Tabela_Produtos[Estoque_Minimo],"N/A")</f>
        <v>30</v>
      </c>
      <c r="D4" s="14">
        <f ca="1">SUMIFS(Tabela_Movimentacao_Geral[Quantidade],Tabela_Movimentacao_Geral[ID Produto],CONTROLE_ESTOQUE!$A4,Tabela_Movimentacao_Geral[Tipo Fluxo], "Entrada")</f>
        <v>227</v>
      </c>
      <c r="E4" s="14">
        <f ca="1">SUMIFS(Tabela_Movimentacao_Geral[Quantidade], Tabela_Movimentacao_Geral[ID Produto],CONTROLE_ESTOQUE!$A4,Tabela_Movimentacao_Geral[Tipo Fluxo], "Saida")</f>
        <v>156</v>
      </c>
      <c r="F4" s="14">
        <f ca="1">CONTROLE_ESTOQUE!$D4 - CONTROLE_ESTOQUE!$E4</f>
        <v>71</v>
      </c>
      <c r="G4" s="14" t="str">
        <f ca="1">IF(CONTROLE_ESTOQUE!$F4 &lt; CONTROLE_ESTOQUE!$C4, "COMPRAR URGENTE", "Estoque OK")</f>
        <v>Estoque OK</v>
      </c>
      <c r="K4"/>
    </row>
    <row r="5" spans="1:11" x14ac:dyDescent="0.3">
      <c r="A5" s="9" t="s">
        <v>153</v>
      </c>
      <c r="B5" s="9" t="str">
        <f>_xlfn.XLOOKUP(Tabela_Controle_Estoque[[#This Row],[ID_Produto]],Tabela_Produtos[ID_Produto],Tabela_Produtos[Descricao_Produto],"N/A")</f>
        <v>Cadeira Ergonomica Office</v>
      </c>
      <c r="C5" s="9">
        <f>_xlfn.XLOOKUP(Tabela_Controle_Estoque[[#This Row],[ID_Produto]],Tabela_Produtos[ID_Produto],Tabela_Produtos[Estoque_Minimo],"N/A")</f>
        <v>5</v>
      </c>
      <c r="D5" s="9">
        <f ca="1">SUMIFS(Tabela_Movimentacao_Geral[Quantidade],Tabela_Movimentacao_Geral[ID Produto],CONTROLE_ESTOQUE!$A5,Tabela_Movimentacao_Geral[Tipo Fluxo], "Entrada")</f>
        <v>157</v>
      </c>
      <c r="E5" s="9">
        <f ca="1">SUMIFS(Tabela_Movimentacao_Geral[Quantidade], Tabela_Movimentacao_Geral[ID Produto],CONTROLE_ESTOQUE!$A5,Tabela_Movimentacao_Geral[Tipo Fluxo], "Saida")</f>
        <v>130</v>
      </c>
      <c r="F5" s="9">
        <f ca="1">CONTROLE_ESTOQUE!$D5 - CONTROLE_ESTOQUE!$E5</f>
        <v>27</v>
      </c>
      <c r="G5" s="9" t="str">
        <f ca="1">IF(CONTROLE_ESTOQUE!$F5 &lt; CONTROLE_ESTOQUE!$C5, "COMPRAR URGENTE", "Estoque OK")</f>
        <v>Estoque OK</v>
      </c>
      <c r="K5"/>
    </row>
    <row r="6" spans="1:11" x14ac:dyDescent="0.3">
      <c r="A6" s="14" t="s">
        <v>155</v>
      </c>
      <c r="B6" s="14" t="str">
        <f>_xlfn.XLOOKUP(Tabela_Controle_Estoque[[#This Row],[ID_Produto]],Tabela_Produtos[ID_Produto],Tabela_Produtos[Descricao_Produto],"N/A")</f>
        <v>Notebook i5 8GB 256GB SSD</v>
      </c>
      <c r="C6" s="14">
        <f>_xlfn.XLOOKUP(Tabela_Controle_Estoque[[#This Row],[ID_Produto]],Tabela_Produtos[ID_Produto],Tabela_Produtos[Estoque_Minimo],"N/A")</f>
        <v>8</v>
      </c>
      <c r="D6" s="14">
        <f ca="1">SUMIFS(Tabela_Movimentacao_Geral[Quantidade],Tabela_Movimentacao_Geral[ID Produto],CONTROLE_ESTOQUE!$A6,Tabela_Movimentacao_Geral[Tipo Fluxo], "Entrada")</f>
        <v>25</v>
      </c>
      <c r="E6" s="14">
        <f ca="1">SUMIFS(Tabela_Movimentacao_Geral[Quantidade], Tabela_Movimentacao_Geral[ID Produto],CONTROLE_ESTOQUE!$A6,Tabela_Movimentacao_Geral[Tipo Fluxo], "Saida")</f>
        <v>13</v>
      </c>
      <c r="F6" s="14">
        <f ca="1">CONTROLE_ESTOQUE!$D6 - CONTROLE_ESTOQUE!$E6</f>
        <v>12</v>
      </c>
      <c r="G6" s="14" t="str">
        <f ca="1">IF(CONTROLE_ESTOQUE!$F6 &lt; CONTROLE_ESTOQUE!$C6, "COMPRAR URGENTE", "Estoque OK")</f>
        <v>Estoque OK</v>
      </c>
      <c r="K6"/>
    </row>
    <row r="7" spans="1:11" x14ac:dyDescent="0.3">
      <c r="A7" s="9" t="s">
        <v>157</v>
      </c>
      <c r="B7" s="9" t="str">
        <f>_xlfn.XLOOKUP(Tabela_Controle_Estoque[[#This Row],[ID_Produto]],Tabela_Produtos[ID_Produto],Tabela_Produtos[Descricao_Produto],"N/A")</f>
        <v>Notebook i7 16GB 512GB SSD</v>
      </c>
      <c r="C7" s="9">
        <f>_xlfn.XLOOKUP(Tabela_Controle_Estoque[[#This Row],[ID_Produto]],Tabela_Produtos[ID_Produto],Tabela_Produtos[Estoque_Minimo],"N/A")</f>
        <v>4</v>
      </c>
      <c r="D7" s="9">
        <f ca="1">SUMIFS(Tabela_Movimentacao_Geral[Quantidade],Tabela_Movimentacao_Geral[ID Produto],CONTROLE_ESTOQUE!$A7,Tabela_Movimentacao_Geral[Tipo Fluxo], "Entrada")</f>
        <v>96</v>
      </c>
      <c r="E7" s="9">
        <f ca="1">SUMIFS(Tabela_Movimentacao_Geral[Quantidade], Tabela_Movimentacao_Geral[ID Produto],CONTROLE_ESTOQUE!$A7,Tabela_Movimentacao_Geral[Tipo Fluxo], "Saida")</f>
        <v>75</v>
      </c>
      <c r="F7" s="9">
        <f ca="1">CONTROLE_ESTOQUE!$D7 - CONTROLE_ESTOQUE!$E7</f>
        <v>21</v>
      </c>
      <c r="G7" s="9" t="str">
        <f ca="1">IF(CONTROLE_ESTOQUE!$F7 &lt; CONTROLE_ESTOQUE!$C7, "COMPRAR URGENTE", "Estoque OK")</f>
        <v>Estoque OK</v>
      </c>
      <c r="K7"/>
    </row>
    <row r="8" spans="1:11" x14ac:dyDescent="0.3">
      <c r="A8" s="14" t="s">
        <v>159</v>
      </c>
      <c r="B8" s="14" t="str">
        <f>_xlfn.XLOOKUP(Tabela_Controle_Estoque[[#This Row],[ID_Produto]],Tabela_Produtos[ID_Produto],Tabela_Produtos[Descricao_Produto],"N/A")</f>
        <v>Impressora Laser Color</v>
      </c>
      <c r="C8" s="14">
        <f>_xlfn.XLOOKUP(Tabela_Controle_Estoque[[#This Row],[ID_Produto]],Tabela_Produtos[ID_Produto],Tabela_Produtos[Estoque_Minimo],"N/A")</f>
        <v>3</v>
      </c>
      <c r="D8" s="14">
        <f ca="1">SUMIFS(Tabela_Movimentacao_Geral[Quantidade],Tabela_Movimentacao_Geral[ID Produto],CONTROLE_ESTOQUE!$A8,Tabela_Movimentacao_Geral[Tipo Fluxo], "Entrada")</f>
        <v>57</v>
      </c>
      <c r="E8" s="14">
        <f ca="1">SUMIFS(Tabela_Movimentacao_Geral[Quantidade], Tabela_Movimentacao_Geral[ID Produto],CONTROLE_ESTOQUE!$A8,Tabela_Movimentacao_Geral[Tipo Fluxo], "Saida")</f>
        <v>56</v>
      </c>
      <c r="F8" s="14">
        <f ca="1">CONTROLE_ESTOQUE!$D8 - CONTROLE_ESTOQUE!$E8</f>
        <v>1</v>
      </c>
      <c r="G8" s="14" t="str">
        <f ca="1">IF(CONTROLE_ESTOQUE!$F8 &lt; CONTROLE_ESTOQUE!$C8, "COMPRAR URGENTE", "Estoque OK")</f>
        <v>COMPRAR URGENTE</v>
      </c>
      <c r="K8"/>
    </row>
    <row r="9" spans="1:11" x14ac:dyDescent="0.3">
      <c r="A9" s="9" t="s">
        <v>161</v>
      </c>
      <c r="B9" s="9" t="str">
        <f>_xlfn.XLOOKUP(Tabela_Controle_Estoque[[#This Row],[ID_Produto]],Tabela_Produtos[ID_Produto],Tabela_Produtos[Descricao_Produto],"N/A")</f>
        <v>Toner Preto High Yield</v>
      </c>
      <c r="C9" s="9">
        <f>_xlfn.XLOOKUP(Tabela_Controle_Estoque[[#This Row],[ID_Produto]],Tabela_Produtos[ID_Produto],Tabela_Produtos[Estoque_Minimo],"N/A")</f>
        <v>20</v>
      </c>
      <c r="D9" s="9">
        <f ca="1">SUMIFS(Tabela_Movimentacao_Geral[Quantidade],Tabela_Movimentacao_Geral[ID Produto],CONTROLE_ESTOQUE!$A9,Tabela_Movimentacao_Geral[Tipo Fluxo], "Entrada")</f>
        <v>53</v>
      </c>
      <c r="E9" s="9">
        <f ca="1">SUMIFS(Tabela_Movimentacao_Geral[Quantidade], Tabela_Movimentacao_Geral[ID Produto],CONTROLE_ESTOQUE!$A9,Tabela_Movimentacao_Geral[Tipo Fluxo], "Saida")</f>
        <v>46</v>
      </c>
      <c r="F9" s="9">
        <f ca="1">CONTROLE_ESTOQUE!$D9 - CONTROLE_ESTOQUE!$E9</f>
        <v>7</v>
      </c>
      <c r="G9" s="9" t="str">
        <f ca="1">IF(CONTROLE_ESTOQUE!$F9 &lt; CONTROLE_ESTOQUE!$C9, "COMPRAR URGENTE", "Estoque OK")</f>
        <v>COMPRAR URGENTE</v>
      </c>
      <c r="K9"/>
    </row>
    <row r="10" spans="1:11" x14ac:dyDescent="0.3">
      <c r="A10" s="14" t="s">
        <v>163</v>
      </c>
      <c r="B10" s="14" t="str">
        <f>_xlfn.XLOOKUP(Tabela_Controle_Estoque[[#This Row],[ID_Produto]],Tabela_Produtos[ID_Produto],Tabela_Produtos[Descricao_Produto],"N/A")</f>
        <v>Cabo HDMI 2.0 2m</v>
      </c>
      <c r="C10" s="14">
        <f>_xlfn.XLOOKUP(Tabela_Controle_Estoque[[#This Row],[ID_Produto]],Tabela_Produtos[ID_Produto],Tabela_Produtos[Estoque_Minimo],"N/A")</f>
        <v>50</v>
      </c>
      <c r="D10" s="14">
        <f ca="1">SUMIFS(Tabela_Movimentacao_Geral[Quantidade],Tabela_Movimentacao_Geral[ID Produto],CONTROLE_ESTOQUE!$A10,Tabela_Movimentacao_Geral[Tipo Fluxo], "Entrada")</f>
        <v>226</v>
      </c>
      <c r="E10" s="14">
        <f ca="1">SUMIFS(Tabela_Movimentacao_Geral[Quantidade], Tabela_Movimentacao_Geral[ID Produto],CONTROLE_ESTOQUE!$A10,Tabela_Movimentacao_Geral[Tipo Fluxo], "Saida")</f>
        <v>180</v>
      </c>
      <c r="F10" s="14">
        <f ca="1">CONTROLE_ESTOQUE!$D10 - CONTROLE_ESTOQUE!$E10</f>
        <v>46</v>
      </c>
      <c r="G10" s="14" t="str">
        <f ca="1">IF(CONTROLE_ESTOQUE!$F10 &lt; CONTROLE_ESTOQUE!$C10, "COMPRAR URGENTE", "Estoque OK")</f>
        <v>COMPRAR URGENTE</v>
      </c>
      <c r="K10"/>
    </row>
    <row r="11" spans="1:11" x14ac:dyDescent="0.3">
      <c r="A11" s="9" t="s">
        <v>165</v>
      </c>
      <c r="B11" s="9" t="str">
        <f>_xlfn.XLOOKUP(Tabela_Controle_Estoque[[#This Row],[ID_Produto]],Tabela_Produtos[ID_Produto],Tabela_Produtos[Descricao_Produto],"N/A")</f>
        <v>SSD 480GB SATA3</v>
      </c>
      <c r="C11" s="9">
        <f>_xlfn.XLOOKUP(Tabela_Controle_Estoque[[#This Row],[ID_Produto]],Tabela_Produtos[ID_Produto],Tabela_Produtos[Estoque_Minimo],"N/A")</f>
        <v>25</v>
      </c>
      <c r="D11" s="9">
        <f ca="1">SUMIFS(Tabela_Movimentacao_Geral[Quantidade],Tabela_Movimentacao_Geral[ID Produto],CONTROLE_ESTOQUE!$A11,Tabela_Movimentacao_Geral[Tipo Fluxo], "Entrada")</f>
        <v>83</v>
      </c>
      <c r="E11" s="9">
        <f ca="1">SUMIFS(Tabela_Movimentacao_Geral[Quantidade], Tabela_Movimentacao_Geral[ID Produto],CONTROLE_ESTOQUE!$A11,Tabela_Movimentacao_Geral[Tipo Fluxo], "Saida")</f>
        <v>50</v>
      </c>
      <c r="F11" s="9">
        <f ca="1">CONTROLE_ESTOQUE!$D11 - CONTROLE_ESTOQUE!$E11</f>
        <v>33</v>
      </c>
      <c r="G11" s="9" t="str">
        <f ca="1">IF(CONTROLE_ESTOQUE!$F11 &lt; CONTROLE_ESTOQUE!$C11, "COMPRAR URGENTE", "Estoque OK")</f>
        <v>Estoque OK</v>
      </c>
      <c r="K11"/>
    </row>
    <row r="12" spans="1:11" x14ac:dyDescent="0.3">
      <c r="A12" s="14" t="s">
        <v>167</v>
      </c>
      <c r="B12" s="14" t="str">
        <f>_xlfn.XLOOKUP(Tabela_Controle_Estoque[[#This Row],[ID_Produto]],Tabela_Produtos[ID_Produto],Tabela_Produtos[Descricao_Produto],"N/A")</f>
        <v>Memoria RAM 8GB DDR4</v>
      </c>
      <c r="C12" s="14">
        <f>_xlfn.XLOOKUP(Tabela_Controle_Estoque[[#This Row],[ID_Produto]],Tabela_Produtos[ID_Produto],Tabela_Produtos[Estoque_Minimo],"N/A")</f>
        <v>15</v>
      </c>
      <c r="D12" s="14">
        <f ca="1">SUMIFS(Tabela_Movimentacao_Geral[Quantidade],Tabela_Movimentacao_Geral[ID Produto],CONTROLE_ESTOQUE!$A12,Tabela_Movimentacao_Geral[Tipo Fluxo], "Entrada")</f>
        <v>179</v>
      </c>
      <c r="E12" s="14">
        <f ca="1">SUMIFS(Tabela_Movimentacao_Geral[Quantidade], Tabela_Movimentacao_Geral[ID Produto],CONTROLE_ESTOQUE!$A12,Tabela_Movimentacao_Geral[Tipo Fluxo], "Saida")</f>
        <v>89</v>
      </c>
      <c r="F12" s="14">
        <f ca="1">CONTROLE_ESTOQUE!$D12 - CONTROLE_ESTOQUE!$E12</f>
        <v>90</v>
      </c>
      <c r="G12" s="14" t="str">
        <f ca="1">IF(CONTROLE_ESTOQUE!$F12 &lt; CONTROLE_ESTOQUE!$C12, "COMPRAR URGENTE", "Estoque OK")</f>
        <v>Estoque OK</v>
      </c>
      <c r="K12"/>
    </row>
    <row r="13" spans="1:11" x14ac:dyDescent="0.3">
      <c r="A13" s="9" t="s">
        <v>169</v>
      </c>
      <c r="B13" s="9" t="str">
        <f>_xlfn.XLOOKUP(Tabela_Controle_Estoque[[#This Row],[ID_Produto]],Tabela_Produtos[ID_Produto],Tabela_Produtos[Descricao_Produto],"N/A")</f>
        <v>Webcam 1080p Business</v>
      </c>
      <c r="C13" s="9">
        <f>_xlfn.XLOOKUP(Tabela_Controle_Estoque[[#This Row],[ID_Produto]],Tabela_Produtos[ID_Produto],Tabela_Produtos[Estoque_Minimo],"N/A")</f>
        <v>12</v>
      </c>
      <c r="D13" s="9">
        <f ca="1">SUMIFS(Tabela_Movimentacao_Geral[Quantidade],Tabela_Movimentacao_Geral[ID Produto],CONTROLE_ESTOQUE!$A13,Tabela_Movimentacao_Geral[Tipo Fluxo], "Entrada")</f>
        <v>42</v>
      </c>
      <c r="E13" s="9">
        <f ca="1">SUMIFS(Tabela_Movimentacao_Geral[Quantidade], Tabela_Movimentacao_Geral[ID Produto],CONTROLE_ESTOQUE!$A13,Tabela_Movimentacao_Geral[Tipo Fluxo], "Saida")</f>
        <v>33</v>
      </c>
      <c r="F13" s="9">
        <f ca="1">CONTROLE_ESTOQUE!$D13 - CONTROLE_ESTOQUE!$E13</f>
        <v>9</v>
      </c>
      <c r="G13" s="9" t="str">
        <f ca="1">IF(CONTROLE_ESTOQUE!$F13 &lt; CONTROLE_ESTOQUE!$C13, "COMPRAR URGENTE", "Estoque OK")</f>
        <v>COMPRAR URGENTE</v>
      </c>
      <c r="K13"/>
    </row>
    <row r="14" spans="1:11" x14ac:dyDescent="0.3">
      <c r="A14" s="14" t="s">
        <v>171</v>
      </c>
      <c r="B14" s="14" t="str">
        <f>_xlfn.XLOOKUP(Tabela_Controle_Estoque[[#This Row],[ID_Produto]],Tabela_Produtos[ID_Produto],Tabela_Produtos[Descricao_Produto],"N/A")</f>
        <v>Headset com Microfone</v>
      </c>
      <c r="C14" s="14">
        <f>_xlfn.XLOOKUP(Tabela_Controle_Estoque[[#This Row],[ID_Produto]],Tabela_Produtos[ID_Produto],Tabela_Produtos[Estoque_Minimo],"N/A")</f>
        <v>20</v>
      </c>
      <c r="D14" s="14">
        <f ca="1">SUMIFS(Tabela_Movimentacao_Geral[Quantidade],Tabela_Movimentacao_Geral[ID Produto],CONTROLE_ESTOQUE!$A14,Tabela_Movimentacao_Geral[Tipo Fluxo], "Entrada")</f>
        <v>246</v>
      </c>
      <c r="E14" s="14">
        <f ca="1">SUMIFS(Tabela_Movimentacao_Geral[Quantidade], Tabela_Movimentacao_Geral[ID Produto],CONTROLE_ESTOQUE!$A14,Tabela_Movimentacao_Geral[Tipo Fluxo], "Saida")</f>
        <v>236</v>
      </c>
      <c r="F14" s="14">
        <f ca="1">CONTROLE_ESTOQUE!$D14 - CONTROLE_ESTOQUE!$E14</f>
        <v>10</v>
      </c>
      <c r="G14" s="14" t="str">
        <f ca="1">IF(CONTROLE_ESTOQUE!$F14 &lt; CONTROLE_ESTOQUE!$C14, "COMPRAR URGENTE", "Estoque OK")</f>
        <v>COMPRAR URGENTE</v>
      </c>
      <c r="K14"/>
    </row>
    <row r="15" spans="1:11" x14ac:dyDescent="0.3">
      <c r="A15" s="9" t="s">
        <v>173</v>
      </c>
      <c r="B15" s="9" t="str">
        <f>_xlfn.XLOOKUP(Tabela_Controle_Estoque[[#This Row],[ID_Produto]],Tabela_Produtos[ID_Produto],Tabela_Produtos[Descricao_Produto],"N/A")</f>
        <v>Roteador Wi-Fi 6</v>
      </c>
      <c r="C15" s="9">
        <f>_xlfn.XLOOKUP(Tabela_Controle_Estoque[[#This Row],[ID_Produto]],Tabela_Produtos[ID_Produto],Tabela_Produtos[Estoque_Minimo],"N/A")</f>
        <v>10</v>
      </c>
      <c r="D15" s="9">
        <f ca="1">SUMIFS(Tabela_Movimentacao_Geral[Quantidade],Tabela_Movimentacao_Geral[ID Produto],CONTROLE_ESTOQUE!$A15,Tabela_Movimentacao_Geral[Tipo Fluxo], "Entrada")</f>
        <v>117</v>
      </c>
      <c r="E15" s="9">
        <f ca="1">SUMIFS(Tabela_Movimentacao_Geral[Quantidade], Tabela_Movimentacao_Geral[ID Produto],CONTROLE_ESTOQUE!$A15,Tabela_Movimentacao_Geral[Tipo Fluxo], "Saida")</f>
        <v>92</v>
      </c>
      <c r="F15" s="9">
        <f ca="1">CONTROLE_ESTOQUE!$D15 - CONTROLE_ESTOQUE!$E15</f>
        <v>25</v>
      </c>
      <c r="G15" s="9" t="str">
        <f ca="1">IF(CONTROLE_ESTOQUE!$F15 &lt; CONTROLE_ESTOQUE!$C15, "COMPRAR URGENTE", "Estoque OK")</f>
        <v>Estoque OK</v>
      </c>
      <c r="K15"/>
    </row>
    <row r="16" spans="1:11" x14ac:dyDescent="0.3">
      <c r="A16" s="14" t="s">
        <v>175</v>
      </c>
      <c r="B16" s="14" t="str">
        <f>_xlfn.XLOOKUP(Tabela_Controle_Estoque[[#This Row],[ID_Produto]],Tabela_Produtos[ID_Produto],Tabela_Produtos[Descricao_Produto],"N/A")</f>
        <v>Switch 24 Portas Giga</v>
      </c>
      <c r="C16" s="14">
        <f>_xlfn.XLOOKUP(Tabela_Controle_Estoque[[#This Row],[ID_Produto]],Tabela_Produtos[ID_Produto],Tabela_Produtos[Estoque_Minimo],"N/A")</f>
        <v>5</v>
      </c>
      <c r="D16" s="14">
        <f ca="1">SUMIFS(Tabela_Movimentacao_Geral[Quantidade],Tabela_Movimentacao_Geral[ID Produto],CONTROLE_ESTOQUE!$A16,Tabela_Movimentacao_Geral[Tipo Fluxo], "Entrada")</f>
        <v>246</v>
      </c>
      <c r="E16" s="14">
        <f ca="1">SUMIFS(Tabela_Movimentacao_Geral[Quantidade], Tabela_Movimentacao_Geral[ID Produto],CONTROLE_ESTOQUE!$A16,Tabela_Movimentacao_Geral[Tipo Fluxo], "Saida")</f>
        <v>237</v>
      </c>
      <c r="F16" s="14">
        <f ca="1">CONTROLE_ESTOQUE!$D16 - CONTROLE_ESTOQUE!$E16</f>
        <v>9</v>
      </c>
      <c r="G16" s="14" t="str">
        <f ca="1">IF(CONTROLE_ESTOQUE!$F16 &lt; CONTROLE_ESTOQUE!$C16, "COMPRAR URGENTE", "Estoque OK")</f>
        <v>Estoque OK</v>
      </c>
      <c r="K16"/>
    </row>
    <row r="17" spans="1:11" x14ac:dyDescent="0.3">
      <c r="A17" s="9" t="s">
        <v>177</v>
      </c>
      <c r="B17" s="9" t="str">
        <f>_xlfn.XLOOKUP(Tabela_Controle_Estoque[[#This Row],[ID_Produto]],Tabela_Produtos[ID_Produto],Tabela_Produtos[Descricao_Produto],"N/A")</f>
        <v>Filtro de Linha 6 Tomadas</v>
      </c>
      <c r="C17" s="9">
        <f>_xlfn.XLOOKUP(Tabela_Controle_Estoque[[#This Row],[ID_Produto]],Tabela_Produtos[ID_Produto],Tabela_Produtos[Estoque_Minimo],"N/A")</f>
        <v>40</v>
      </c>
      <c r="D17" s="9">
        <f ca="1">SUMIFS(Tabela_Movimentacao_Geral[Quantidade],Tabela_Movimentacao_Geral[ID Produto],CONTROLE_ESTOQUE!$A17,Tabela_Movimentacao_Geral[Tipo Fluxo], "Entrada")</f>
        <v>117</v>
      </c>
      <c r="E17" s="9">
        <f ca="1">SUMIFS(Tabela_Movimentacao_Geral[Quantidade], Tabela_Movimentacao_Geral[ID Produto],CONTROLE_ESTOQUE!$A17,Tabela_Movimentacao_Geral[Tipo Fluxo], "Saida")</f>
        <v>35</v>
      </c>
      <c r="F17" s="9">
        <f ca="1">CONTROLE_ESTOQUE!$D17 - CONTROLE_ESTOQUE!$E17</f>
        <v>82</v>
      </c>
      <c r="G17" s="9" t="str">
        <f ca="1">IF(CONTROLE_ESTOQUE!$F17 &lt; CONTROLE_ESTOQUE!$C17, "COMPRAR URGENTE", "Estoque OK")</f>
        <v>Estoque OK</v>
      </c>
      <c r="K17"/>
    </row>
    <row r="18" spans="1:11" x14ac:dyDescent="0.3">
      <c r="A18" s="14" t="s">
        <v>179</v>
      </c>
      <c r="B18" s="14" t="str">
        <f>_xlfn.XLOOKUP(Tabela_Controle_Estoque[[#This Row],[ID_Produto]],Tabela_Produtos[ID_Produto],Tabela_Produtos[Descricao_Produto],"N/A")</f>
        <v>Adaptador USB-C para HDMI</v>
      </c>
      <c r="C18" s="14">
        <f>_xlfn.XLOOKUP(Tabela_Controle_Estoque[[#This Row],[ID_Produto]],Tabela_Produtos[ID_Produto],Tabela_Produtos[Estoque_Minimo],"N/A")</f>
        <v>15</v>
      </c>
      <c r="D18" s="14">
        <f ca="1">SUMIFS(Tabela_Movimentacao_Geral[Quantidade],Tabela_Movimentacao_Geral[ID Produto],CONTROLE_ESTOQUE!$A18,Tabela_Movimentacao_Geral[Tipo Fluxo], "Entrada")</f>
        <v>152</v>
      </c>
      <c r="E18" s="14">
        <f ca="1">SUMIFS(Tabela_Movimentacao_Geral[Quantidade], Tabela_Movimentacao_Geral[ID Produto],CONTROLE_ESTOQUE!$A18,Tabela_Movimentacao_Geral[Tipo Fluxo], "Saida")</f>
        <v>113</v>
      </c>
      <c r="F18" s="14">
        <f ca="1">CONTROLE_ESTOQUE!$D18 - CONTROLE_ESTOQUE!$E18</f>
        <v>39</v>
      </c>
      <c r="G18" s="14" t="str">
        <f ca="1">IF(CONTROLE_ESTOQUE!$F18 &lt; CONTROLE_ESTOQUE!$C18, "COMPRAR URGENTE", "Estoque OK")</f>
        <v>Estoque OK</v>
      </c>
      <c r="K18"/>
    </row>
    <row r="19" spans="1:11" x14ac:dyDescent="0.3">
      <c r="A19" s="9" t="s">
        <v>181</v>
      </c>
      <c r="B19" s="9" t="str">
        <f>_xlfn.XLOOKUP(Tabela_Controle_Estoque[[#This Row],[ID_Produto]],Tabela_Produtos[ID_Produto],Tabela_Produtos[Descricao_Produto],"N/A")</f>
        <v>HD Externo 1TB</v>
      </c>
      <c r="C19" s="9">
        <f>_xlfn.XLOOKUP(Tabela_Controle_Estoque[[#This Row],[ID_Produto]],Tabela_Produtos[ID_Produto],Tabela_Produtos[Estoque_Minimo],"N/A")</f>
        <v>10</v>
      </c>
      <c r="D19" s="9">
        <f ca="1">SUMIFS(Tabela_Movimentacao_Geral[Quantidade],Tabela_Movimentacao_Geral[ID Produto],CONTROLE_ESTOQUE!$A19,Tabela_Movimentacao_Geral[Tipo Fluxo], "Entrada")</f>
        <v>114</v>
      </c>
      <c r="E19" s="9">
        <f ca="1">SUMIFS(Tabela_Movimentacao_Geral[Quantidade], Tabela_Movimentacao_Geral[ID Produto],CONTROLE_ESTOQUE!$A19,Tabela_Movimentacao_Geral[Tipo Fluxo], "Saida")</f>
        <v>113</v>
      </c>
      <c r="F19" s="9">
        <f ca="1">CONTROLE_ESTOQUE!$D19 - CONTROLE_ESTOQUE!$E19</f>
        <v>1</v>
      </c>
      <c r="G19" s="9" t="str">
        <f ca="1">IF(CONTROLE_ESTOQUE!$F19 &lt; CONTROLE_ESTOQUE!$C19, "COMPRAR URGENTE", "Estoque OK")</f>
        <v>COMPRAR URGENTE</v>
      </c>
      <c r="K19"/>
    </row>
    <row r="20" spans="1:11" x14ac:dyDescent="0.3">
      <c r="A20" s="14" t="s">
        <v>183</v>
      </c>
      <c r="B20" s="14" t="str">
        <f>_xlfn.XLOOKUP(Tabela_Controle_Estoque[[#This Row],[ID_Produto]],Tabela_Produtos[ID_Produto],Tabela_Produtos[Descricao_Produto],"N/A")</f>
        <v>Suporte para Monitor Articulado</v>
      </c>
      <c r="C20" s="14">
        <f>_xlfn.XLOOKUP(Tabela_Controle_Estoque[[#This Row],[ID_Produto]],Tabela_Produtos[ID_Produto],Tabela_Produtos[Estoque_Minimo],"N/A")</f>
        <v>8</v>
      </c>
      <c r="D20" s="14">
        <f ca="1">SUMIFS(Tabela_Movimentacao_Geral[Quantidade],Tabela_Movimentacao_Geral[ID Produto],CONTROLE_ESTOQUE!$A20,Tabela_Movimentacao_Geral[Tipo Fluxo], "Entrada")</f>
        <v>61</v>
      </c>
      <c r="E20" s="14">
        <f ca="1">SUMIFS(Tabela_Movimentacao_Geral[Quantidade], Tabela_Movimentacao_Geral[ID Produto],CONTROLE_ESTOQUE!$A20,Tabela_Movimentacao_Geral[Tipo Fluxo], "Saida")</f>
        <v>50</v>
      </c>
      <c r="F20" s="14">
        <f ca="1">CONTROLE_ESTOQUE!$D20 - CONTROLE_ESTOQUE!$E20</f>
        <v>11</v>
      </c>
      <c r="G20" s="14" t="str">
        <f ca="1">IF(CONTROLE_ESTOQUE!$F20 &lt; CONTROLE_ESTOQUE!$C20, "COMPRAR URGENTE", "Estoque OK")</f>
        <v>Estoque OK</v>
      </c>
      <c r="K20"/>
    </row>
    <row r="21" spans="1:11" x14ac:dyDescent="0.3">
      <c r="A21" s="9" t="s">
        <v>185</v>
      </c>
      <c r="B21" s="9" t="str">
        <f>_xlfn.XLOOKUP(Tabela_Controle_Estoque[[#This Row],[ID_Produto]],Tabela_Produtos[ID_Produto],Tabela_Produtos[Descricao_Produto],"N/A")</f>
        <v>Estabilizador 1000VA</v>
      </c>
      <c r="C21" s="9">
        <f>_xlfn.XLOOKUP(Tabela_Controle_Estoque[[#This Row],[ID_Produto]],Tabela_Produtos[ID_Produto],Tabela_Produtos[Estoque_Minimo],"N/A")</f>
        <v>6</v>
      </c>
      <c r="D21" s="9">
        <f ca="1">SUMIFS(Tabela_Movimentacao_Geral[Quantidade],Tabela_Movimentacao_Geral[ID Produto],CONTROLE_ESTOQUE!$A21,Tabela_Movimentacao_Geral[Tipo Fluxo], "Entrada")</f>
        <v>37</v>
      </c>
      <c r="E21" s="9">
        <f ca="1">SUMIFS(Tabela_Movimentacao_Geral[Quantidade], Tabela_Movimentacao_Geral[ID Produto],CONTROLE_ESTOQUE!$A21,Tabela_Movimentacao_Geral[Tipo Fluxo], "Saida")</f>
        <v>26</v>
      </c>
      <c r="F21" s="9">
        <f ca="1">CONTROLE_ESTOQUE!$D21 - CONTROLE_ESTOQUE!$E21</f>
        <v>11</v>
      </c>
      <c r="G21" s="9" t="str">
        <f ca="1">IF(CONTROLE_ESTOQUE!$F21 &lt; CONTROLE_ESTOQUE!$C21, "COMPRAR URGENTE", "Estoque OK")</f>
        <v>Estoque OK</v>
      </c>
      <c r="K21"/>
    </row>
    <row r="22" spans="1:11" x14ac:dyDescent="0.3">
      <c r="A22" s="14" t="s">
        <v>187</v>
      </c>
      <c r="B22" s="14" t="str">
        <f>_xlfn.XLOOKUP(Tabela_Controle_Estoque[[#This Row],[ID_Produto]],Tabela_Produtos[ID_Produto],Tabela_Produtos[Descricao_Produto],"N/A")</f>
        <v>Pacote Office Business Anual</v>
      </c>
      <c r="C22" s="14">
        <f>_xlfn.XLOOKUP(Tabela_Controle_Estoque[[#This Row],[ID_Produto]],Tabela_Produtos[ID_Produto],Tabela_Produtos[Estoque_Minimo],"N/A")</f>
        <v>100</v>
      </c>
      <c r="D22" s="14">
        <f ca="1">SUMIFS(Tabela_Movimentacao_Geral[Quantidade],Tabela_Movimentacao_Geral[ID Produto],CONTROLE_ESTOQUE!$A22,Tabela_Movimentacao_Geral[Tipo Fluxo], "Entrada")</f>
        <v>152</v>
      </c>
      <c r="E22" s="14">
        <f ca="1">SUMIFS(Tabela_Movimentacao_Geral[Quantidade], Tabela_Movimentacao_Geral[ID Produto],CONTROLE_ESTOQUE!$A22,Tabela_Movimentacao_Geral[Tipo Fluxo], "Saida")</f>
        <v>0</v>
      </c>
      <c r="F22" s="14">
        <f ca="1">CONTROLE_ESTOQUE!$D22 - CONTROLE_ESTOQUE!$E22</f>
        <v>152</v>
      </c>
      <c r="G22" s="14" t="str">
        <f ca="1">IF(CONTROLE_ESTOQUE!$F22 &lt; CONTROLE_ESTOQUE!$C22, "COMPRAR URGENTE", "Estoque OK")</f>
        <v>Estoque OK</v>
      </c>
      <c r="K22"/>
    </row>
    <row r="23" spans="1:11" x14ac:dyDescent="0.3">
      <c r="A23" s="9" t="s">
        <v>189</v>
      </c>
      <c r="B23" s="9" t="str">
        <f>_xlfn.XLOOKUP(Tabela_Controle_Estoque[[#This Row],[ID_Produto]],Tabela_Produtos[ID_Produto],Tabela_Produtos[Descricao_Produto],"N/A")</f>
        <v>Licenca Windows 11 Pro</v>
      </c>
      <c r="C23" s="9">
        <f>_xlfn.XLOOKUP(Tabela_Controle_Estoque[[#This Row],[ID_Produto]],Tabela_Produtos[ID_Produto],Tabela_Produtos[Estoque_Minimo],"N/A")</f>
        <v>100</v>
      </c>
      <c r="D23" s="9">
        <f ca="1">SUMIFS(Tabela_Movimentacao_Geral[Quantidade],Tabela_Movimentacao_Geral[ID Produto],CONTROLE_ESTOQUE!$A23,Tabela_Movimentacao_Geral[Tipo Fluxo], "Entrada")</f>
        <v>215</v>
      </c>
      <c r="E23" s="9">
        <f ca="1">SUMIFS(Tabela_Movimentacao_Geral[Quantidade], Tabela_Movimentacao_Geral[ID Produto],CONTROLE_ESTOQUE!$A23,Tabela_Movimentacao_Geral[Tipo Fluxo], "Saida")</f>
        <v>10</v>
      </c>
      <c r="F23" s="9">
        <f ca="1">CONTROLE_ESTOQUE!$D23 - CONTROLE_ESTOQUE!$E23</f>
        <v>205</v>
      </c>
      <c r="G23" s="9" t="str">
        <f ca="1">IF(CONTROLE_ESTOQUE!$F23 &lt; CONTROLE_ESTOQUE!$C23, "COMPRAR URGENTE", "Estoque OK")</f>
        <v>Estoque OK</v>
      </c>
      <c r="K23"/>
    </row>
    <row r="24" spans="1:11" x14ac:dyDescent="0.3">
      <c r="A24" s="14" t="s">
        <v>191</v>
      </c>
      <c r="B24" s="14" t="str">
        <f>_xlfn.XLOOKUP(Tabela_Controle_Estoque[[#This Row],[ID_Produto]],Tabela_Produtos[ID_Produto],Tabela_Produtos[Descricao_Produto],"N/A")</f>
        <v>Antivirus Endpoint 1 Ano</v>
      </c>
      <c r="C24" s="14">
        <f>_xlfn.XLOOKUP(Tabela_Controle_Estoque[[#This Row],[ID_Produto]],Tabela_Produtos[ID_Produto],Tabela_Produtos[Estoque_Minimo],"N/A")</f>
        <v>200</v>
      </c>
      <c r="D24" s="14">
        <f ca="1">SUMIFS(Tabela_Movimentacao_Geral[Quantidade],Tabela_Movimentacao_Geral[ID Produto],CONTROLE_ESTOQUE!$A24,Tabela_Movimentacao_Geral[Tipo Fluxo], "Entrada")</f>
        <v>400</v>
      </c>
      <c r="E24" s="14">
        <f ca="1">SUMIFS(Tabela_Movimentacao_Geral[Quantidade], Tabela_Movimentacao_Geral[ID Produto],CONTROLE_ESTOQUE!$A24,Tabela_Movimentacao_Geral[Tipo Fluxo], "Saida")</f>
        <v>328</v>
      </c>
      <c r="F24" s="14">
        <f ca="1">CONTROLE_ESTOQUE!$D24 - CONTROLE_ESTOQUE!$E24</f>
        <v>72</v>
      </c>
      <c r="G24" s="14" t="str">
        <f ca="1">IF(CONTROLE_ESTOQUE!$F24 &lt; CONTROLE_ESTOQUE!$C24, "COMPRAR URGENTE", "Estoque OK")</f>
        <v>COMPRAR URGENTE</v>
      </c>
      <c r="K24"/>
    </row>
    <row r="25" spans="1:11" x14ac:dyDescent="0.3">
      <c r="A25" s="9" t="s">
        <v>193</v>
      </c>
      <c r="B25" s="9" t="str">
        <f>_xlfn.XLOOKUP(Tabela_Controle_Estoque[[#This Row],[ID_Produto]],Tabela_Produtos[ID_Produto],Tabela_Produtos[Descricao_Produto],"N/A")</f>
        <v>Assinatura Adobe CC Anual</v>
      </c>
      <c r="C25" s="9">
        <f>_xlfn.XLOOKUP(Tabela_Controle_Estoque[[#This Row],[ID_Produto]],Tabela_Produtos[ID_Produto],Tabela_Produtos[Estoque_Minimo],"N/A")</f>
        <v>50</v>
      </c>
      <c r="D25" s="9">
        <f ca="1">SUMIFS(Tabela_Movimentacao_Geral[Quantidade],Tabela_Movimentacao_Geral[ID Produto],CONTROLE_ESTOQUE!$A25,Tabela_Movimentacao_Geral[Tipo Fluxo], "Entrada")</f>
        <v>323</v>
      </c>
      <c r="E25" s="9">
        <f ca="1">SUMIFS(Tabela_Movimentacao_Geral[Quantidade], Tabela_Movimentacao_Geral[ID Produto],CONTROLE_ESTOQUE!$A25,Tabela_Movimentacao_Geral[Tipo Fluxo], "Saida")</f>
        <v>226</v>
      </c>
      <c r="F25" s="9">
        <f ca="1">CONTROLE_ESTOQUE!$D25 - CONTROLE_ESTOQUE!$E25</f>
        <v>97</v>
      </c>
      <c r="G25" s="9" t="str">
        <f ca="1">IF(CONTROLE_ESTOQUE!$F25 &lt; CONTROLE_ESTOQUE!$C25, "COMPRAR URGENTE", "Estoque OK")</f>
        <v>Estoque OK</v>
      </c>
      <c r="K25"/>
    </row>
    <row r="26" spans="1:11" x14ac:dyDescent="0.3">
      <c r="A26" s="14" t="s">
        <v>195</v>
      </c>
      <c r="B26" s="14" t="str">
        <f>_xlfn.XLOOKUP(Tabela_Controle_Estoque[[#This Row],[ID_Produto]],Tabela_Produtos[ID_Produto],Tabela_Produtos[Descricao_Produto],"N/A")</f>
        <v>Software de Backup Cloud</v>
      </c>
      <c r="C26" s="14">
        <f>_xlfn.XLOOKUP(Tabela_Controle_Estoque[[#This Row],[ID_Produto]],Tabela_Produtos[ID_Produto],Tabela_Produtos[Estoque_Minimo],"N/A")</f>
        <v>100</v>
      </c>
      <c r="D26" s="14">
        <f ca="1">SUMIFS(Tabela_Movimentacao_Geral[Quantidade],Tabela_Movimentacao_Geral[ID Produto],CONTROLE_ESTOQUE!$A26,Tabela_Movimentacao_Geral[Tipo Fluxo], "Entrada")</f>
        <v>111</v>
      </c>
      <c r="E26" s="14">
        <f ca="1">SUMIFS(Tabela_Movimentacao_Geral[Quantidade], Tabela_Movimentacao_Geral[ID Produto],CONTROLE_ESTOQUE!$A26,Tabela_Movimentacao_Geral[Tipo Fluxo], "Saida")</f>
        <v>99</v>
      </c>
      <c r="F26" s="14">
        <f ca="1">CONTROLE_ESTOQUE!$D26 - CONTROLE_ESTOQUE!$E26</f>
        <v>12</v>
      </c>
      <c r="G26" s="14" t="str">
        <f ca="1">IF(CONTROLE_ESTOQUE!$F26 &lt; CONTROLE_ESTOQUE!$C26, "COMPRAR URGENTE", "Estoque OK")</f>
        <v>COMPRAR URGENTE</v>
      </c>
      <c r="K26"/>
    </row>
    <row r="27" spans="1:11" x14ac:dyDescent="0.3">
      <c r="A27" s="9" t="s">
        <v>197</v>
      </c>
      <c r="B27" s="9" t="str">
        <f>_xlfn.XLOOKUP(Tabela_Controle_Estoque[[#This Row],[ID_Produto]],Tabela_Produtos[ID_Produto],Tabela_Produtos[Descricao_Produto],"N/A")</f>
        <v>Mousepad Gamer Extra Large</v>
      </c>
      <c r="C27" s="9">
        <f>_xlfn.XLOOKUP(Tabela_Controle_Estoque[[#This Row],[ID_Produto]],Tabela_Produtos[ID_Produto],Tabela_Produtos[Estoque_Minimo],"N/A")</f>
        <v>25</v>
      </c>
      <c r="D27" s="9">
        <f ca="1">SUMIFS(Tabela_Movimentacao_Geral[Quantidade],Tabela_Movimentacao_Geral[ID Produto],CONTROLE_ESTOQUE!$A27,Tabela_Movimentacao_Geral[Tipo Fluxo], "Entrada")</f>
        <v>264</v>
      </c>
      <c r="E27" s="9">
        <f ca="1">SUMIFS(Tabela_Movimentacao_Geral[Quantidade], Tabela_Movimentacao_Geral[ID Produto],CONTROLE_ESTOQUE!$A27,Tabela_Movimentacao_Geral[Tipo Fluxo], "Saida")</f>
        <v>222</v>
      </c>
      <c r="F27" s="9">
        <f ca="1">CONTROLE_ESTOQUE!$D27 - CONTROLE_ESTOQUE!$E27</f>
        <v>42</v>
      </c>
      <c r="G27" s="9" t="str">
        <f ca="1">IF(CONTROLE_ESTOQUE!$F27 &lt; CONTROLE_ESTOQUE!$C27, "COMPRAR URGENTE", "Estoque OK")</f>
        <v>Estoque OK</v>
      </c>
      <c r="K27"/>
    </row>
    <row r="28" spans="1:11" x14ac:dyDescent="0.3">
      <c r="A28" s="14" t="s">
        <v>199</v>
      </c>
      <c r="B28" s="14" t="str">
        <f>_xlfn.XLOOKUP(Tabela_Controle_Estoque[[#This Row],[ID_Produto]],Tabela_Produtos[ID_Produto],Tabela_Produtos[Descricao_Produto],"N/A")</f>
        <v>Hub USB 3.0 4 Portas</v>
      </c>
      <c r="C28" s="14">
        <f>_xlfn.XLOOKUP(Tabela_Controle_Estoque[[#This Row],[ID_Produto]],Tabela_Produtos[ID_Produto],Tabela_Produtos[Estoque_Minimo],"N/A")</f>
        <v>30</v>
      </c>
      <c r="D28" s="14">
        <f ca="1">SUMIFS(Tabela_Movimentacao_Geral[Quantidade],Tabela_Movimentacao_Geral[ID Produto],CONTROLE_ESTOQUE!$A28,Tabela_Movimentacao_Geral[Tipo Fluxo], "Entrada")</f>
        <v>144</v>
      </c>
      <c r="E28" s="14">
        <f ca="1">SUMIFS(Tabela_Movimentacao_Geral[Quantidade], Tabela_Movimentacao_Geral[ID Produto],CONTROLE_ESTOQUE!$A28,Tabela_Movimentacao_Geral[Tipo Fluxo], "Saida")</f>
        <v>112</v>
      </c>
      <c r="F28" s="14">
        <f ca="1">CONTROLE_ESTOQUE!$D28 - CONTROLE_ESTOQUE!$E28</f>
        <v>32</v>
      </c>
      <c r="G28" s="14" t="str">
        <f ca="1">IF(CONTROLE_ESTOQUE!$F28 &lt; CONTROLE_ESTOQUE!$C28, "COMPRAR URGENTE", "Estoque OK")</f>
        <v>Estoque OK</v>
      </c>
      <c r="K28"/>
    </row>
    <row r="29" spans="1:11" x14ac:dyDescent="0.3">
      <c r="A29" s="9" t="s">
        <v>201</v>
      </c>
      <c r="B29" s="9" t="str">
        <f>_xlfn.XLOOKUP(Tabela_Controle_Estoque[[#This Row],[ID_Produto]],Tabela_Produtos[ID_Produto],Tabela_Produtos[Descricao_Produto],"N/A")</f>
        <v>Cabo de Rede Cat6 3m</v>
      </c>
      <c r="C29" s="9">
        <f>_xlfn.XLOOKUP(Tabela_Controle_Estoque[[#This Row],[ID_Produto]],Tabela_Produtos[ID_Produto],Tabela_Produtos[Estoque_Minimo],"N/A")</f>
        <v>60</v>
      </c>
      <c r="D29" s="9">
        <f ca="1">SUMIFS(Tabela_Movimentacao_Geral[Quantidade],Tabela_Movimentacao_Geral[ID Produto],CONTROLE_ESTOQUE!$A29,Tabela_Movimentacao_Geral[Tipo Fluxo], "Entrada")</f>
        <v>83</v>
      </c>
      <c r="E29" s="9">
        <f ca="1">SUMIFS(Tabela_Movimentacao_Geral[Quantidade], Tabela_Movimentacao_Geral[ID Produto],CONTROLE_ESTOQUE!$A29,Tabela_Movimentacao_Geral[Tipo Fluxo], "Saida")</f>
        <v>82</v>
      </c>
      <c r="F29" s="9">
        <f ca="1">CONTROLE_ESTOQUE!$D29 - CONTROLE_ESTOQUE!$E29</f>
        <v>1</v>
      </c>
      <c r="G29" s="9" t="str">
        <f ca="1">IF(CONTROLE_ESTOQUE!$F29 &lt; CONTROLE_ESTOQUE!$C29, "COMPRAR URGENTE", "Estoque OK")</f>
        <v>COMPRAR URGENTE</v>
      </c>
      <c r="K29"/>
    </row>
    <row r="30" spans="1:11" x14ac:dyDescent="0.3">
      <c r="A30" s="14" t="s">
        <v>203</v>
      </c>
      <c r="B30" s="14" t="str">
        <f>_xlfn.XLOOKUP(Tabela_Controle_Estoque[[#This Row],[ID_Produto]],Tabela_Produtos[ID_Produto],Tabela_Produtos[Descricao_Produto],"N/A")</f>
        <v>Caneta Digital para Tablet</v>
      </c>
      <c r="C30" s="14">
        <f>_xlfn.XLOOKUP(Tabela_Controle_Estoque[[#This Row],[ID_Produto]],Tabela_Produtos[ID_Produto],Tabela_Produtos[Estoque_Minimo],"N/A")</f>
        <v>10</v>
      </c>
      <c r="D30" s="14">
        <f ca="1">SUMIFS(Tabela_Movimentacao_Geral[Quantidade],Tabela_Movimentacao_Geral[ID Produto],CONTROLE_ESTOQUE!$A30,Tabela_Movimentacao_Geral[Tipo Fluxo], "Entrada")</f>
        <v>206</v>
      </c>
      <c r="E30" s="14">
        <f ca="1">SUMIFS(Tabela_Movimentacao_Geral[Quantidade], Tabela_Movimentacao_Geral[ID Produto],CONTROLE_ESTOQUE!$A30,Tabela_Movimentacao_Geral[Tipo Fluxo], "Saida")</f>
        <v>203</v>
      </c>
      <c r="F30" s="14">
        <f ca="1">CONTROLE_ESTOQUE!$D30 - CONTROLE_ESTOQUE!$E30</f>
        <v>3</v>
      </c>
      <c r="G30" s="14" t="str">
        <f ca="1">IF(CONTROLE_ESTOQUE!$F30 &lt; CONTROLE_ESTOQUE!$C30, "COMPRAR URGENTE", "Estoque OK")</f>
        <v>COMPRAR URGENTE</v>
      </c>
      <c r="K30"/>
    </row>
    <row r="31" spans="1:11" x14ac:dyDescent="0.3">
      <c r="A31" s="9" t="s">
        <v>205</v>
      </c>
      <c r="B31" s="9" t="str">
        <f>_xlfn.XLOOKUP(Tabela_Controle_Estoque[[#This Row],[ID_Produto]],Tabela_Produtos[ID_Produto],Tabela_Produtos[Descricao_Produto],"N/A")</f>
        <v>Mochila para Notebook 15.6</v>
      </c>
      <c r="C31" s="9">
        <f>_xlfn.XLOOKUP(Tabela_Controle_Estoque[[#This Row],[ID_Produto]],Tabela_Produtos[ID_Produto],Tabela_Produtos[Estoque_Minimo],"N/A")</f>
        <v>15</v>
      </c>
      <c r="D31" s="9">
        <f ca="1">SUMIFS(Tabela_Movimentacao_Geral[Quantidade],Tabela_Movimentacao_Geral[ID Produto],CONTROLE_ESTOQUE!$A31,Tabela_Movimentacao_Geral[Tipo Fluxo], "Entrada")</f>
        <v>123</v>
      </c>
      <c r="E31" s="9">
        <f ca="1">SUMIFS(Tabela_Movimentacao_Geral[Quantidade], Tabela_Movimentacao_Geral[ID Produto],CONTROLE_ESTOQUE!$A31,Tabela_Movimentacao_Geral[Tipo Fluxo], "Saida")</f>
        <v>117</v>
      </c>
      <c r="F31" s="9">
        <f ca="1">CONTROLE_ESTOQUE!$D31 - CONTROLE_ESTOQUE!$E31</f>
        <v>6</v>
      </c>
      <c r="G31" s="9" t="str">
        <f ca="1">IF(CONTROLE_ESTOQUE!$F31 &lt; CONTROLE_ESTOQUE!$C31, "COMPRAR URGENTE", "Estoque OK")</f>
        <v>COMPRAR URGENTE</v>
      </c>
      <c r="K31"/>
    </row>
    <row r="32" spans="1:11" x14ac:dyDescent="0.3">
      <c r="A32" s="14" t="s">
        <v>207</v>
      </c>
      <c r="B32" s="14" t="str">
        <f>_xlfn.XLOOKUP(Tabela_Controle_Estoque[[#This Row],[ID_Produto]],Tabela_Produtos[ID_Produto],Tabela_Produtos[Descricao_Produto],"N/A")</f>
        <v>Nobreak 1500VA Biz</v>
      </c>
      <c r="C32" s="14">
        <f>_xlfn.XLOOKUP(Tabela_Controle_Estoque[[#This Row],[ID_Produto]],Tabela_Produtos[ID_Produto],Tabela_Produtos[Estoque_Minimo],"N/A")</f>
        <v>4</v>
      </c>
      <c r="D32" s="14">
        <f ca="1">SUMIFS(Tabela_Movimentacao_Geral[Quantidade],Tabela_Movimentacao_Geral[ID Produto],CONTROLE_ESTOQUE!$A32,Tabela_Movimentacao_Geral[Tipo Fluxo], "Entrada")</f>
        <v>92</v>
      </c>
      <c r="E32" s="14">
        <f ca="1">SUMIFS(Tabela_Movimentacao_Geral[Quantidade], Tabela_Movimentacao_Geral[ID Produto],CONTROLE_ESTOQUE!$A32,Tabela_Movimentacao_Geral[Tipo Fluxo], "Saida")</f>
        <v>12</v>
      </c>
      <c r="F32" s="14">
        <f ca="1">CONTROLE_ESTOQUE!$D32 - CONTROLE_ESTOQUE!$E32</f>
        <v>80</v>
      </c>
      <c r="G32" s="14" t="str">
        <f ca="1">IF(CONTROLE_ESTOQUE!$F32 &lt; CONTROLE_ESTOQUE!$C32, "COMPRAR URGENTE", "Estoque OK")</f>
        <v>Estoque OK</v>
      </c>
      <c r="K32"/>
    </row>
    <row r="33" spans="1:11" x14ac:dyDescent="0.3">
      <c r="A33" s="9" t="s">
        <v>209</v>
      </c>
      <c r="B33" s="9" t="str">
        <f>_xlfn.XLOOKUP(Tabela_Controle_Estoque[[#This Row],[ID_Produto]],Tabela_Produtos[ID_Produto],Tabela_Produtos[Descricao_Produto],"N/A")</f>
        <v>Base Resfriadora Notebook</v>
      </c>
      <c r="C33" s="9">
        <f>_xlfn.XLOOKUP(Tabela_Controle_Estoque[[#This Row],[ID_Produto]],Tabela_Produtos[ID_Produto],Tabela_Produtos[Estoque_Minimo],"N/A")</f>
        <v>20</v>
      </c>
      <c r="D33" s="9">
        <f ca="1">SUMIFS(Tabela_Movimentacao_Geral[Quantidade],Tabela_Movimentacao_Geral[ID Produto],CONTROLE_ESTOQUE!$A33,Tabela_Movimentacao_Geral[Tipo Fluxo], "Entrada")</f>
        <v>92</v>
      </c>
      <c r="E33" s="9">
        <f ca="1">SUMIFS(Tabela_Movimentacao_Geral[Quantidade], Tabela_Movimentacao_Geral[ID Produto],CONTROLE_ESTOQUE!$A33,Tabela_Movimentacao_Geral[Tipo Fluxo], "Saida")</f>
        <v>42</v>
      </c>
      <c r="F33" s="9">
        <f ca="1">CONTROLE_ESTOQUE!$D33 - CONTROLE_ESTOQUE!$E33</f>
        <v>50</v>
      </c>
      <c r="G33" s="9" t="str">
        <f ca="1">IF(CONTROLE_ESTOQUE!$F33 &lt; CONTROLE_ESTOQUE!$C33, "COMPRAR URGENTE", "Estoque OK")</f>
        <v>Estoque OK</v>
      </c>
      <c r="K33"/>
    </row>
    <row r="34" spans="1:11" x14ac:dyDescent="0.3">
      <c r="A34" s="14" t="s">
        <v>211</v>
      </c>
      <c r="B34" s="14" t="str">
        <f>_xlfn.XLOOKUP(Tabela_Controle_Estoque[[#This Row],[ID_Produto]],Tabela_Produtos[ID_Produto],Tabela_Produtos[Descricao_Produto],"N/A")</f>
        <v>Pendrive 64GB USB 3.1</v>
      </c>
      <c r="C34" s="14">
        <f>_xlfn.XLOOKUP(Tabela_Controle_Estoque[[#This Row],[ID_Produto]],Tabela_Produtos[ID_Produto],Tabela_Produtos[Estoque_Minimo],"N/A")</f>
        <v>50</v>
      </c>
      <c r="D34" s="14">
        <f ca="1">SUMIFS(Tabela_Movimentacao_Geral[Quantidade],Tabela_Movimentacao_Geral[ID Produto],CONTROLE_ESTOQUE!$A34,Tabela_Movimentacao_Geral[Tipo Fluxo], "Entrada")</f>
        <v>311</v>
      </c>
      <c r="E34" s="14">
        <f ca="1">SUMIFS(Tabela_Movimentacao_Geral[Quantidade], Tabela_Movimentacao_Geral[ID Produto],CONTROLE_ESTOQUE!$A34,Tabela_Movimentacao_Geral[Tipo Fluxo], "Saida")</f>
        <v>170</v>
      </c>
      <c r="F34" s="14">
        <f ca="1">CONTROLE_ESTOQUE!$D34 - CONTROLE_ESTOQUE!$E34</f>
        <v>141</v>
      </c>
      <c r="G34" s="14" t="str">
        <f ca="1">IF(CONTROLE_ESTOQUE!$F34 &lt; CONTROLE_ESTOQUE!$C34, "COMPRAR URGENTE", "Estoque OK")</f>
        <v>Estoque OK</v>
      </c>
      <c r="K34"/>
    </row>
    <row r="35" spans="1:11" x14ac:dyDescent="0.3">
      <c r="A35" s="9" t="s">
        <v>213</v>
      </c>
      <c r="B35" s="9" t="str">
        <f>_xlfn.XLOOKUP(Tabela_Controle_Estoque[[#This Row],[ID_Produto]],Tabela_Produtos[ID_Produto],Tabela_Produtos[Descricao_Produto],"N/A")</f>
        <v>Projetor Multimidia 4K</v>
      </c>
      <c r="C35" s="9">
        <f>_xlfn.XLOOKUP(Tabela_Controle_Estoque[[#This Row],[ID_Produto]],Tabela_Produtos[ID_Produto],Tabela_Produtos[Estoque_Minimo],"N/A")</f>
        <v>2</v>
      </c>
      <c r="D35" s="9">
        <f ca="1">SUMIFS(Tabela_Movimentacao_Geral[Quantidade],Tabela_Movimentacao_Geral[ID Produto],CONTROLE_ESTOQUE!$A35,Tabela_Movimentacao_Geral[Tipo Fluxo], "Entrada")</f>
        <v>109</v>
      </c>
      <c r="E35" s="9">
        <f ca="1">SUMIFS(Tabela_Movimentacao_Geral[Quantidade], Tabela_Movimentacao_Geral[ID Produto],CONTROLE_ESTOQUE!$A35,Tabela_Movimentacao_Geral[Tipo Fluxo], "Saida")</f>
        <v>101</v>
      </c>
      <c r="F35" s="9">
        <f ca="1">CONTROLE_ESTOQUE!$D35 - CONTROLE_ESTOQUE!$E35</f>
        <v>8</v>
      </c>
      <c r="G35" s="9" t="str">
        <f ca="1">IF(CONTROLE_ESTOQUE!$F35 &lt; CONTROLE_ESTOQUE!$C35, "COMPRAR URGENTE", "Estoque OK")</f>
        <v>Estoque OK</v>
      </c>
      <c r="K35"/>
    </row>
    <row r="36" spans="1:11" x14ac:dyDescent="0.3">
      <c r="A36" s="14" t="s">
        <v>215</v>
      </c>
      <c r="B36" s="14" t="str">
        <f>_xlfn.XLOOKUP(Tabela_Controle_Estoque[[#This Row],[ID_Produto]],Tabela_Produtos[ID_Produto],Tabela_Produtos[Descricao_Produto],"N/A")</f>
        <v>Tela de Projecao 100 pol</v>
      </c>
      <c r="C36" s="14">
        <f>_xlfn.XLOOKUP(Tabela_Controle_Estoque[[#This Row],[ID_Produto]],Tabela_Produtos[ID_Produto],Tabela_Produtos[Estoque_Minimo],"N/A")</f>
        <v>3</v>
      </c>
      <c r="D36" s="14">
        <f ca="1">SUMIFS(Tabela_Movimentacao_Geral[Quantidade],Tabela_Movimentacao_Geral[ID Produto],CONTROLE_ESTOQUE!$A36,Tabela_Movimentacao_Geral[Tipo Fluxo], "Entrada")</f>
        <v>129</v>
      </c>
      <c r="E36" s="14">
        <f ca="1">SUMIFS(Tabela_Movimentacao_Geral[Quantidade], Tabela_Movimentacao_Geral[ID Produto],CONTROLE_ESTOQUE!$A36,Tabela_Movimentacao_Geral[Tipo Fluxo], "Saida")</f>
        <v>129</v>
      </c>
      <c r="F36" s="14">
        <f ca="1">CONTROLE_ESTOQUE!$D36 - CONTROLE_ESTOQUE!$E36</f>
        <v>0</v>
      </c>
      <c r="G36" s="14" t="str">
        <f ca="1">IF(CONTROLE_ESTOQUE!$F36 &lt; CONTROLE_ESTOQUE!$C36, "COMPRAR URGENTE", "Estoque OK")</f>
        <v>COMPRAR URGENTE</v>
      </c>
      <c r="K36"/>
    </row>
    <row r="37" spans="1:11" x14ac:dyDescent="0.3">
      <c r="A37" s="9" t="s">
        <v>217</v>
      </c>
      <c r="B37" s="9" t="str">
        <f>_xlfn.XLOOKUP(Tabela_Controle_Estoque[[#This Row],[ID_Produto]],Tabela_Produtos[ID_Produto],Tabela_Produtos[Descricao_Produto],"N/A")</f>
        <v>Mini PC Industrial i3</v>
      </c>
      <c r="C37" s="9">
        <f>_xlfn.XLOOKUP(Tabela_Controle_Estoque[[#This Row],[ID_Produto]],Tabela_Produtos[ID_Produto],Tabela_Produtos[Estoque_Minimo],"N/A")</f>
        <v>5</v>
      </c>
      <c r="D37" s="9">
        <f ca="1">SUMIFS(Tabela_Movimentacao_Geral[Quantidade],Tabela_Movimentacao_Geral[ID Produto],CONTROLE_ESTOQUE!$A37,Tabela_Movimentacao_Geral[Tipo Fluxo], "Entrada")</f>
        <v>72</v>
      </c>
      <c r="E37" s="9">
        <f ca="1">SUMIFS(Tabela_Movimentacao_Geral[Quantidade], Tabela_Movimentacao_Geral[ID Produto],CONTROLE_ESTOQUE!$A37,Tabela_Movimentacao_Geral[Tipo Fluxo], "Saida")</f>
        <v>61</v>
      </c>
      <c r="F37" s="9">
        <f ca="1">CONTROLE_ESTOQUE!$D37 - CONTROLE_ESTOQUE!$E37</f>
        <v>11</v>
      </c>
      <c r="G37" s="9" t="str">
        <f ca="1">IF(CONTROLE_ESTOQUE!$F37 &lt; CONTROLE_ESTOQUE!$C37, "COMPRAR URGENTE", "Estoque OK")</f>
        <v>Estoque OK</v>
      </c>
      <c r="K37"/>
    </row>
    <row r="38" spans="1:11" x14ac:dyDescent="0.3">
      <c r="A38" s="14" t="s">
        <v>219</v>
      </c>
      <c r="B38" s="14" t="str">
        <f>_xlfn.XLOOKUP(Tabela_Controle_Estoque[[#This Row],[ID_Produto]],Tabela_Produtos[ID_Produto],Tabela_Produtos[Descricao_Produto],"N/A")</f>
        <v>Placa de Video 4GB</v>
      </c>
      <c r="C38" s="14">
        <f>_xlfn.XLOOKUP(Tabela_Controle_Estoque[[#This Row],[ID_Produto]],Tabela_Produtos[ID_Produto],Tabela_Produtos[Estoque_Minimo],"N/A")</f>
        <v>6</v>
      </c>
      <c r="D38" s="14">
        <f ca="1">SUMIFS(Tabela_Movimentacao_Geral[Quantidade],Tabela_Movimentacao_Geral[ID Produto],CONTROLE_ESTOQUE!$A38,Tabela_Movimentacao_Geral[Tipo Fluxo], "Entrada")</f>
        <v>152</v>
      </c>
      <c r="E38" s="14">
        <f ca="1">SUMIFS(Tabela_Movimentacao_Geral[Quantidade], Tabela_Movimentacao_Geral[ID Produto],CONTROLE_ESTOQUE!$A38,Tabela_Movimentacao_Geral[Tipo Fluxo], "Saida")</f>
        <v>96</v>
      </c>
      <c r="F38" s="14">
        <f ca="1">CONTROLE_ESTOQUE!$D38 - CONTROLE_ESTOQUE!$E38</f>
        <v>56</v>
      </c>
      <c r="G38" s="14" t="str">
        <f ca="1">IF(CONTROLE_ESTOQUE!$F38 &lt; CONTROLE_ESTOQUE!$C38, "COMPRAR URGENTE", "Estoque OK")</f>
        <v>Estoque OK</v>
      </c>
      <c r="K38"/>
    </row>
    <row r="39" spans="1:11" x14ac:dyDescent="0.3">
      <c r="A39" s="9" t="s">
        <v>221</v>
      </c>
      <c r="B39" s="9" t="str">
        <f>_xlfn.XLOOKUP(Tabela_Controle_Estoque[[#This Row],[ID_Produto]],Tabela_Produtos[ID_Produto],Tabela_Produtos[Descricao_Produto],"N/A")</f>
        <v>Cooler Processador Universal</v>
      </c>
      <c r="C39" s="9">
        <f>_xlfn.XLOOKUP(Tabela_Controle_Estoque[[#This Row],[ID_Produto]],Tabela_Produtos[ID_Produto],Tabela_Produtos[Estoque_Minimo],"N/A")</f>
        <v>15</v>
      </c>
      <c r="D39" s="9">
        <f ca="1">SUMIFS(Tabela_Movimentacao_Geral[Quantidade],Tabela_Movimentacao_Geral[ID Produto],CONTROLE_ESTOQUE!$A39,Tabela_Movimentacao_Geral[Tipo Fluxo], "Entrada")</f>
        <v>152</v>
      </c>
      <c r="E39" s="9">
        <f ca="1">SUMIFS(Tabela_Movimentacao_Geral[Quantidade], Tabela_Movimentacao_Geral[ID Produto],CONTROLE_ESTOQUE!$A39,Tabela_Movimentacao_Geral[Tipo Fluxo], "Saida")</f>
        <v>0</v>
      </c>
      <c r="F39" s="9">
        <f ca="1">CONTROLE_ESTOQUE!$D39 - CONTROLE_ESTOQUE!$E39</f>
        <v>152</v>
      </c>
      <c r="G39" s="9" t="str">
        <f ca="1">IF(CONTROLE_ESTOQUE!$F39 &lt; CONTROLE_ESTOQUE!$C39, "COMPRAR URGENTE", "Estoque OK")</f>
        <v>Estoque OK</v>
      </c>
      <c r="K39"/>
    </row>
    <row r="40" spans="1:11" x14ac:dyDescent="0.3">
      <c r="A40" s="14" t="s">
        <v>223</v>
      </c>
      <c r="B40" s="14" t="str">
        <f>_xlfn.XLOOKUP(Tabela_Controle_Estoque[[#This Row],[ID_Produto]],Tabela_Produtos[ID_Produto],Tabela_Produtos[Descricao_Produto],"N/A")</f>
        <v>Pasta Termica High Silver</v>
      </c>
      <c r="C40" s="14">
        <f>_xlfn.XLOOKUP(Tabela_Controle_Estoque[[#This Row],[ID_Produto]],Tabela_Produtos[ID_Produto],Tabela_Produtos[Estoque_Minimo],"N/A")</f>
        <v>25</v>
      </c>
      <c r="D40" s="14">
        <f ca="1">SUMIFS(Tabela_Movimentacao_Geral[Quantidade],Tabela_Movimentacao_Geral[ID Produto],CONTROLE_ESTOQUE!$A40,Tabela_Movimentacao_Geral[Tipo Fluxo], "Entrada")</f>
        <v>123</v>
      </c>
      <c r="E40" s="14">
        <f ca="1">SUMIFS(Tabela_Movimentacao_Geral[Quantidade], Tabela_Movimentacao_Geral[ID Produto],CONTROLE_ESTOQUE!$A40,Tabela_Movimentacao_Geral[Tipo Fluxo], "Saida")</f>
        <v>70</v>
      </c>
      <c r="F40" s="14">
        <f ca="1">CONTROLE_ESTOQUE!$D40 - CONTROLE_ESTOQUE!$E40</f>
        <v>53</v>
      </c>
      <c r="G40" s="14" t="str">
        <f ca="1">IF(CONTROLE_ESTOQUE!$F40 &lt; CONTROLE_ESTOQUE!$C40, "COMPRAR URGENTE", "Estoque OK")</f>
        <v>Estoque OK</v>
      </c>
      <c r="K40"/>
    </row>
    <row r="41" spans="1:11" x14ac:dyDescent="0.3">
      <c r="A41" s="9" t="s">
        <v>225</v>
      </c>
      <c r="B41" s="9" t="str">
        <f>_xlfn.XLOOKUP(Tabela_Controle_Estoque[[#This Row],[ID_Produto]],Tabela_Produtos[ID_Produto],Tabela_Produtos[Descricao_Produto],"N/A")</f>
        <v>Bateria de CMOS CR2032</v>
      </c>
      <c r="C41" s="9">
        <f>_xlfn.XLOOKUP(Tabela_Controle_Estoque[[#This Row],[ID_Produto]],Tabela_Produtos[ID_Produto],Tabela_Produtos[Estoque_Minimo],"N/A")</f>
        <v>100</v>
      </c>
      <c r="D41" s="9">
        <f ca="1">SUMIFS(Tabela_Movimentacao_Geral[Quantidade],Tabela_Movimentacao_Geral[ID Produto],CONTROLE_ESTOQUE!$A41,Tabela_Movimentacao_Geral[Tipo Fluxo], "Entrada")</f>
        <v>151</v>
      </c>
      <c r="E41" s="9">
        <f ca="1">SUMIFS(Tabela_Movimentacao_Geral[Quantidade], Tabela_Movimentacao_Geral[ID Produto],CONTROLE_ESTOQUE!$A41,Tabela_Movimentacao_Geral[Tipo Fluxo], "Saida")</f>
        <v>70</v>
      </c>
      <c r="F41" s="9">
        <f ca="1">CONTROLE_ESTOQUE!$D41 - CONTROLE_ESTOQUE!$E41</f>
        <v>81</v>
      </c>
      <c r="G41" s="9" t="str">
        <f ca="1">IF(CONTROLE_ESTOQUE!$F41 &lt; CONTROLE_ESTOQUE!$C41, "COMPRAR URGENTE", "Estoque OK")</f>
        <v>COMPRAR URGENTE</v>
      </c>
      <c r="K41"/>
    </row>
    <row r="42" spans="1:11" x14ac:dyDescent="0.3">
      <c r="A42" s="14" t="s">
        <v>227</v>
      </c>
      <c r="B42" s="14" t="str">
        <f>_xlfn.XLOOKUP(Tabela_Controle_Estoque[[#This Row],[ID_Produto]],Tabela_Produtos[ID_Produto],Tabela_Produtos[Descricao_Produto],"N/A")</f>
        <v>Cartao de Memoria 128GB</v>
      </c>
      <c r="C42" s="14">
        <f>_xlfn.XLOOKUP(Tabela_Controle_Estoque[[#This Row],[ID_Produto]],Tabela_Produtos[ID_Produto],Tabela_Produtos[Estoque_Minimo],"N/A")</f>
        <v>30</v>
      </c>
      <c r="D42" s="14">
        <f ca="1">SUMIFS(Tabela_Movimentacao_Geral[Quantidade],Tabela_Movimentacao_Geral[ID Produto],CONTROLE_ESTOQUE!$A42,Tabela_Movimentacao_Geral[Tipo Fluxo], "Entrada")</f>
        <v>184</v>
      </c>
      <c r="E42" s="14">
        <f ca="1">SUMIFS(Tabela_Movimentacao_Geral[Quantidade], Tabela_Movimentacao_Geral[ID Produto],CONTROLE_ESTOQUE!$A42,Tabela_Movimentacao_Geral[Tipo Fluxo], "Saida")</f>
        <v>98</v>
      </c>
      <c r="F42" s="14">
        <f ca="1">CONTROLE_ESTOQUE!$D42 - CONTROLE_ESTOQUE!$E42</f>
        <v>86</v>
      </c>
      <c r="G42" s="14" t="str">
        <f ca="1">IF(CONTROLE_ESTOQUE!$F42 &lt; CONTROLE_ESTOQUE!$C42, "COMPRAR URGENTE", "Estoque OK")</f>
        <v>Estoque OK</v>
      </c>
      <c r="K42"/>
    </row>
    <row r="43" spans="1:11" x14ac:dyDescent="0.3">
      <c r="A43" s="9" t="s">
        <v>229</v>
      </c>
      <c r="B43" s="9" t="str">
        <f>_xlfn.XLOOKUP(Tabela_Controle_Estoque[[#This Row],[ID_Produto]],Tabela_Produtos[ID_Produto],Tabela_Produtos[Descricao_Produto],"N/A")</f>
        <v>Docking Station Universal</v>
      </c>
      <c r="C43" s="9">
        <f>_xlfn.XLOOKUP(Tabela_Controle_Estoque[[#This Row],[ID_Produto]],Tabela_Produtos[ID_Produto],Tabela_Produtos[Estoque_Minimo],"N/A")</f>
        <v>7</v>
      </c>
      <c r="D43" s="9">
        <f ca="1">SUMIFS(Tabela_Movimentacao_Geral[Quantidade],Tabela_Movimentacao_Geral[ID Produto],CONTROLE_ESTOQUE!$A43,Tabela_Movimentacao_Geral[Tipo Fluxo], "Entrada")</f>
        <v>141</v>
      </c>
      <c r="E43" s="9">
        <f ca="1">SUMIFS(Tabela_Movimentacao_Geral[Quantidade], Tabela_Movimentacao_Geral[ID Produto],CONTROLE_ESTOQUE!$A43,Tabela_Movimentacao_Geral[Tipo Fluxo], "Saida")</f>
        <v>85</v>
      </c>
      <c r="F43" s="9">
        <f ca="1">CONTROLE_ESTOQUE!$D43 - CONTROLE_ESTOQUE!$E43</f>
        <v>56</v>
      </c>
      <c r="G43" s="9" t="str">
        <f ca="1">IF(CONTROLE_ESTOQUE!$F43 &lt; CONTROLE_ESTOQUE!$C43, "COMPRAR URGENTE", "Estoque OK")</f>
        <v>Estoque OK</v>
      </c>
      <c r="K43"/>
    </row>
    <row r="44" spans="1:11" x14ac:dyDescent="0.3">
      <c r="A44" s="14" t="s">
        <v>231</v>
      </c>
      <c r="B44" s="14" t="str">
        <f>_xlfn.XLOOKUP(Tabela_Controle_Estoque[[#This Row],[ID_Produto]],Tabela_Produtos[ID_Produto],Tabela_Produtos[Descricao_Produto],"N/A")</f>
        <v>Kit Limpeza Telas</v>
      </c>
      <c r="C44" s="14">
        <f>_xlfn.XLOOKUP(Tabela_Controle_Estoque[[#This Row],[ID_Produto]],Tabela_Produtos[ID_Produto],Tabela_Produtos[Estoque_Minimo],"N/A")</f>
        <v>50</v>
      </c>
      <c r="D44" s="14">
        <f ca="1">SUMIFS(Tabela_Movimentacao_Geral[Quantidade],Tabela_Movimentacao_Geral[ID Produto],CONTROLE_ESTOQUE!$A44,Tabela_Movimentacao_Geral[Tipo Fluxo], "Entrada")</f>
        <v>118</v>
      </c>
      <c r="E44" s="14">
        <f ca="1">SUMIFS(Tabela_Movimentacao_Geral[Quantidade], Tabela_Movimentacao_Geral[ID Produto],CONTROLE_ESTOQUE!$A44,Tabela_Movimentacao_Geral[Tipo Fluxo], "Saida")</f>
        <v>109</v>
      </c>
      <c r="F44" s="14">
        <f ca="1">CONTROLE_ESTOQUE!$D44 - CONTROLE_ESTOQUE!$E44</f>
        <v>9</v>
      </c>
      <c r="G44" s="14" t="str">
        <f ca="1">IF(CONTROLE_ESTOQUE!$F44 &lt; CONTROLE_ESTOQUE!$C44, "COMPRAR URGENTE", "Estoque OK")</f>
        <v>COMPRAR URGENTE</v>
      </c>
      <c r="K44"/>
    </row>
    <row r="45" spans="1:11" x14ac:dyDescent="0.3">
      <c r="A45" s="9" t="s">
        <v>233</v>
      </c>
      <c r="B45" s="9" t="str">
        <f>_xlfn.XLOOKUP(Tabela_Controle_Estoque[[#This Row],[ID_Produto]],Tabela_Produtos[ID_Produto],Tabela_Produtos[Descricao_Produto],"N/A")</f>
        <v>Caixa de Som 2.0 USB</v>
      </c>
      <c r="C45" s="9">
        <f>_xlfn.XLOOKUP(Tabela_Controle_Estoque[[#This Row],[ID_Produto]],Tabela_Produtos[ID_Produto],Tabela_Produtos[Estoque_Minimo],"N/A")</f>
        <v>20</v>
      </c>
      <c r="D45" s="9">
        <f ca="1">SUMIFS(Tabela_Movimentacao_Geral[Quantidade],Tabela_Movimentacao_Geral[ID Produto],CONTROLE_ESTOQUE!$A45,Tabela_Movimentacao_Geral[Tipo Fluxo], "Entrada")</f>
        <v>84</v>
      </c>
      <c r="E45" s="9">
        <f ca="1">SUMIFS(Tabela_Movimentacao_Geral[Quantidade], Tabela_Movimentacao_Geral[ID Produto],CONTROLE_ESTOQUE!$A45,Tabela_Movimentacao_Geral[Tipo Fluxo], "Saida")</f>
        <v>0</v>
      </c>
      <c r="F45" s="9">
        <f ca="1">CONTROLE_ESTOQUE!$D45 - CONTROLE_ESTOQUE!$E45</f>
        <v>84</v>
      </c>
      <c r="G45" s="9" t="str">
        <f ca="1">IF(CONTROLE_ESTOQUE!$F45 &lt; CONTROLE_ESTOQUE!$C45, "COMPRAR URGENTE", "Estoque OK")</f>
        <v>Estoque OK</v>
      </c>
      <c r="K45"/>
    </row>
    <row r="46" spans="1:11" x14ac:dyDescent="0.3">
      <c r="A46" s="14" t="s">
        <v>235</v>
      </c>
      <c r="B46" s="14" t="str">
        <f>_xlfn.XLOOKUP(Tabela_Controle_Estoque[[#This Row],[ID_Produto]],Tabela_Produtos[ID_Produto],Tabela_Produtos[Descricao_Produto],"N/A")</f>
        <v>Microfone de Mesa USB</v>
      </c>
      <c r="C46" s="14">
        <f>_xlfn.XLOOKUP(Tabela_Controle_Estoque[[#This Row],[ID_Produto]],Tabela_Produtos[ID_Produto],Tabela_Produtos[Estoque_Minimo],"N/A")</f>
        <v>10</v>
      </c>
      <c r="D46" s="14">
        <f ca="1">SUMIFS(Tabela_Movimentacao_Geral[Quantidade],Tabela_Movimentacao_Geral[ID Produto],CONTROLE_ESTOQUE!$A46,Tabela_Movimentacao_Geral[Tipo Fluxo], "Entrada")</f>
        <v>84</v>
      </c>
      <c r="E46" s="14">
        <f ca="1">SUMIFS(Tabela_Movimentacao_Geral[Quantidade], Tabela_Movimentacao_Geral[ID Produto],CONTROLE_ESTOQUE!$A46,Tabela_Movimentacao_Geral[Tipo Fluxo], "Saida")</f>
        <v>78</v>
      </c>
      <c r="F46" s="14">
        <f ca="1">CONTROLE_ESTOQUE!$D46 - CONTROLE_ESTOQUE!$E46</f>
        <v>6</v>
      </c>
      <c r="G46" s="14" t="str">
        <f ca="1">IF(CONTROLE_ESTOQUE!$F46 &lt; CONTROLE_ESTOQUE!$C46, "COMPRAR URGENTE", "Estoque OK")</f>
        <v>COMPRAR URGENTE</v>
      </c>
      <c r="K46"/>
    </row>
    <row r="47" spans="1:11" x14ac:dyDescent="0.3">
      <c r="A47" s="9" t="s">
        <v>237</v>
      </c>
      <c r="B47" s="9" t="str">
        <f>_xlfn.XLOOKUP(Tabela_Controle_Estoque[[#This Row],[ID_Produto]],Tabela_Produtos[ID_Produto],Tabela_Produtos[Descricao_Produto],"N/A")</f>
        <v>Organizador de Cabos Spiral</v>
      </c>
      <c r="C47" s="9">
        <f>_xlfn.XLOOKUP(Tabela_Controle_Estoque[[#This Row],[ID_Produto]],Tabela_Produtos[ID_Produto],Tabela_Produtos[Estoque_Minimo],"N/A")</f>
        <v>100</v>
      </c>
      <c r="D47" s="9">
        <f ca="1">SUMIFS(Tabela_Movimentacao_Geral[Quantidade],Tabela_Movimentacao_Geral[ID Produto],CONTROLE_ESTOQUE!$A47,Tabela_Movimentacao_Geral[Tipo Fluxo], "Entrada")</f>
        <v>477</v>
      </c>
      <c r="E47" s="9">
        <f ca="1">SUMIFS(Tabela_Movimentacao_Geral[Quantidade], Tabela_Movimentacao_Geral[ID Produto],CONTROLE_ESTOQUE!$A47,Tabela_Movimentacao_Geral[Tipo Fluxo], "Saida")</f>
        <v>335</v>
      </c>
      <c r="F47" s="9">
        <f ca="1">CONTROLE_ESTOQUE!$D47 - CONTROLE_ESTOQUE!$E47</f>
        <v>142</v>
      </c>
      <c r="G47" s="9" t="str">
        <f ca="1">IF(CONTROLE_ESTOQUE!$F47 &lt; CONTROLE_ESTOQUE!$C47, "COMPRAR URGENTE", "Estoque OK")</f>
        <v>Estoque OK</v>
      </c>
      <c r="K47"/>
    </row>
    <row r="48" spans="1:11" x14ac:dyDescent="0.3">
      <c r="A48" s="14" t="s">
        <v>239</v>
      </c>
      <c r="B48" s="14" t="str">
        <f>_xlfn.XLOOKUP(Tabela_Controle_Estoque[[#This Row],[ID_Produto]],Tabela_Produtos[ID_Produto],Tabela_Produtos[Descricao_Produto],"N/A")</f>
        <v>Etiquetadora Termica</v>
      </c>
      <c r="C48" s="14">
        <f>_xlfn.XLOOKUP(Tabela_Controle_Estoque[[#This Row],[ID_Produto]],Tabela_Produtos[ID_Produto],Tabela_Produtos[Estoque_Minimo],"N/A")</f>
        <v>8</v>
      </c>
      <c r="D48" s="14">
        <f ca="1">SUMIFS(Tabela_Movimentacao_Geral[Quantidade],Tabela_Movimentacao_Geral[ID Produto],CONTROLE_ESTOQUE!$A48,Tabela_Movimentacao_Geral[Tipo Fluxo], "Entrada")</f>
        <v>74</v>
      </c>
      <c r="E48" s="14">
        <f ca="1">SUMIFS(Tabela_Movimentacao_Geral[Quantidade], Tabela_Movimentacao_Geral[ID Produto],CONTROLE_ESTOQUE!$A48,Tabela_Movimentacao_Geral[Tipo Fluxo], "Saida")</f>
        <v>29</v>
      </c>
      <c r="F48" s="14">
        <f ca="1">CONTROLE_ESTOQUE!$D48 - CONTROLE_ESTOQUE!$E48</f>
        <v>45</v>
      </c>
      <c r="G48" s="14" t="str">
        <f ca="1">IF(CONTROLE_ESTOQUE!$F48 &lt; CONTROLE_ESTOQUE!$C48, "COMPRAR URGENTE", "Estoque OK")</f>
        <v>Estoque OK</v>
      </c>
      <c r="K48"/>
    </row>
    <row r="49" spans="1:11" x14ac:dyDescent="0.3">
      <c r="A49" s="9" t="s">
        <v>241</v>
      </c>
      <c r="B49" s="9" t="str">
        <f>_xlfn.XLOOKUP(Tabela_Controle_Estoque[[#This Row],[ID_Produto]],Tabela_Produtos[ID_Produto],Tabela_Produtos[Descricao_Produto],"N/A")</f>
        <v>Fita para Etiquetadora</v>
      </c>
      <c r="C49" s="9">
        <f>_xlfn.XLOOKUP(Tabela_Controle_Estoque[[#This Row],[ID_Produto]],Tabela_Produtos[ID_Produto],Tabela_Produtos[Estoque_Minimo],"N/A")</f>
        <v>40</v>
      </c>
      <c r="D49" s="9">
        <f ca="1">SUMIFS(Tabela_Movimentacao_Geral[Quantidade],Tabela_Movimentacao_Geral[ID Produto],CONTROLE_ESTOQUE!$A49,Tabela_Movimentacao_Geral[Tipo Fluxo], "Entrada")</f>
        <v>204</v>
      </c>
      <c r="E49" s="9">
        <f ca="1">SUMIFS(Tabela_Movimentacao_Geral[Quantidade], Tabela_Movimentacao_Geral[ID Produto],CONTROLE_ESTOQUE!$A49,Tabela_Movimentacao_Geral[Tipo Fluxo], "Saida")</f>
        <v>148</v>
      </c>
      <c r="F49" s="9">
        <f ca="1">CONTROLE_ESTOQUE!$D49 - CONTROLE_ESTOQUE!$E49</f>
        <v>56</v>
      </c>
      <c r="G49" s="9" t="str">
        <f ca="1">IF(CONTROLE_ESTOQUE!$F49 &lt; CONTROLE_ESTOQUE!$C49, "COMPRAR URGENTE", "Estoque OK")</f>
        <v>Estoque OK</v>
      </c>
      <c r="K49"/>
    </row>
    <row r="50" spans="1:11" x14ac:dyDescent="0.3">
      <c r="A50" s="14" t="s">
        <v>243</v>
      </c>
      <c r="B50" s="14" t="str">
        <f>_xlfn.XLOOKUP(Tabela_Controle_Estoque[[#This Row],[ID_Produto]],Tabela_Produtos[ID_Produto],Tabela_Produtos[Descricao_Produto],"N/A")</f>
        <v>Scanner de Documentos</v>
      </c>
      <c r="C50" s="14">
        <f>_xlfn.XLOOKUP(Tabela_Controle_Estoque[[#This Row],[ID_Produto]],Tabela_Produtos[ID_Produto],Tabela_Produtos[Estoque_Minimo],"N/A")</f>
        <v>4</v>
      </c>
      <c r="D50" s="14">
        <f ca="1">SUMIFS(Tabela_Movimentacao_Geral[Quantidade],Tabela_Movimentacao_Geral[ID Produto],CONTROLE_ESTOQUE!$A50,Tabela_Movimentacao_Geral[Tipo Fluxo], "Entrada")</f>
        <v>266</v>
      </c>
      <c r="E50" s="14">
        <f ca="1">SUMIFS(Tabela_Movimentacao_Geral[Quantidade], Tabela_Movimentacao_Geral[ID Produto],CONTROLE_ESTOQUE!$A50,Tabela_Movimentacao_Geral[Tipo Fluxo], "Saida")</f>
        <v>0</v>
      </c>
      <c r="F50" s="14">
        <f ca="1">CONTROLE_ESTOQUE!$D50 - CONTROLE_ESTOQUE!$E50</f>
        <v>266</v>
      </c>
      <c r="G50" s="14" t="str">
        <f ca="1">IF(CONTROLE_ESTOQUE!$F50 &lt; CONTROLE_ESTOQUE!$C50, "COMPRAR URGENTE", "Estoque OK")</f>
        <v>Estoque OK</v>
      </c>
      <c r="K50"/>
    </row>
    <row r="51" spans="1:11" x14ac:dyDescent="0.3">
      <c r="A51" s="9" t="s">
        <v>245</v>
      </c>
      <c r="B51" s="9" t="str">
        <f>_xlfn.XLOOKUP(Tabela_Controle_Estoque[[#This Row],[ID_Produto]],Tabela_Produtos[ID_Produto],Tabela_Produtos[Descricao_Produto],"N/A")</f>
        <v>Leitor de Codigo de Barras</v>
      </c>
      <c r="C51" s="9">
        <f>_xlfn.XLOOKUP(Tabela_Controle_Estoque[[#This Row],[ID_Produto]],Tabela_Produtos[ID_Produto],Tabela_Produtos[Estoque_Minimo],"N/A")</f>
        <v>15</v>
      </c>
      <c r="D51" s="9">
        <f ca="1">SUMIFS(Tabela_Movimentacao_Geral[Quantidade],Tabela_Movimentacao_Geral[ID Produto],CONTROLE_ESTOQUE!$A51,Tabela_Movimentacao_Geral[Tipo Fluxo], "Entrada")</f>
        <v>137</v>
      </c>
      <c r="E51" s="9">
        <f ca="1">SUMIFS(Tabela_Movimentacao_Geral[Quantidade], Tabela_Movimentacao_Geral[ID Produto],CONTROLE_ESTOQUE!$A51,Tabela_Movimentacao_Geral[Tipo Fluxo], "Saida")</f>
        <v>86</v>
      </c>
      <c r="F51" s="9">
        <f ca="1">CONTROLE_ESTOQUE!$D51 - CONTROLE_ESTOQUE!$E51</f>
        <v>51</v>
      </c>
      <c r="G51" s="9" t="str">
        <f ca="1">IF(CONTROLE_ESTOQUE!$F51 &lt; CONTROLE_ESTOQUE!$C51, "COMPRAR URGENTE", "Estoque OK")</f>
        <v>Estoque OK</v>
      </c>
      <c r="K51"/>
    </row>
    <row r="52" spans="1:11" x14ac:dyDescent="0.3">
      <c r="A52" s="14" t="s">
        <v>247</v>
      </c>
      <c r="B52" s="14" t="str">
        <f>_xlfn.XLOOKUP(Tabela_Controle_Estoque[[#This Row],[ID_Produto]],Tabela_Produtos[ID_Produto],Tabela_Produtos[Descricao_Produto],"N/A")</f>
        <v>Papel A4 Report 500fls</v>
      </c>
      <c r="C52" s="14">
        <f>_xlfn.XLOOKUP(Tabela_Controle_Estoque[[#This Row],[ID_Produto]],Tabela_Produtos[ID_Produto],Tabela_Produtos[Estoque_Minimo],"N/A")</f>
        <v>100</v>
      </c>
      <c r="D52" s="14">
        <f ca="1">SUMIFS(Tabela_Movimentacao_Geral[Quantidade],Tabela_Movimentacao_Geral[ID Produto],CONTROLE_ESTOQUE!$A52,Tabela_Movimentacao_Geral[Tipo Fluxo], "Entrada")</f>
        <v>509</v>
      </c>
      <c r="E52" s="14">
        <f ca="1">SUMIFS(Tabela_Movimentacao_Geral[Quantidade], Tabela_Movimentacao_Geral[ID Produto],CONTROLE_ESTOQUE!$A52,Tabela_Movimentacao_Geral[Tipo Fluxo], "Saida")</f>
        <v>330</v>
      </c>
      <c r="F52" s="14">
        <f ca="1">CONTROLE_ESTOQUE!$D52 - CONTROLE_ESTOQUE!$E52</f>
        <v>179</v>
      </c>
      <c r="G52" s="14" t="str">
        <f ca="1">IF(CONTROLE_ESTOQUE!$F52 &lt; CONTROLE_ESTOQUE!$C52, "COMPRAR URGENTE", "Estoque OK")</f>
        <v>Estoque OK</v>
      </c>
      <c r="K52"/>
    </row>
    <row r="53" spans="1:11" x14ac:dyDescent="0.3">
      <c r="A53" s="9" t="s">
        <v>249</v>
      </c>
      <c r="B53" s="9" t="str">
        <f>_xlfn.XLOOKUP(Tabela_Controle_Estoque[[#This Row],[ID_Produto]],Tabela_Produtos[ID_Produto],Tabela_Produtos[Descricao_Produto],"N/A")</f>
        <v>Clips Metalicos 33mm 100un</v>
      </c>
      <c r="C53" s="9">
        <f>_xlfn.XLOOKUP(Tabela_Controle_Estoque[[#This Row],[ID_Produto]],Tabela_Produtos[ID_Produto],Tabela_Produtos[Estoque_Minimo],"N/A")</f>
        <v>200</v>
      </c>
      <c r="D53" s="9">
        <f ca="1">SUMIFS(Tabela_Movimentacao_Geral[Quantidade],Tabela_Movimentacao_Geral[ID Produto],CONTROLE_ESTOQUE!$A53,Tabela_Movimentacao_Geral[Tipo Fluxo], "Entrada")</f>
        <v>342</v>
      </c>
      <c r="E53" s="9">
        <f ca="1">SUMIFS(Tabela_Movimentacao_Geral[Quantidade], Tabela_Movimentacao_Geral[ID Produto],CONTROLE_ESTOQUE!$A53,Tabela_Movimentacao_Geral[Tipo Fluxo], "Saida")</f>
        <v>340</v>
      </c>
      <c r="F53" s="9">
        <f ca="1">CONTROLE_ESTOQUE!$D53 - CONTROLE_ESTOQUE!$E53</f>
        <v>2</v>
      </c>
      <c r="G53" s="9" t="str">
        <f ca="1">IF(CONTROLE_ESTOQUE!$F53 &lt; CONTROLE_ESTOQUE!$C53, "COMPRAR URGENTE", "Estoque OK")</f>
        <v>COMPRAR URGENTE</v>
      </c>
      <c r="K53"/>
    </row>
    <row r="54" spans="1:11" x14ac:dyDescent="0.3">
      <c r="A54" s="14" t="s">
        <v>251</v>
      </c>
      <c r="B54" s="14" t="str">
        <f>_xlfn.XLOOKUP(Tabela_Controle_Estoque[[#This Row],[ID_Produto]],Tabela_Produtos[ID_Produto],Tabela_Produtos[Descricao_Produto],"N/A")</f>
        <v>Grampeador Ate 20 fls</v>
      </c>
      <c r="C54" s="14">
        <f>_xlfn.XLOOKUP(Tabela_Controle_Estoque[[#This Row],[ID_Produto]],Tabela_Produtos[ID_Produto],Tabela_Produtos[Estoque_Minimo],"N/A")</f>
        <v>30</v>
      </c>
      <c r="D54" s="14">
        <f ca="1">SUMIFS(Tabela_Movimentacao_Geral[Quantidade],Tabela_Movimentacao_Geral[ID Produto],CONTROLE_ESTOQUE!$A54,Tabela_Movimentacao_Geral[Tipo Fluxo], "Entrada")</f>
        <v>207</v>
      </c>
      <c r="E54" s="14">
        <f ca="1">SUMIFS(Tabela_Movimentacao_Geral[Quantidade], Tabela_Movimentacao_Geral[ID Produto],CONTROLE_ESTOQUE!$A54,Tabela_Movimentacao_Geral[Tipo Fluxo], "Saida")</f>
        <v>175</v>
      </c>
      <c r="F54" s="14">
        <f ca="1">CONTROLE_ESTOQUE!$D54 - CONTROLE_ESTOQUE!$E54</f>
        <v>32</v>
      </c>
      <c r="G54" s="14" t="str">
        <f ca="1">IF(CONTROLE_ESTOQUE!$F54 &lt; CONTROLE_ESTOQUE!$C54, "COMPRAR URGENTE", "Estoque OK")</f>
        <v>Estoque OK</v>
      </c>
      <c r="K54"/>
    </row>
    <row r="55" spans="1:11" x14ac:dyDescent="0.3">
      <c r="A55" s="9" t="s">
        <v>253</v>
      </c>
      <c r="B55" s="9" t="str">
        <f>_xlfn.XLOOKUP(Tabela_Controle_Estoque[[#This Row],[ID_Produto]],Tabela_Produtos[ID_Produto],Tabela_Produtos[Descricao_Produto],"N/A")</f>
        <v>Caixa de Grampos 26/6</v>
      </c>
      <c r="C55" s="9">
        <f>_xlfn.XLOOKUP(Tabela_Controle_Estoque[[#This Row],[ID_Produto]],Tabela_Produtos[ID_Produto],Tabela_Produtos[Estoque_Minimo],"N/A")</f>
        <v>150</v>
      </c>
      <c r="D55" s="9">
        <f ca="1">SUMIFS(Tabela_Movimentacao_Geral[Quantidade],Tabela_Movimentacao_Geral[ID Produto],CONTROLE_ESTOQUE!$A55,Tabela_Movimentacao_Geral[Tipo Fluxo], "Entrada")</f>
        <v>382</v>
      </c>
      <c r="E55" s="9">
        <f ca="1">SUMIFS(Tabela_Movimentacao_Geral[Quantidade], Tabela_Movimentacao_Geral[ID Produto],CONTROLE_ESTOQUE!$A55,Tabela_Movimentacao_Geral[Tipo Fluxo], "Saida")</f>
        <v>305</v>
      </c>
      <c r="F55" s="9">
        <f ca="1">CONTROLE_ESTOQUE!$D55 - CONTROLE_ESTOQUE!$E55</f>
        <v>77</v>
      </c>
      <c r="G55" s="9" t="str">
        <f ca="1">IF(CONTROLE_ESTOQUE!$F55 &lt; CONTROLE_ESTOQUE!$C55, "COMPRAR URGENTE", "Estoque OK")</f>
        <v>COMPRAR URGENTE</v>
      </c>
      <c r="K55"/>
    </row>
    <row r="56" spans="1:11" x14ac:dyDescent="0.3">
      <c r="A56" s="14" t="s">
        <v>255</v>
      </c>
      <c r="B56" s="14" t="str">
        <f>_xlfn.XLOOKUP(Tabela_Controle_Estoque[[#This Row],[ID_Produto]],Tabela_Produtos[ID_Produto],Tabela_Produtos[Descricao_Produto],"N/A")</f>
        <v>Pasta Suspensa Kraft 10un</v>
      </c>
      <c r="C56" s="14">
        <f>_xlfn.XLOOKUP(Tabela_Controle_Estoque[[#This Row],[ID_Produto]],Tabela_Produtos[ID_Produto],Tabela_Produtos[Estoque_Minimo],"N/A")</f>
        <v>80</v>
      </c>
      <c r="D56" s="14">
        <f ca="1">SUMIFS(Tabela_Movimentacao_Geral[Quantidade],Tabela_Movimentacao_Geral[ID Produto],CONTROLE_ESTOQUE!$A56,Tabela_Movimentacao_Geral[Tipo Fluxo], "Entrada")</f>
        <v>115</v>
      </c>
      <c r="E56" s="14">
        <f ca="1">SUMIFS(Tabela_Movimentacao_Geral[Quantidade], Tabela_Movimentacao_Geral[ID Produto],CONTROLE_ESTOQUE!$A56,Tabela_Movimentacao_Geral[Tipo Fluxo], "Saida")</f>
        <v>27</v>
      </c>
      <c r="F56" s="14">
        <f ca="1">CONTROLE_ESTOQUE!$D56 - CONTROLE_ESTOQUE!$E56</f>
        <v>88</v>
      </c>
      <c r="G56" s="14" t="str">
        <f ca="1">IF(CONTROLE_ESTOQUE!$F56 &lt; CONTROLE_ESTOQUE!$C56, "COMPRAR URGENTE", "Estoque OK")</f>
        <v>Estoque OK</v>
      </c>
      <c r="K56"/>
    </row>
    <row r="57" spans="1:11" x14ac:dyDescent="0.3">
      <c r="A57" s="9" t="s">
        <v>257</v>
      </c>
      <c r="B57" s="9" t="str">
        <f>_xlfn.XLOOKUP(Tabela_Controle_Estoque[[#This Row],[ID_Produto]],Tabela_Produtos[ID_Produto],Tabela_Produtos[Descricao_Produto],"N/A")</f>
        <v>Envelope Pardo A4 50un</v>
      </c>
      <c r="C57" s="9">
        <f>_xlfn.XLOOKUP(Tabela_Controle_Estoque[[#This Row],[ID_Produto]],Tabela_Produtos[ID_Produto],Tabela_Produtos[Estoque_Minimo],"N/A")</f>
        <v>120</v>
      </c>
      <c r="D57" s="9">
        <f ca="1">SUMIFS(Tabela_Movimentacao_Geral[Quantidade],Tabela_Movimentacao_Geral[ID Produto],CONTROLE_ESTOQUE!$A57,Tabela_Movimentacao_Geral[Tipo Fluxo], "Entrada")</f>
        <v>314</v>
      </c>
      <c r="E57" s="9">
        <f ca="1">SUMIFS(Tabela_Movimentacao_Geral[Quantidade], Tabela_Movimentacao_Geral[ID Produto],CONTROLE_ESTOQUE!$A57,Tabela_Movimentacao_Geral[Tipo Fluxo], "Saida")</f>
        <v>98</v>
      </c>
      <c r="F57" s="9">
        <f ca="1">CONTROLE_ESTOQUE!$D57 - CONTROLE_ESTOQUE!$E57</f>
        <v>216</v>
      </c>
      <c r="G57" s="9" t="str">
        <f ca="1">IF(CONTROLE_ESTOQUE!$F57 &lt; CONTROLE_ESTOQUE!$C57, "COMPRAR URGENTE", "Estoque OK")</f>
        <v>Estoque OK</v>
      </c>
      <c r="K57"/>
    </row>
    <row r="58" spans="1:11" x14ac:dyDescent="0.3">
      <c r="A58" s="14" t="s">
        <v>259</v>
      </c>
      <c r="B58" s="14" t="str">
        <f>_xlfn.XLOOKUP(Tabela_Controle_Estoque[[#This Row],[ID_Produto]],Tabela_Produtos[ID_Produto],Tabela_Produtos[Descricao_Produto],"N/A")</f>
        <v>Caneta Esferografica Azul</v>
      </c>
      <c r="C58" s="14">
        <f>_xlfn.XLOOKUP(Tabela_Controle_Estoque[[#This Row],[ID_Produto]],Tabela_Produtos[ID_Produto],Tabela_Produtos[Estoque_Minimo],"N/A")</f>
        <v>500</v>
      </c>
      <c r="D58" s="14">
        <f ca="1">SUMIFS(Tabela_Movimentacao_Geral[Quantidade],Tabela_Movimentacao_Geral[ID Produto],CONTROLE_ESTOQUE!$A58,Tabela_Movimentacao_Geral[Tipo Fluxo], "Entrada")</f>
        <v>819</v>
      </c>
      <c r="E58" s="14">
        <f ca="1">SUMIFS(Tabela_Movimentacao_Geral[Quantidade], Tabela_Movimentacao_Geral[ID Produto],CONTROLE_ESTOQUE!$A58,Tabela_Movimentacao_Geral[Tipo Fluxo], "Saida")</f>
        <v>771</v>
      </c>
      <c r="F58" s="14">
        <f ca="1">CONTROLE_ESTOQUE!$D58 - CONTROLE_ESTOQUE!$E58</f>
        <v>48</v>
      </c>
      <c r="G58" s="14" t="str">
        <f ca="1">IF(CONTROLE_ESTOQUE!$F58 &lt; CONTROLE_ESTOQUE!$C58, "COMPRAR URGENTE", "Estoque OK")</f>
        <v>COMPRAR URGENTE</v>
      </c>
      <c r="K58"/>
    </row>
    <row r="59" spans="1:11" x14ac:dyDescent="0.3">
      <c r="A59" s="9" t="s">
        <v>261</v>
      </c>
      <c r="B59" s="9" t="str">
        <f>_xlfn.XLOOKUP(Tabela_Controle_Estoque[[#This Row],[ID_Produto]],Tabela_Produtos[ID_Produto],Tabela_Produtos[Descricao_Produto],"N/A")</f>
        <v>Caneta Esferografica Preta</v>
      </c>
      <c r="C59" s="9">
        <f>_xlfn.XLOOKUP(Tabela_Controle_Estoque[[#This Row],[ID_Produto]],Tabela_Produtos[ID_Produto],Tabela_Produtos[Estoque_Minimo],"N/A")</f>
        <v>500</v>
      </c>
      <c r="D59" s="9">
        <f ca="1">SUMIFS(Tabela_Movimentacao_Geral[Quantidade],Tabela_Movimentacao_Geral[ID Produto],CONTROLE_ESTOQUE!$A59,Tabela_Movimentacao_Geral[Tipo Fluxo], "Entrada")</f>
        <v>1157</v>
      </c>
      <c r="E59" s="9">
        <f ca="1">SUMIFS(Tabela_Movimentacao_Geral[Quantidade], Tabela_Movimentacao_Geral[ID Produto],CONTROLE_ESTOQUE!$A59,Tabela_Movimentacao_Geral[Tipo Fluxo], "Saida")</f>
        <v>537</v>
      </c>
      <c r="F59" s="9">
        <f ca="1">CONTROLE_ESTOQUE!$D59 - CONTROLE_ESTOQUE!$E59</f>
        <v>620</v>
      </c>
      <c r="G59" s="9" t="str">
        <f ca="1">IF(CONTROLE_ESTOQUE!$F59 &lt; CONTROLE_ESTOQUE!$C59, "COMPRAR URGENTE", "Estoque OK")</f>
        <v>Estoque OK</v>
      </c>
      <c r="K59"/>
    </row>
    <row r="60" spans="1:11" x14ac:dyDescent="0.3">
      <c r="A60" s="14" t="s">
        <v>263</v>
      </c>
      <c r="B60" s="14" t="str">
        <f>_xlfn.XLOOKUP(Tabela_Controle_Estoque[[#This Row],[ID_Produto]],Tabela_Produtos[ID_Produto],Tabela_Produtos[Descricao_Produto],"N/A")</f>
        <v>Lapiseira 0.7mm</v>
      </c>
      <c r="C60" s="14">
        <f>_xlfn.XLOOKUP(Tabela_Controle_Estoque[[#This Row],[ID_Produto]],Tabela_Produtos[ID_Produto],Tabela_Produtos[Estoque_Minimo],"N/A")</f>
        <v>100</v>
      </c>
      <c r="D60" s="14">
        <f ca="1">SUMIFS(Tabela_Movimentacao_Geral[Quantidade],Tabela_Movimentacao_Geral[ID Produto],CONTROLE_ESTOQUE!$A60,Tabela_Movimentacao_Geral[Tipo Fluxo], "Entrada")</f>
        <v>276</v>
      </c>
      <c r="E60" s="14">
        <f ca="1">SUMIFS(Tabela_Movimentacao_Geral[Quantidade], Tabela_Movimentacao_Geral[ID Produto],CONTROLE_ESTOQUE!$A60,Tabela_Movimentacao_Geral[Tipo Fluxo], "Saida")</f>
        <v>272</v>
      </c>
      <c r="F60" s="14">
        <f ca="1">CONTROLE_ESTOQUE!$D60 - CONTROLE_ESTOQUE!$E60</f>
        <v>4</v>
      </c>
      <c r="G60" s="14" t="str">
        <f ca="1">IF(CONTROLE_ESTOQUE!$F60 &lt; CONTROLE_ESTOQUE!$C60, "COMPRAR URGENTE", "Estoque OK")</f>
        <v>COMPRAR URGENTE</v>
      </c>
      <c r="K60"/>
    </row>
    <row r="61" spans="1:11" x14ac:dyDescent="0.3">
      <c r="A61" s="9" t="s">
        <v>265</v>
      </c>
      <c r="B61" s="9" t="str">
        <f>_xlfn.XLOOKUP(Tabela_Controle_Estoque[[#This Row],[ID_Produto]],Tabela_Produtos[ID_Produto],Tabela_Produtos[Descricao_Produto],"N/A")</f>
        <v>Grafite 0.7mm HB</v>
      </c>
      <c r="C61" s="9">
        <f>_xlfn.XLOOKUP(Tabela_Controle_Estoque[[#This Row],[ID_Produto]],Tabela_Produtos[ID_Produto],Tabela_Produtos[Estoque_Minimo],"N/A")</f>
        <v>150</v>
      </c>
      <c r="D61" s="9">
        <f ca="1">SUMIFS(Tabela_Movimentacao_Geral[Quantidade],Tabela_Movimentacao_Geral[ID Produto],CONTROLE_ESTOQUE!$A61,Tabela_Movimentacao_Geral[Tipo Fluxo], "Entrada")</f>
        <v>292</v>
      </c>
      <c r="E61" s="9">
        <f ca="1">SUMIFS(Tabela_Movimentacao_Geral[Quantidade], Tabela_Movimentacao_Geral[ID Produto],CONTROLE_ESTOQUE!$A61,Tabela_Movimentacao_Geral[Tipo Fluxo], "Saida")</f>
        <v>0</v>
      </c>
      <c r="F61" s="9">
        <f ca="1">CONTROLE_ESTOQUE!$D61 - CONTROLE_ESTOQUE!$E61</f>
        <v>292</v>
      </c>
      <c r="G61" s="9" t="str">
        <f ca="1">IF(CONTROLE_ESTOQUE!$F61 &lt; CONTROLE_ESTOQUE!$C61, "COMPRAR URGENTE", "Estoque OK")</f>
        <v>Estoque OK</v>
      </c>
      <c r="K61"/>
    </row>
    <row r="62" spans="1:11" x14ac:dyDescent="0.3">
      <c r="A62" s="14" t="s">
        <v>267</v>
      </c>
      <c r="B62" s="14" t="str">
        <f>_xlfn.XLOOKUP(Tabela_Controle_Estoque[[#This Row],[ID_Produto]],Tabela_Produtos[ID_Produto],Tabela_Produtos[Descricao_Produto],"N/A")</f>
        <v>Borracha Branca Escolar</v>
      </c>
      <c r="C62" s="14">
        <f>_xlfn.XLOOKUP(Tabela_Controle_Estoque[[#This Row],[ID_Produto]],Tabela_Produtos[ID_Produto],Tabela_Produtos[Estoque_Minimo],"N/A")</f>
        <v>150</v>
      </c>
      <c r="D62" s="14">
        <f ca="1">SUMIFS(Tabela_Movimentacao_Geral[Quantidade],Tabela_Movimentacao_Geral[ID Produto],CONTROLE_ESTOQUE!$A62,Tabela_Movimentacao_Geral[Tipo Fluxo], "Entrada")</f>
        <v>220</v>
      </c>
      <c r="E62" s="14">
        <f ca="1">SUMIFS(Tabela_Movimentacao_Geral[Quantidade], Tabela_Movimentacao_Geral[ID Produto],CONTROLE_ESTOQUE!$A62,Tabela_Movimentacao_Geral[Tipo Fluxo], "Saida")</f>
        <v>218</v>
      </c>
      <c r="F62" s="14">
        <f ca="1">CONTROLE_ESTOQUE!$D62 - CONTROLE_ESTOQUE!$E62</f>
        <v>2</v>
      </c>
      <c r="G62" s="14" t="str">
        <f ca="1">IF(CONTROLE_ESTOQUE!$F62 &lt; CONTROLE_ESTOQUE!$C62, "COMPRAR URGENTE", "Estoque OK")</f>
        <v>COMPRAR URGENTE</v>
      </c>
      <c r="K62"/>
    </row>
    <row r="63" spans="1:11" x14ac:dyDescent="0.3">
      <c r="A63" s="9" t="s">
        <v>269</v>
      </c>
      <c r="B63" s="9" t="str">
        <f>_xlfn.XLOOKUP(Tabela_Controle_Estoque[[#This Row],[ID_Produto]],Tabela_Produtos[ID_Produto],Tabela_Produtos[Descricao_Produto],"N/A")</f>
        <v>Regua 30cm Acrilico</v>
      </c>
      <c r="C63" s="9">
        <f>_xlfn.XLOOKUP(Tabela_Controle_Estoque[[#This Row],[ID_Produto]],Tabela_Produtos[ID_Produto],Tabela_Produtos[Estoque_Minimo],"N/A")</f>
        <v>100</v>
      </c>
      <c r="D63" s="9">
        <f ca="1">SUMIFS(Tabela_Movimentacao_Geral[Quantidade],Tabela_Movimentacao_Geral[ID Produto],CONTROLE_ESTOQUE!$A63,Tabela_Movimentacao_Geral[Tipo Fluxo], "Entrada")</f>
        <v>303</v>
      </c>
      <c r="E63" s="9">
        <f ca="1">SUMIFS(Tabela_Movimentacao_Geral[Quantidade], Tabela_Movimentacao_Geral[ID Produto],CONTROLE_ESTOQUE!$A63,Tabela_Movimentacao_Geral[Tipo Fluxo], "Saida")</f>
        <v>291</v>
      </c>
      <c r="F63" s="9">
        <f ca="1">CONTROLE_ESTOQUE!$D63 - CONTROLE_ESTOQUE!$E63</f>
        <v>12</v>
      </c>
      <c r="G63" s="9" t="str">
        <f ca="1">IF(CONTROLE_ESTOQUE!$F63 &lt; CONTROLE_ESTOQUE!$C63, "COMPRAR URGENTE", "Estoque OK")</f>
        <v>COMPRAR URGENTE</v>
      </c>
      <c r="K63"/>
    </row>
    <row r="64" spans="1:11" x14ac:dyDescent="0.3">
      <c r="A64" s="14" t="s">
        <v>271</v>
      </c>
      <c r="B64" s="14" t="str">
        <f>_xlfn.XLOOKUP(Tabela_Controle_Estoque[[#This Row],[ID_Produto]],Tabela_Produtos[ID_Produto],Tabela_Produtos[Descricao_Produto],"N/A")</f>
        <v>Tesoura Multiuso</v>
      </c>
      <c r="C64" s="14">
        <f>_xlfn.XLOOKUP(Tabela_Controle_Estoque[[#This Row],[ID_Produto]],Tabela_Produtos[ID_Produto],Tabela_Produtos[Estoque_Minimo],"N/A")</f>
        <v>50</v>
      </c>
      <c r="D64" s="14">
        <f ca="1">SUMIFS(Tabela_Movimentacao_Geral[Quantidade],Tabela_Movimentacao_Geral[ID Produto],CONTROLE_ESTOQUE!$A64,Tabela_Movimentacao_Geral[Tipo Fluxo], "Entrada")</f>
        <v>126</v>
      </c>
      <c r="E64" s="14">
        <f ca="1">SUMIFS(Tabela_Movimentacao_Geral[Quantidade], Tabela_Movimentacao_Geral[ID Produto],CONTROLE_ESTOQUE!$A64,Tabela_Movimentacao_Geral[Tipo Fluxo], "Saida")</f>
        <v>61</v>
      </c>
      <c r="F64" s="14">
        <f ca="1">CONTROLE_ESTOQUE!$D64 - CONTROLE_ESTOQUE!$E64</f>
        <v>65</v>
      </c>
      <c r="G64" s="14" t="str">
        <f ca="1">IF(CONTROLE_ESTOQUE!$F64 &lt; CONTROLE_ESTOQUE!$C64, "COMPRAR URGENTE", "Estoque OK")</f>
        <v>Estoque OK</v>
      </c>
      <c r="K64"/>
    </row>
    <row r="65" spans="1:11" x14ac:dyDescent="0.3">
      <c r="A65" s="9" t="s">
        <v>273</v>
      </c>
      <c r="B65" s="9" t="str">
        <f>_xlfn.XLOOKUP(Tabela_Controle_Estoque[[#This Row],[ID_Produto]],Tabela_Produtos[ID_Produto],Tabela_Produtos[Descricao_Produto],"N/A")</f>
        <v>Cola em Bastao 40g</v>
      </c>
      <c r="C65" s="9">
        <f>_xlfn.XLOOKUP(Tabela_Controle_Estoque[[#This Row],[ID_Produto]],Tabela_Produtos[ID_Produto],Tabela_Produtos[Estoque_Minimo],"N/A")</f>
        <v>60</v>
      </c>
      <c r="D65" s="9">
        <f ca="1">SUMIFS(Tabela_Movimentacao_Geral[Quantidade],Tabela_Movimentacao_Geral[ID Produto],CONTROLE_ESTOQUE!$A65,Tabela_Movimentacao_Geral[Tipo Fluxo], "Entrada")</f>
        <v>263</v>
      </c>
      <c r="E65" s="9">
        <f ca="1">SUMIFS(Tabela_Movimentacao_Geral[Quantidade], Tabela_Movimentacao_Geral[ID Produto],CONTROLE_ESTOQUE!$A65,Tabela_Movimentacao_Geral[Tipo Fluxo], "Saida")</f>
        <v>253</v>
      </c>
      <c r="F65" s="9">
        <f ca="1">CONTROLE_ESTOQUE!$D65 - CONTROLE_ESTOQUE!$E65</f>
        <v>10</v>
      </c>
      <c r="G65" s="9" t="str">
        <f ca="1">IF(CONTROLE_ESTOQUE!$F65 &lt; CONTROLE_ESTOQUE!$C65, "COMPRAR URGENTE", "Estoque OK")</f>
        <v>COMPRAR URGENTE</v>
      </c>
      <c r="K65"/>
    </row>
    <row r="66" spans="1:11" x14ac:dyDescent="0.3">
      <c r="A66" s="14" t="s">
        <v>275</v>
      </c>
      <c r="B66" s="14" t="str">
        <f>_xlfn.XLOOKUP(Tabela_Controle_Estoque[[#This Row],[ID_Produto]],Tabela_Produtos[ID_Produto],Tabela_Produtos[Descricao_Produto],"N/A")</f>
        <v>Fita Adesiva Transp 45x40</v>
      </c>
      <c r="C66" s="14">
        <f>_xlfn.XLOOKUP(Tabela_Controle_Estoque[[#This Row],[ID_Produto]],Tabela_Produtos[ID_Produto],Tabela_Produtos[Estoque_Minimo],"N/A")</f>
        <v>90</v>
      </c>
      <c r="D66" s="14">
        <f ca="1">SUMIFS(Tabela_Movimentacao_Geral[Quantidade],Tabela_Movimentacao_Geral[ID Produto],CONTROLE_ESTOQUE!$A66,Tabela_Movimentacao_Geral[Tipo Fluxo], "Entrada")</f>
        <v>223</v>
      </c>
      <c r="E66" s="14">
        <f ca="1">SUMIFS(Tabela_Movimentacao_Geral[Quantidade], Tabela_Movimentacao_Geral[ID Produto],CONTROLE_ESTOQUE!$A66,Tabela_Movimentacao_Geral[Tipo Fluxo], "Saida")</f>
        <v>0</v>
      </c>
      <c r="F66" s="14">
        <f ca="1">CONTROLE_ESTOQUE!$D66 - CONTROLE_ESTOQUE!$E66</f>
        <v>223</v>
      </c>
      <c r="G66" s="14" t="str">
        <f ca="1">IF(CONTROLE_ESTOQUE!$F66 &lt; CONTROLE_ESTOQUE!$C66, "COMPRAR URGENTE", "Estoque OK")</f>
        <v>Estoque OK</v>
      </c>
      <c r="K66"/>
    </row>
    <row r="67" spans="1:11" x14ac:dyDescent="0.3">
      <c r="A67" s="9" t="s">
        <v>277</v>
      </c>
      <c r="B67" s="9" t="str">
        <f>_xlfn.XLOOKUP(Tabela_Controle_Estoque[[#This Row],[ID_Produto]],Tabela_Produtos[ID_Produto],Tabela_Produtos[Descricao_Produto],"N/A")</f>
        <v>Calculadora Cientifica</v>
      </c>
      <c r="C67" s="9">
        <f>_xlfn.XLOOKUP(Tabela_Controle_Estoque[[#This Row],[ID_Produto]],Tabela_Produtos[ID_Produto],Tabela_Produtos[Estoque_Minimo],"N/A")</f>
        <v>20</v>
      </c>
      <c r="D67" s="9">
        <f ca="1">SUMIFS(Tabela_Movimentacao_Geral[Quantidade],Tabela_Movimentacao_Geral[ID Produto],CONTROLE_ESTOQUE!$A67,Tabela_Movimentacao_Geral[Tipo Fluxo], "Entrada")</f>
        <v>230</v>
      </c>
      <c r="E67" s="9">
        <f ca="1">SUMIFS(Tabela_Movimentacao_Geral[Quantidade], Tabela_Movimentacao_Geral[ID Produto],CONTROLE_ESTOQUE!$A67,Tabela_Movimentacao_Geral[Tipo Fluxo], "Saida")</f>
        <v>34</v>
      </c>
      <c r="F67" s="9">
        <f ca="1">CONTROLE_ESTOQUE!$D67 - CONTROLE_ESTOQUE!$E67</f>
        <v>196</v>
      </c>
      <c r="G67" s="9" t="str">
        <f ca="1">IF(CONTROLE_ESTOQUE!$F67 &lt; CONTROLE_ESTOQUE!$C67, "COMPRAR URGENTE", "Estoque OK")</f>
        <v>Estoque OK</v>
      </c>
      <c r="K67"/>
    </row>
    <row r="68" spans="1:11" x14ac:dyDescent="0.3">
      <c r="A68" s="14" t="s">
        <v>279</v>
      </c>
      <c r="B68" s="14" t="str">
        <f>_xlfn.XLOOKUP(Tabela_Controle_Estoque[[#This Row],[ID_Produto]],Tabela_Produtos[ID_Produto],Tabela_Produtos[Descricao_Produto],"N/A")</f>
        <v>Marcador de Texto Amarelo</v>
      </c>
      <c r="C68" s="14">
        <f>_xlfn.XLOOKUP(Tabela_Controle_Estoque[[#This Row],[ID_Produto]],Tabela_Produtos[ID_Produto],Tabela_Produtos[Estoque_Minimo],"N/A")</f>
        <v>200</v>
      </c>
      <c r="D68" s="14">
        <f ca="1">SUMIFS(Tabela_Movimentacao_Geral[Quantidade],Tabela_Movimentacao_Geral[ID Produto],CONTROLE_ESTOQUE!$A68,Tabela_Movimentacao_Geral[Tipo Fluxo], "Entrada")</f>
        <v>348</v>
      </c>
      <c r="E68" s="14">
        <f ca="1">SUMIFS(Tabela_Movimentacao_Geral[Quantidade], Tabela_Movimentacao_Geral[ID Produto],CONTROLE_ESTOQUE!$A68,Tabela_Movimentacao_Geral[Tipo Fluxo], "Saida")</f>
        <v>83</v>
      </c>
      <c r="F68" s="14">
        <f ca="1">CONTROLE_ESTOQUE!$D68 - CONTROLE_ESTOQUE!$E68</f>
        <v>265</v>
      </c>
      <c r="G68" s="14" t="str">
        <f ca="1">IF(CONTROLE_ESTOQUE!$F68 &lt; CONTROLE_ESTOQUE!$C68, "COMPRAR URGENTE", "Estoque OK")</f>
        <v>Estoque OK</v>
      </c>
      <c r="K68"/>
    </row>
    <row r="69" spans="1:11" x14ac:dyDescent="0.3">
      <c r="A69" s="9" t="s">
        <v>281</v>
      </c>
      <c r="B69" s="9" t="str">
        <f>_xlfn.XLOOKUP(Tabela_Controle_Estoque[[#This Row],[ID_Produto]],Tabela_Produtos[ID_Produto],Tabela_Produtos[Descricao_Produto],"N/A")</f>
        <v>Quadro Branco 90x60</v>
      </c>
      <c r="C69" s="9">
        <f>_xlfn.XLOOKUP(Tabela_Controle_Estoque[[#This Row],[ID_Produto]],Tabela_Produtos[ID_Produto],Tabela_Produtos[Estoque_Minimo],"N/A")</f>
        <v>5</v>
      </c>
      <c r="D69" s="9">
        <f ca="1">SUMIFS(Tabela_Movimentacao_Geral[Quantidade],Tabela_Movimentacao_Geral[ID Produto],CONTROLE_ESTOQUE!$A69,Tabela_Movimentacao_Geral[Tipo Fluxo], "Entrada")</f>
        <v>224</v>
      </c>
      <c r="E69" s="9">
        <f ca="1">SUMIFS(Tabela_Movimentacao_Geral[Quantidade], Tabela_Movimentacao_Geral[ID Produto],CONTROLE_ESTOQUE!$A69,Tabela_Movimentacao_Geral[Tipo Fluxo], "Saida")</f>
        <v>89</v>
      </c>
      <c r="F69" s="9">
        <f ca="1">CONTROLE_ESTOQUE!$D69 - CONTROLE_ESTOQUE!$E69</f>
        <v>135</v>
      </c>
      <c r="G69" s="9" t="str">
        <f ca="1">IF(CONTROLE_ESTOQUE!$F69 &lt; CONTROLE_ESTOQUE!$C69, "COMPRAR URGENTE", "Estoque OK")</f>
        <v>Estoque OK</v>
      </c>
      <c r="K69"/>
    </row>
    <row r="70" spans="1:11" x14ac:dyDescent="0.3">
      <c r="A70" s="14" t="s">
        <v>283</v>
      </c>
      <c r="B70" s="14" t="str">
        <f>_xlfn.XLOOKUP(Tabela_Controle_Estoque[[#This Row],[ID_Produto]],Tabela_Produtos[ID_Produto],Tabela_Produtos[Descricao_Produto],"N/A")</f>
        <v>Apagador para Quadro</v>
      </c>
      <c r="C70" s="14">
        <f>_xlfn.XLOOKUP(Tabela_Controle_Estoque[[#This Row],[ID_Produto]],Tabela_Produtos[ID_Produto],Tabela_Produtos[Estoque_Minimo],"N/A")</f>
        <v>30</v>
      </c>
      <c r="D70" s="14">
        <f ca="1">SUMIFS(Tabela_Movimentacao_Geral[Quantidade],Tabela_Movimentacao_Geral[ID Produto],CONTROLE_ESTOQUE!$A70,Tabela_Movimentacao_Geral[Tipo Fluxo], "Entrada")</f>
        <v>239</v>
      </c>
      <c r="E70" s="14">
        <f ca="1">SUMIFS(Tabela_Movimentacao_Geral[Quantidade], Tabela_Movimentacao_Geral[ID Produto],CONTROLE_ESTOQUE!$A70,Tabela_Movimentacao_Geral[Tipo Fluxo], "Saida")</f>
        <v>229</v>
      </c>
      <c r="F70" s="14">
        <f ca="1">CONTROLE_ESTOQUE!$D70 - CONTROLE_ESTOQUE!$E70</f>
        <v>10</v>
      </c>
      <c r="G70" s="14" t="str">
        <f ca="1">IF(CONTROLE_ESTOQUE!$F70 &lt; CONTROLE_ESTOQUE!$C70, "COMPRAR URGENTE", "Estoque OK")</f>
        <v>COMPRAR URGENTE</v>
      </c>
      <c r="K70"/>
    </row>
    <row r="71" spans="1:11" x14ac:dyDescent="0.3">
      <c r="A71" s="9" t="s">
        <v>285</v>
      </c>
      <c r="B71" s="9" t="str">
        <f>_xlfn.XLOOKUP(Tabela_Controle_Estoque[[#This Row],[ID_Produto]],Tabela_Produtos[ID_Produto],Tabela_Produtos[Descricao_Produto],"N/A")</f>
        <v>Marcador para Quadro Azul</v>
      </c>
      <c r="C71" s="9">
        <f>_xlfn.XLOOKUP(Tabela_Controle_Estoque[[#This Row],[ID_Produto]],Tabela_Produtos[ID_Produto],Tabela_Produtos[Estoque_Minimo],"N/A")</f>
        <v>100</v>
      </c>
      <c r="D71" s="9">
        <f ca="1">SUMIFS(Tabela_Movimentacao_Geral[Quantidade],Tabela_Movimentacao_Geral[ID Produto],CONTROLE_ESTOQUE!$A71,Tabela_Movimentacao_Geral[Tipo Fluxo], "Entrada")</f>
        <v>498</v>
      </c>
      <c r="E71" s="9">
        <f ca="1">SUMIFS(Tabela_Movimentacao_Geral[Quantidade], Tabela_Movimentacao_Geral[ID Produto],CONTROLE_ESTOQUE!$A71,Tabela_Movimentacao_Geral[Tipo Fluxo], "Saida")</f>
        <v>291</v>
      </c>
      <c r="F71" s="9">
        <f ca="1">CONTROLE_ESTOQUE!$D71 - CONTROLE_ESTOQUE!$E71</f>
        <v>207</v>
      </c>
      <c r="G71" s="9" t="str">
        <f ca="1">IF(CONTROLE_ESTOQUE!$F71 &lt; CONTROLE_ESTOQUE!$C71, "COMPRAR URGENTE", "Estoque OK")</f>
        <v>Estoque OK</v>
      </c>
      <c r="K71"/>
    </row>
    <row r="72" spans="1:11" x14ac:dyDescent="0.3">
      <c r="A72" s="14" t="s">
        <v>287</v>
      </c>
      <c r="B72" s="14" t="str">
        <f>_xlfn.XLOOKUP(Tabela_Controle_Estoque[[#This Row],[ID_Produto]],Tabela_Produtos[ID_Produto],Tabela_Produtos[Descricao_Produto],"N/A")</f>
        <v>Bloco Auto-Adesivo 76x76</v>
      </c>
      <c r="C72" s="14">
        <f>_xlfn.XLOOKUP(Tabela_Controle_Estoque[[#This Row],[ID_Produto]],Tabela_Produtos[ID_Produto],Tabela_Produtos[Estoque_Minimo],"N/A")</f>
        <v>250</v>
      </c>
      <c r="D72" s="14">
        <f ca="1">SUMIFS(Tabela_Movimentacao_Geral[Quantidade],Tabela_Movimentacao_Geral[ID Produto],CONTROLE_ESTOQUE!$A72,Tabela_Movimentacao_Geral[Tipo Fluxo], "Entrada")</f>
        <v>413</v>
      </c>
      <c r="E72" s="14">
        <f ca="1">SUMIFS(Tabela_Movimentacao_Geral[Quantidade], Tabela_Movimentacao_Geral[ID Produto],CONTROLE_ESTOQUE!$A72,Tabela_Movimentacao_Geral[Tipo Fluxo], "Saida")</f>
        <v>324</v>
      </c>
      <c r="F72" s="14">
        <f ca="1">CONTROLE_ESTOQUE!$D72 - CONTROLE_ESTOQUE!$E72</f>
        <v>89</v>
      </c>
      <c r="G72" s="14" t="str">
        <f ca="1">IF(CONTROLE_ESTOQUE!$F72 &lt; CONTROLE_ESTOQUE!$C72, "COMPRAR URGENTE", "Estoque OK")</f>
        <v>COMPRAR URGENTE</v>
      </c>
      <c r="K72"/>
    </row>
    <row r="73" spans="1:11" x14ac:dyDescent="0.3">
      <c r="A73" s="9" t="s">
        <v>289</v>
      </c>
      <c r="B73" s="9" t="str">
        <f>_xlfn.XLOOKUP(Tabela_Controle_Estoque[[#This Row],[ID_Produto]],Tabela_Produtos[ID_Produto],Tabela_Produtos[Descricao_Produto],"N/A")</f>
        <v>Agenda Diaria Executiva</v>
      </c>
      <c r="C73" s="9">
        <f>_xlfn.XLOOKUP(Tabela_Controle_Estoque[[#This Row],[ID_Produto]],Tabela_Produtos[ID_Produto],Tabela_Produtos[Estoque_Minimo],"N/A")</f>
        <v>40</v>
      </c>
      <c r="D73" s="9">
        <f ca="1">SUMIFS(Tabela_Movimentacao_Geral[Quantidade],Tabela_Movimentacao_Geral[ID Produto],CONTROLE_ESTOQUE!$A73,Tabela_Movimentacao_Geral[Tipo Fluxo], "Entrada")</f>
        <v>61</v>
      </c>
      <c r="E73" s="9">
        <f ca="1">SUMIFS(Tabela_Movimentacao_Geral[Quantidade], Tabela_Movimentacao_Geral[ID Produto],CONTROLE_ESTOQUE!$A73,Tabela_Movimentacao_Geral[Tipo Fluxo], "Saida")</f>
        <v>53</v>
      </c>
      <c r="F73" s="9">
        <f ca="1">CONTROLE_ESTOQUE!$D73 - CONTROLE_ESTOQUE!$E73</f>
        <v>8</v>
      </c>
      <c r="G73" s="9" t="str">
        <f ca="1">IF(CONTROLE_ESTOQUE!$F73 &lt; CONTROLE_ESTOQUE!$C73, "COMPRAR URGENTE", "Estoque OK")</f>
        <v>COMPRAR URGENTE</v>
      </c>
      <c r="K73"/>
    </row>
    <row r="74" spans="1:11" x14ac:dyDescent="0.3">
      <c r="A74" s="14" t="s">
        <v>291</v>
      </c>
      <c r="B74" s="14" t="str">
        <f>_xlfn.XLOOKUP(Tabela_Controle_Estoque[[#This Row],[ID_Produto]],Tabela_Produtos[ID_Produto],Tabela_Produtos[Descricao_Produto],"N/A")</f>
        <v>Cracha de Identificacao</v>
      </c>
      <c r="C74" s="14">
        <f>_xlfn.XLOOKUP(Tabela_Controle_Estoque[[#This Row],[ID_Produto]],Tabela_Produtos[ID_Produto],Tabela_Produtos[Estoque_Minimo],"N/A")</f>
        <v>300</v>
      </c>
      <c r="D74" s="14">
        <f ca="1">SUMIFS(Tabela_Movimentacao_Geral[Quantidade],Tabela_Movimentacao_Geral[ID Produto],CONTROLE_ESTOQUE!$A74,Tabela_Movimentacao_Geral[Tipo Fluxo], "Entrada")</f>
        <v>443</v>
      </c>
      <c r="E74" s="14">
        <f ca="1">SUMIFS(Tabela_Movimentacao_Geral[Quantidade], Tabela_Movimentacao_Geral[ID Produto],CONTROLE_ESTOQUE!$A74,Tabela_Movimentacao_Geral[Tipo Fluxo], "Saida")</f>
        <v>65</v>
      </c>
      <c r="F74" s="14">
        <f ca="1">CONTROLE_ESTOQUE!$D74 - CONTROLE_ESTOQUE!$E74</f>
        <v>378</v>
      </c>
      <c r="G74" s="14" t="str">
        <f ca="1">IF(CONTROLE_ESTOQUE!$F74 &lt; CONTROLE_ESTOQUE!$C74, "COMPRAR URGENTE", "Estoque OK")</f>
        <v>Estoque OK</v>
      </c>
      <c r="K74"/>
    </row>
    <row r="75" spans="1:11" x14ac:dyDescent="0.3">
      <c r="A75" s="9" t="s">
        <v>293</v>
      </c>
      <c r="B75" s="9" t="str">
        <f>_xlfn.XLOOKUP(Tabela_Controle_Estoque[[#This Row],[ID_Produto]],Tabela_Produtos[ID_Produto],Tabela_Produtos[Descricao_Produto],"N/A")</f>
        <v>Cordao para Cracha</v>
      </c>
      <c r="C75" s="9">
        <f>_xlfn.XLOOKUP(Tabela_Controle_Estoque[[#This Row],[ID_Produto]],Tabela_Produtos[ID_Produto],Tabela_Produtos[Estoque_Minimo],"N/A")</f>
        <v>300</v>
      </c>
      <c r="D75" s="9">
        <f ca="1">SUMIFS(Tabela_Movimentacao_Geral[Quantidade],Tabela_Movimentacao_Geral[ID Produto],CONTROLE_ESTOQUE!$A75,Tabela_Movimentacao_Geral[Tipo Fluxo], "Entrada")</f>
        <v>372</v>
      </c>
      <c r="E75" s="9">
        <f ca="1">SUMIFS(Tabela_Movimentacao_Geral[Quantidade], Tabela_Movimentacao_Geral[ID Produto],CONTROLE_ESTOQUE!$A75,Tabela_Movimentacao_Geral[Tipo Fluxo], "Saida")</f>
        <v>371</v>
      </c>
      <c r="F75" s="9">
        <f ca="1">CONTROLE_ESTOQUE!$D75 - CONTROLE_ESTOQUE!$E75</f>
        <v>1</v>
      </c>
      <c r="G75" s="9" t="str">
        <f ca="1">IF(CONTROLE_ESTOQUE!$F75 &lt; CONTROLE_ESTOQUE!$C75, "COMPRAR URGENTE", "Estoque OK")</f>
        <v>COMPRAR URGENTE</v>
      </c>
      <c r="K75"/>
    </row>
    <row r="76" spans="1:11" x14ac:dyDescent="0.3">
      <c r="A76" s="14" t="s">
        <v>295</v>
      </c>
      <c r="B76" s="14" t="str">
        <f>_xlfn.XLOOKUP(Tabela_Controle_Estoque[[#This Row],[ID_Produto]],Tabela_Produtos[ID_Produto],Tabela_Produtos[Descricao_Produto],"N/A")</f>
        <v>Suporte de Pasta Acrilico</v>
      </c>
      <c r="C76" s="14">
        <f>_xlfn.XLOOKUP(Tabela_Controle_Estoque[[#This Row],[ID_Produto]],Tabela_Produtos[ID_Produto],Tabela_Produtos[Estoque_Minimo],"N/A")</f>
        <v>15</v>
      </c>
      <c r="D76" s="14">
        <f ca="1">SUMIFS(Tabela_Movimentacao_Geral[Quantidade],Tabela_Movimentacao_Geral[ID Produto],CONTROLE_ESTOQUE!$A76,Tabela_Movimentacao_Geral[Tipo Fluxo], "Entrada")</f>
        <v>243</v>
      </c>
      <c r="E76" s="14">
        <f ca="1">SUMIFS(Tabela_Movimentacao_Geral[Quantidade], Tabela_Movimentacao_Geral[ID Produto],CONTROLE_ESTOQUE!$A76,Tabela_Movimentacao_Geral[Tipo Fluxo], "Saida")</f>
        <v>243</v>
      </c>
      <c r="F76" s="14">
        <f ca="1">CONTROLE_ESTOQUE!$D76 - CONTROLE_ESTOQUE!$E76</f>
        <v>0</v>
      </c>
      <c r="G76" s="14" t="str">
        <f ca="1">IF(CONTROLE_ESTOQUE!$F76 &lt; CONTROLE_ESTOQUE!$C76, "COMPRAR URGENTE", "Estoque OK")</f>
        <v>COMPRAR URGENTE</v>
      </c>
      <c r="K76"/>
    </row>
    <row r="77" spans="1:11" x14ac:dyDescent="0.3">
      <c r="A77" s="9" t="s">
        <v>297</v>
      </c>
      <c r="B77" s="9" t="str">
        <f>_xlfn.XLOOKUP(Tabela_Controle_Estoque[[#This Row],[ID_Produto]],Tabela_Produtos[ID_Produto],Tabela_Produtos[Descricao_Produto],"N/A")</f>
        <v>Fragmentadora de Papel</v>
      </c>
      <c r="C77" s="9">
        <f>_xlfn.XLOOKUP(Tabela_Controle_Estoque[[#This Row],[ID_Produto]],Tabela_Produtos[ID_Produto],Tabela_Produtos[Estoque_Minimo],"N/A")</f>
        <v>4</v>
      </c>
      <c r="D77" s="9">
        <f ca="1">SUMIFS(Tabela_Movimentacao_Geral[Quantidade],Tabela_Movimentacao_Geral[ID Produto],CONTROLE_ESTOQUE!$A77,Tabela_Movimentacao_Geral[Tipo Fluxo], "Entrada")</f>
        <v>10</v>
      </c>
      <c r="E77" s="9">
        <f ca="1">SUMIFS(Tabela_Movimentacao_Geral[Quantidade], Tabela_Movimentacao_Geral[ID Produto],CONTROLE_ESTOQUE!$A77,Tabela_Movimentacao_Geral[Tipo Fluxo], "Saida")</f>
        <v>8</v>
      </c>
      <c r="F77" s="9">
        <f ca="1">CONTROLE_ESTOQUE!$D77 - CONTROLE_ESTOQUE!$E77</f>
        <v>2</v>
      </c>
      <c r="G77" s="9" t="str">
        <f ca="1">IF(CONTROLE_ESTOQUE!$F77 &lt; CONTROLE_ESTOQUE!$C77, "COMPRAR URGENTE", "Estoque OK")</f>
        <v>COMPRAR URGENTE</v>
      </c>
      <c r="K77"/>
    </row>
    <row r="78" spans="1:11" x14ac:dyDescent="0.3">
      <c r="A78" s="14" t="s">
        <v>299</v>
      </c>
      <c r="B78" s="14" t="str">
        <f>_xlfn.XLOOKUP(Tabela_Controle_Estoque[[#This Row],[ID_Produto]],Tabela_Produtos[ID_Produto],Tabela_Produtos[Descricao_Produto],"N/A")</f>
        <v>Lixeira de Escritorio 10L</v>
      </c>
      <c r="C78" s="14">
        <f>_xlfn.XLOOKUP(Tabela_Controle_Estoque[[#This Row],[ID_Produto]],Tabela_Produtos[ID_Produto],Tabela_Produtos[Estoque_Minimo],"N/A")</f>
        <v>20</v>
      </c>
      <c r="D78" s="14">
        <f ca="1">SUMIFS(Tabela_Movimentacao_Geral[Quantidade],Tabela_Movimentacao_Geral[ID Produto],CONTROLE_ESTOQUE!$A78,Tabela_Movimentacao_Geral[Tipo Fluxo], "Entrada")</f>
        <v>265</v>
      </c>
      <c r="E78" s="14">
        <f ca="1">SUMIFS(Tabela_Movimentacao_Geral[Quantidade], Tabela_Movimentacao_Geral[ID Produto],CONTROLE_ESTOQUE!$A78,Tabela_Movimentacao_Geral[Tipo Fluxo], "Saida")</f>
        <v>203</v>
      </c>
      <c r="F78" s="14">
        <f ca="1">CONTROLE_ESTOQUE!$D78 - CONTROLE_ESTOQUE!$E78</f>
        <v>62</v>
      </c>
      <c r="G78" s="14" t="str">
        <f ca="1">IF(CONTROLE_ESTOQUE!$F78 &lt; CONTROLE_ESTOQUE!$C78, "COMPRAR URGENTE", "Estoque OK")</f>
        <v>Estoque OK</v>
      </c>
      <c r="K78"/>
    </row>
    <row r="79" spans="1:11" x14ac:dyDescent="0.3">
      <c r="A79" s="9" t="s">
        <v>301</v>
      </c>
      <c r="B79" s="9" t="str">
        <f>_xlfn.XLOOKUP(Tabela_Controle_Estoque[[#This Row],[ID_Produto]],Tabela_Produtos[ID_Produto],Tabela_Produtos[Descricao_Produto],"N/A")</f>
        <v>Porta Canetas Telado</v>
      </c>
      <c r="C79" s="9">
        <f>_xlfn.XLOOKUP(Tabela_Controle_Estoque[[#This Row],[ID_Produto]],Tabela_Produtos[ID_Produto],Tabela_Produtos[Estoque_Minimo],"N/A")</f>
        <v>35</v>
      </c>
      <c r="D79" s="9">
        <f ca="1">SUMIFS(Tabela_Movimentacao_Geral[Quantidade],Tabela_Movimentacao_Geral[ID Produto],CONTROLE_ESTOQUE!$A79,Tabela_Movimentacao_Geral[Tipo Fluxo], "Entrada")</f>
        <v>174</v>
      </c>
      <c r="E79" s="9">
        <f ca="1">SUMIFS(Tabela_Movimentacao_Geral[Quantidade], Tabela_Movimentacao_Geral[ID Produto],CONTROLE_ESTOQUE!$A79,Tabela_Movimentacao_Geral[Tipo Fluxo], "Saida")</f>
        <v>174</v>
      </c>
      <c r="F79" s="9">
        <f ca="1">CONTROLE_ESTOQUE!$D79 - CONTROLE_ESTOQUE!$E79</f>
        <v>0</v>
      </c>
      <c r="G79" s="9" t="str">
        <f ca="1">IF(CONTROLE_ESTOQUE!$F79 &lt; CONTROLE_ESTOQUE!$C79, "COMPRAR URGENTE", "Estoque OK")</f>
        <v>COMPRAR URGENTE</v>
      </c>
      <c r="K79"/>
    </row>
    <row r="80" spans="1:11" x14ac:dyDescent="0.3">
      <c r="A80" s="14" t="s">
        <v>303</v>
      </c>
      <c r="B80" s="14" t="str">
        <f>_xlfn.XLOOKUP(Tabela_Controle_Estoque[[#This Row],[ID_Produto]],Tabela_Produtos[ID_Produto],Tabela_Produtos[Descricao_Produto],"N/A")</f>
        <v>Maleta para Documentos</v>
      </c>
      <c r="C80" s="14">
        <f>_xlfn.XLOOKUP(Tabela_Controle_Estoque[[#This Row],[ID_Produto]],Tabela_Produtos[ID_Produto],Tabela_Produtos[Estoque_Minimo],"N/A")</f>
        <v>12</v>
      </c>
      <c r="D80" s="14">
        <f ca="1">SUMIFS(Tabela_Movimentacao_Geral[Quantidade],Tabela_Movimentacao_Geral[ID Produto],CONTROLE_ESTOQUE!$A80,Tabela_Movimentacao_Geral[Tipo Fluxo], "Entrada")</f>
        <v>253</v>
      </c>
      <c r="E80" s="14">
        <f ca="1">SUMIFS(Tabela_Movimentacao_Geral[Quantidade], Tabela_Movimentacao_Geral[ID Produto],CONTROLE_ESTOQUE!$A80,Tabela_Movimentacao_Geral[Tipo Fluxo], "Saida")</f>
        <v>0</v>
      </c>
      <c r="F80" s="14">
        <f ca="1">CONTROLE_ESTOQUE!$D80 - CONTROLE_ESTOQUE!$E80</f>
        <v>253</v>
      </c>
      <c r="G80" s="14" t="str">
        <f ca="1">IF(CONTROLE_ESTOQUE!$F80 &lt; CONTROLE_ESTOQUE!$C80, "COMPRAR URGENTE", "Estoque OK")</f>
        <v>Estoque OK</v>
      </c>
      <c r="K80"/>
    </row>
    <row r="81" spans="1:11" x14ac:dyDescent="0.3">
      <c r="A81" s="9" t="s">
        <v>305</v>
      </c>
      <c r="B81" s="9" t="str">
        <f>_xlfn.XLOOKUP(Tabela_Controle_Estoque[[#This Row],[ID_Produto]],Tabela_Produtos[ID_Produto],Tabela_Produtos[Descricao_Produto],"N/A")</f>
        <v>Quadro de Avisos Cortica</v>
      </c>
      <c r="C81" s="9">
        <f>_xlfn.XLOOKUP(Tabela_Controle_Estoque[[#This Row],[ID_Produto]],Tabela_Produtos[ID_Produto],Tabela_Produtos[Estoque_Minimo],"N/A")</f>
        <v>6</v>
      </c>
      <c r="D81" s="9">
        <f ca="1">SUMIFS(Tabela_Movimentacao_Geral[Quantidade],Tabela_Movimentacao_Geral[ID Produto],CONTROLE_ESTOQUE!$A81,Tabela_Movimentacao_Geral[Tipo Fluxo], "Entrada")</f>
        <v>240</v>
      </c>
      <c r="E81" s="9">
        <f ca="1">SUMIFS(Tabela_Movimentacao_Geral[Quantidade], Tabela_Movimentacao_Geral[ID Produto],CONTROLE_ESTOQUE!$A81,Tabela_Movimentacao_Geral[Tipo Fluxo], "Saida")</f>
        <v>171</v>
      </c>
      <c r="F81" s="9">
        <f ca="1">CONTROLE_ESTOQUE!$D81 - CONTROLE_ESTOQUE!$E81</f>
        <v>69</v>
      </c>
      <c r="G81" s="9" t="str">
        <f ca="1">IF(CONTROLE_ESTOQUE!$F81 &lt; CONTROLE_ESTOQUE!$C81, "COMPRAR URGENTE", "Estoque OK")</f>
        <v>Estoque OK</v>
      </c>
      <c r="K81"/>
    </row>
    <row r="82" spans="1:11" x14ac:dyDescent="0.3">
      <c r="A82" s="14" t="s">
        <v>307</v>
      </c>
      <c r="B82" s="14" t="str">
        <f>_xlfn.XLOOKUP(Tabela_Controle_Estoque[[#This Row],[ID_Produto]],Tabela_Produtos[ID_Produto],Tabela_Produtos[Descricao_Produto],"N/A")</f>
        <v>Servidor Rack 1U</v>
      </c>
      <c r="C82" s="14">
        <f>_xlfn.XLOOKUP(Tabela_Controle_Estoque[[#This Row],[ID_Produto]],Tabela_Produtos[ID_Produto],Tabela_Produtos[Estoque_Minimo],"N/A")</f>
        <v>2</v>
      </c>
      <c r="D82" s="14">
        <f ca="1">SUMIFS(Tabela_Movimentacao_Geral[Quantidade],Tabela_Movimentacao_Geral[ID Produto],CONTROLE_ESTOQUE!$A82,Tabela_Movimentacao_Geral[Tipo Fluxo], "Entrada")</f>
        <v>119</v>
      </c>
      <c r="E82" s="14">
        <f ca="1">SUMIFS(Tabela_Movimentacao_Geral[Quantidade], Tabela_Movimentacao_Geral[ID Produto],CONTROLE_ESTOQUE!$A82,Tabela_Movimentacao_Geral[Tipo Fluxo], "Saida")</f>
        <v>42</v>
      </c>
      <c r="F82" s="14">
        <f ca="1">CONTROLE_ESTOQUE!$D82 - CONTROLE_ESTOQUE!$E82</f>
        <v>77</v>
      </c>
      <c r="G82" s="14" t="str">
        <f ca="1">IF(CONTROLE_ESTOQUE!$F82 &lt; CONTROLE_ESTOQUE!$C82, "COMPRAR URGENTE", "Estoque OK")</f>
        <v>Estoque OK</v>
      </c>
      <c r="K82"/>
    </row>
    <row r="83" spans="1:11" x14ac:dyDescent="0.3">
      <c r="A83" s="9" t="s">
        <v>309</v>
      </c>
      <c r="B83" s="9" t="str">
        <f>_xlfn.XLOOKUP(Tabela_Controle_Estoque[[#This Row],[ID_Produto]],Tabela_Produtos[ID_Produto],Tabela_Produtos[Descricao_Produto],"N/A")</f>
        <v>HD SAS 600GB 15K</v>
      </c>
      <c r="C83" s="9">
        <f>_xlfn.XLOOKUP(Tabela_Controle_Estoque[[#This Row],[ID_Produto]],Tabela_Produtos[ID_Produto],Tabela_Produtos[Estoque_Minimo],"N/A")</f>
        <v>10</v>
      </c>
      <c r="D83" s="9">
        <f ca="1">SUMIFS(Tabela_Movimentacao_Geral[Quantidade],Tabela_Movimentacao_Geral[ID Produto],CONTROLE_ESTOQUE!$A83,Tabela_Movimentacao_Geral[Tipo Fluxo], "Entrada")</f>
        <v>144</v>
      </c>
      <c r="E83" s="9">
        <f ca="1">SUMIFS(Tabela_Movimentacao_Geral[Quantidade], Tabela_Movimentacao_Geral[ID Produto],CONTROLE_ESTOQUE!$A83,Tabela_Movimentacao_Geral[Tipo Fluxo], "Saida")</f>
        <v>123</v>
      </c>
      <c r="F83" s="9">
        <f ca="1">CONTROLE_ESTOQUE!$D83 - CONTROLE_ESTOQUE!$E83</f>
        <v>21</v>
      </c>
      <c r="G83" s="9" t="str">
        <f ca="1">IF(CONTROLE_ESTOQUE!$F83 &lt; CONTROLE_ESTOQUE!$C83, "COMPRAR URGENTE", "Estoque OK")</f>
        <v>Estoque OK</v>
      </c>
      <c r="K83"/>
    </row>
    <row r="84" spans="1:11" x14ac:dyDescent="0.3">
      <c r="A84" s="14" t="s">
        <v>311</v>
      </c>
      <c r="B84" s="14" t="str">
        <f>_xlfn.XLOOKUP(Tabela_Controle_Estoque[[#This Row],[ID_Produto]],Tabela_Produtos[ID_Produto],Tabela_Produtos[Descricao_Produto],"N/A")</f>
        <v>Memoria Server 32GB ECC</v>
      </c>
      <c r="C84" s="14">
        <f>_xlfn.XLOOKUP(Tabela_Controle_Estoque[[#This Row],[ID_Produto]],Tabela_Produtos[ID_Produto],Tabela_Produtos[Estoque_Minimo],"N/A")</f>
        <v>8</v>
      </c>
      <c r="D84" s="14">
        <f ca="1">SUMIFS(Tabela_Movimentacao_Geral[Quantidade],Tabela_Movimentacao_Geral[ID Produto],CONTROLE_ESTOQUE!$A84,Tabela_Movimentacao_Geral[Tipo Fluxo], "Entrada")</f>
        <v>197</v>
      </c>
      <c r="E84" s="14">
        <f ca="1">SUMIFS(Tabela_Movimentacao_Geral[Quantidade], Tabela_Movimentacao_Geral[ID Produto],CONTROLE_ESTOQUE!$A84,Tabela_Movimentacao_Geral[Tipo Fluxo], "Saida")</f>
        <v>85</v>
      </c>
      <c r="F84" s="14">
        <f ca="1">CONTROLE_ESTOQUE!$D84 - CONTROLE_ESTOQUE!$E84</f>
        <v>112</v>
      </c>
      <c r="G84" s="14" t="str">
        <f ca="1">IF(CONTROLE_ESTOQUE!$F84 &lt; CONTROLE_ESTOQUE!$C84, "COMPRAR URGENTE", "Estoque OK")</f>
        <v>Estoque OK</v>
      </c>
      <c r="K84"/>
    </row>
    <row r="85" spans="1:11" x14ac:dyDescent="0.3">
      <c r="A85" s="9" t="s">
        <v>313</v>
      </c>
      <c r="B85" s="9" t="str">
        <f>_xlfn.XLOOKUP(Tabela_Controle_Estoque[[#This Row],[ID_Produto]],Tabela_Produtos[ID_Produto],Tabela_Produtos[Descricao_Produto],"N/A")</f>
        <v>Placa de Rede Fibra 10G</v>
      </c>
      <c r="C85" s="9">
        <f>_xlfn.XLOOKUP(Tabela_Controle_Estoque[[#This Row],[ID_Produto]],Tabela_Produtos[ID_Produto],Tabela_Produtos[Estoque_Minimo],"N/A")</f>
        <v>5</v>
      </c>
      <c r="D85" s="9">
        <f ca="1">SUMIFS(Tabela_Movimentacao_Geral[Quantidade],Tabela_Movimentacao_Geral[ID Produto],CONTROLE_ESTOQUE!$A85,Tabela_Movimentacao_Geral[Tipo Fluxo], "Entrada")</f>
        <v>69</v>
      </c>
      <c r="E85" s="9">
        <f ca="1">SUMIFS(Tabela_Movimentacao_Geral[Quantidade], Tabela_Movimentacao_Geral[ID Produto],CONTROLE_ESTOQUE!$A85,Tabela_Movimentacao_Geral[Tipo Fluxo], "Saida")</f>
        <v>66</v>
      </c>
      <c r="F85" s="9">
        <f ca="1">CONTROLE_ESTOQUE!$D85 - CONTROLE_ESTOQUE!$E85</f>
        <v>3</v>
      </c>
      <c r="G85" s="9" t="str">
        <f ca="1">IF(CONTROLE_ESTOQUE!$F85 &lt; CONTROLE_ESTOQUE!$C85, "COMPRAR URGENTE", "Estoque OK")</f>
        <v>COMPRAR URGENTE</v>
      </c>
      <c r="K85"/>
    </row>
    <row r="86" spans="1:11" x14ac:dyDescent="0.3">
      <c r="A86" s="14" t="s">
        <v>315</v>
      </c>
      <c r="B86" s="14" t="str">
        <f>_xlfn.XLOOKUP(Tabela_Controle_Estoque[[#This Row],[ID_Produto]],Tabela_Produtos[ID_Produto],Tabela_Produtos[Descricao_Produto],"N/A")</f>
        <v>Cabo Optico Patch Cord 3m</v>
      </c>
      <c r="C86" s="14">
        <f>_xlfn.XLOOKUP(Tabela_Controle_Estoque[[#This Row],[ID_Produto]],Tabela_Produtos[ID_Produto],Tabela_Produtos[Estoque_Minimo],"N/A")</f>
        <v>30</v>
      </c>
      <c r="D86" s="14">
        <f ca="1">SUMIFS(Tabela_Movimentacao_Geral[Quantidade],Tabela_Movimentacao_Geral[ID Produto],CONTROLE_ESTOQUE!$A86,Tabela_Movimentacao_Geral[Tipo Fluxo], "Entrada")</f>
        <v>187</v>
      </c>
      <c r="E86" s="14">
        <f ca="1">SUMIFS(Tabela_Movimentacao_Geral[Quantidade], Tabela_Movimentacao_Geral[ID Produto],CONTROLE_ESTOQUE!$A86,Tabela_Movimentacao_Geral[Tipo Fluxo], "Saida")</f>
        <v>144</v>
      </c>
      <c r="F86" s="14">
        <f ca="1">CONTROLE_ESTOQUE!$D86 - CONTROLE_ESTOQUE!$E86</f>
        <v>43</v>
      </c>
      <c r="G86" s="14" t="str">
        <f ca="1">IF(CONTROLE_ESTOQUE!$F86 &lt; CONTROLE_ESTOQUE!$C86, "COMPRAR URGENTE", "Estoque OK")</f>
        <v>Estoque OK</v>
      </c>
      <c r="K86"/>
    </row>
    <row r="87" spans="1:11" x14ac:dyDescent="0.3">
      <c r="A87" s="9" t="s">
        <v>317</v>
      </c>
      <c r="B87" s="9" t="str">
        <f>_xlfn.XLOOKUP(Tabela_Controle_Estoque[[#This Row],[ID_Produto]],Tabela_Produtos[ID_Produto],Tabela_Produtos[Descricao_Produto],"N/A")</f>
        <v>Transceiver SFP+ 10G</v>
      </c>
      <c r="C87" s="9">
        <f>_xlfn.XLOOKUP(Tabela_Controle_Estoque[[#This Row],[ID_Produto]],Tabela_Produtos[ID_Produto],Tabela_Produtos[Estoque_Minimo],"N/A")</f>
        <v>20</v>
      </c>
      <c r="D87" s="9">
        <f ca="1">SUMIFS(Tabela_Movimentacao_Geral[Quantidade],Tabela_Movimentacao_Geral[ID Produto],CONTROLE_ESTOQUE!$A87,Tabela_Movimentacao_Geral[Tipo Fluxo], "Entrada")</f>
        <v>184</v>
      </c>
      <c r="E87" s="9">
        <f ca="1">SUMIFS(Tabela_Movimentacao_Geral[Quantidade], Tabela_Movimentacao_Geral[ID Produto],CONTROLE_ESTOQUE!$A87,Tabela_Movimentacao_Geral[Tipo Fluxo], "Saida")</f>
        <v>23</v>
      </c>
      <c r="F87" s="9">
        <f ca="1">CONTROLE_ESTOQUE!$D87 - CONTROLE_ESTOQUE!$E87</f>
        <v>161</v>
      </c>
      <c r="G87" s="9" t="str">
        <f ca="1">IF(CONTROLE_ESTOQUE!$F87 &lt; CONTROLE_ESTOQUE!$C87, "COMPRAR URGENTE", "Estoque OK")</f>
        <v>Estoque OK</v>
      </c>
      <c r="K87"/>
    </row>
    <row r="88" spans="1:11" x14ac:dyDescent="0.3">
      <c r="A88" s="14" t="s">
        <v>319</v>
      </c>
      <c r="B88" s="14" t="str">
        <f>_xlfn.XLOOKUP(Tabela_Controle_Estoque[[#This Row],[ID_Produto]],Tabela_Produtos[ID_Produto],Tabela_Produtos[Descricao_Produto],"N/A")</f>
        <v>Patch Panel 24 Portas</v>
      </c>
      <c r="C88" s="14">
        <f>_xlfn.XLOOKUP(Tabela_Controle_Estoque[[#This Row],[ID_Produto]],Tabela_Produtos[ID_Produto],Tabela_Produtos[Estoque_Minimo],"N/A")</f>
        <v>10</v>
      </c>
      <c r="D88" s="14">
        <f ca="1">SUMIFS(Tabela_Movimentacao_Geral[Quantidade],Tabela_Movimentacao_Geral[ID Produto],CONTROLE_ESTOQUE!$A88,Tabela_Movimentacao_Geral[Tipo Fluxo], "Entrada")</f>
        <v>13</v>
      </c>
      <c r="E88" s="14">
        <f ca="1">SUMIFS(Tabela_Movimentacao_Geral[Quantidade], Tabela_Movimentacao_Geral[ID Produto],CONTROLE_ESTOQUE!$A88,Tabela_Movimentacao_Geral[Tipo Fluxo], "Saida")</f>
        <v>12</v>
      </c>
      <c r="F88" s="14">
        <f ca="1">CONTROLE_ESTOQUE!$D88 - CONTROLE_ESTOQUE!$E88</f>
        <v>1</v>
      </c>
      <c r="G88" s="14" t="str">
        <f ca="1">IF(CONTROLE_ESTOQUE!$F88 &lt; CONTROLE_ESTOQUE!$C88, "COMPRAR URGENTE", "Estoque OK")</f>
        <v>COMPRAR URGENTE</v>
      </c>
      <c r="K88"/>
    </row>
    <row r="89" spans="1:11" x14ac:dyDescent="0.3">
      <c r="A89" s="9" t="s">
        <v>321</v>
      </c>
      <c r="B89" s="9" t="str">
        <f>_xlfn.XLOOKUP(Tabela_Controle_Estoque[[#This Row],[ID_Produto]],Tabela_Produtos[ID_Produto],Tabela_Produtos[Descricao_Produto],"N/A")</f>
        <v>Guia de Cabos Horizontal</v>
      </c>
      <c r="C89" s="9">
        <f>_xlfn.XLOOKUP(Tabela_Controle_Estoque[[#This Row],[ID_Produto]],Tabela_Produtos[ID_Produto],Tabela_Produtos[Estoque_Minimo],"N/A")</f>
        <v>15</v>
      </c>
      <c r="D89" s="9">
        <f ca="1">SUMIFS(Tabela_Movimentacao_Geral[Quantidade],Tabela_Movimentacao_Geral[ID Produto],CONTROLE_ESTOQUE!$A89,Tabela_Movimentacao_Geral[Tipo Fluxo], "Entrada")</f>
        <v>90</v>
      </c>
      <c r="E89" s="9">
        <f ca="1">SUMIFS(Tabela_Movimentacao_Geral[Quantidade], Tabela_Movimentacao_Geral[ID Produto],CONTROLE_ESTOQUE!$A89,Tabela_Movimentacao_Geral[Tipo Fluxo], "Saida")</f>
        <v>64</v>
      </c>
      <c r="F89" s="9">
        <f ca="1">CONTROLE_ESTOQUE!$D89 - CONTROLE_ESTOQUE!$E89</f>
        <v>26</v>
      </c>
      <c r="G89" s="9" t="str">
        <f ca="1">IF(CONTROLE_ESTOQUE!$F89 &lt; CONTROLE_ESTOQUE!$C89, "COMPRAR URGENTE", "Estoque OK")</f>
        <v>Estoque OK</v>
      </c>
      <c r="K89"/>
    </row>
    <row r="90" spans="1:11" x14ac:dyDescent="0.3">
      <c r="A90" s="14" t="s">
        <v>323</v>
      </c>
      <c r="B90" s="14" t="str">
        <f>_xlfn.XLOOKUP(Tabela_Controle_Estoque[[#This Row],[ID_Produto]],Tabela_Produtos[ID_Produto],Tabela_Produtos[Descricao_Produto],"N/A")</f>
        <v>Rack de Parede 9U</v>
      </c>
      <c r="C90" s="14">
        <f>_xlfn.XLOOKUP(Tabela_Controle_Estoque[[#This Row],[ID_Produto]],Tabela_Produtos[ID_Produto],Tabela_Produtos[Estoque_Minimo],"N/A")</f>
        <v>4</v>
      </c>
      <c r="D90" s="14">
        <f ca="1">SUMIFS(Tabela_Movimentacao_Geral[Quantidade],Tabela_Movimentacao_Geral[ID Produto],CONTROLE_ESTOQUE!$A90,Tabela_Movimentacao_Geral[Tipo Fluxo], "Entrada")</f>
        <v>119</v>
      </c>
      <c r="E90" s="14">
        <f ca="1">SUMIFS(Tabela_Movimentacao_Geral[Quantidade], Tabela_Movimentacao_Geral[ID Produto],CONTROLE_ESTOQUE!$A90,Tabela_Movimentacao_Geral[Tipo Fluxo], "Saida")</f>
        <v>72</v>
      </c>
      <c r="F90" s="14">
        <f ca="1">CONTROLE_ESTOQUE!$D90 - CONTROLE_ESTOQUE!$E90</f>
        <v>47</v>
      </c>
      <c r="G90" s="14" t="str">
        <f ca="1">IF(CONTROLE_ESTOQUE!$F90 &lt; CONTROLE_ESTOQUE!$C90, "COMPRAR URGENTE", "Estoque OK")</f>
        <v>Estoque OK</v>
      </c>
      <c r="K90"/>
    </row>
    <row r="91" spans="1:11" x14ac:dyDescent="0.3">
      <c r="A91" s="9" t="s">
        <v>325</v>
      </c>
      <c r="B91" s="9" t="str">
        <f>_xlfn.XLOOKUP(Tabela_Controle_Estoque[[#This Row],[ID_Produto]],Tabela_Produtos[ID_Produto],Tabela_Produtos[Descricao_Produto],"N/A")</f>
        <v>Bandeja Fixa para Rack</v>
      </c>
      <c r="C91" s="9">
        <f>_xlfn.XLOOKUP(Tabela_Controle_Estoque[[#This Row],[ID_Produto]],Tabela_Produtos[ID_Produto],Tabela_Produtos[Estoque_Minimo],"N/A")</f>
        <v>10</v>
      </c>
      <c r="D91" s="9">
        <f ca="1">SUMIFS(Tabela_Movimentacao_Geral[Quantidade],Tabela_Movimentacao_Geral[ID Produto],CONTROLE_ESTOQUE!$A91,Tabela_Movimentacao_Geral[Tipo Fluxo], "Entrada")</f>
        <v>240</v>
      </c>
      <c r="E91" s="9">
        <f ca="1">SUMIFS(Tabela_Movimentacao_Geral[Quantidade], Tabela_Movimentacao_Geral[ID Produto],CONTROLE_ESTOQUE!$A91,Tabela_Movimentacao_Geral[Tipo Fluxo], "Saida")</f>
        <v>79</v>
      </c>
      <c r="F91" s="9">
        <f ca="1">CONTROLE_ESTOQUE!$D91 - CONTROLE_ESTOQUE!$E91</f>
        <v>161</v>
      </c>
      <c r="G91" s="9" t="str">
        <f ca="1">IF(CONTROLE_ESTOQUE!$F91 &lt; CONTROLE_ESTOQUE!$C91, "COMPRAR URGENTE", "Estoque OK")</f>
        <v>Estoque OK</v>
      </c>
      <c r="K91"/>
    </row>
    <row r="92" spans="1:11" x14ac:dyDescent="0.3">
      <c r="A92" s="14" t="s">
        <v>327</v>
      </c>
      <c r="B92" s="14" t="str">
        <f>_xlfn.XLOOKUP(Tabela_Controle_Estoque[[#This Row],[ID_Produto]],Tabela_Produtos[ID_Produto],Tabela_Produtos[Descricao_Produto],"N/A")</f>
        <v>Unidade LTO-8 Backup</v>
      </c>
      <c r="C92" s="14">
        <f>_xlfn.XLOOKUP(Tabela_Controle_Estoque[[#This Row],[ID_Produto]],Tabela_Produtos[ID_Produto],Tabela_Produtos[Estoque_Minimo],"N/A")</f>
        <v>1</v>
      </c>
      <c r="D92" s="14">
        <f ca="1">SUMIFS(Tabela_Movimentacao_Geral[Quantidade],Tabela_Movimentacao_Geral[ID Produto],CONTROLE_ESTOQUE!$A92,Tabela_Movimentacao_Geral[Tipo Fluxo], "Entrada")</f>
        <v>146</v>
      </c>
      <c r="E92" s="14">
        <f ca="1">SUMIFS(Tabela_Movimentacao_Geral[Quantidade], Tabela_Movimentacao_Geral[ID Produto],CONTROLE_ESTOQUE!$A92,Tabela_Movimentacao_Geral[Tipo Fluxo], "Saida")</f>
        <v>12</v>
      </c>
      <c r="F92" s="14">
        <f ca="1">CONTROLE_ESTOQUE!$D92 - CONTROLE_ESTOQUE!$E92</f>
        <v>134</v>
      </c>
      <c r="G92" s="14" t="str">
        <f ca="1">IF(CONTROLE_ESTOQUE!$F92 &lt; CONTROLE_ESTOQUE!$C92, "COMPRAR URGENTE", "Estoque OK")</f>
        <v>Estoque OK</v>
      </c>
      <c r="K92"/>
    </row>
    <row r="93" spans="1:11" x14ac:dyDescent="0.3">
      <c r="A93" s="9" t="s">
        <v>329</v>
      </c>
      <c r="B93" s="9" t="str">
        <f>_xlfn.XLOOKUP(Tabela_Controle_Estoque[[#This Row],[ID_Produto]],Tabela_Produtos[ID_Produto],Tabela_Produtos[Descricao_Produto],"N/A")</f>
        <v>Fita LTO-8 Ultrium</v>
      </c>
      <c r="C93" s="9">
        <f>_xlfn.XLOOKUP(Tabela_Controle_Estoque[[#This Row],[ID_Produto]],Tabela_Produtos[ID_Produto],Tabela_Produtos[Estoque_Minimo],"N/A")</f>
        <v>20</v>
      </c>
      <c r="D93" s="9">
        <f ca="1">SUMIFS(Tabela_Movimentacao_Geral[Quantidade],Tabela_Movimentacao_Geral[ID Produto],CONTROLE_ESTOQUE!$A93,Tabela_Movimentacao_Geral[Tipo Fluxo], "Entrada")</f>
        <v>223</v>
      </c>
      <c r="E93" s="9">
        <f ca="1">SUMIFS(Tabela_Movimentacao_Geral[Quantidade], Tabela_Movimentacao_Geral[ID Produto],CONTROLE_ESTOQUE!$A93,Tabela_Movimentacao_Geral[Tipo Fluxo], "Saida")</f>
        <v>197</v>
      </c>
      <c r="F93" s="9">
        <f ca="1">CONTROLE_ESTOQUE!$D93 - CONTROLE_ESTOQUE!$E93</f>
        <v>26</v>
      </c>
      <c r="G93" s="9" t="str">
        <f ca="1">IF(CONTROLE_ESTOQUE!$F93 &lt; CONTROLE_ESTOQUE!$C93, "COMPRAR URGENTE", "Estoque OK")</f>
        <v>Estoque OK</v>
      </c>
      <c r="K93"/>
    </row>
    <row r="94" spans="1:11" x14ac:dyDescent="0.3">
      <c r="A94" s="14" t="s">
        <v>331</v>
      </c>
      <c r="B94" s="14" t="str">
        <f>_xlfn.XLOOKUP(Tabela_Controle_Estoque[[#This Row],[ID_Produto]],Tabela_Produtos[ID_Produto],Tabela_Produtos[Descricao_Produto],"N/A")</f>
        <v>KVM Switch 4 Portas</v>
      </c>
      <c r="C94" s="14">
        <f>_xlfn.XLOOKUP(Tabela_Controle_Estoque[[#This Row],[ID_Produto]],Tabela_Produtos[ID_Produto],Tabela_Produtos[Estoque_Minimo],"N/A")</f>
        <v>3</v>
      </c>
      <c r="D94" s="14">
        <f ca="1">SUMIFS(Tabela_Movimentacao_Geral[Quantidade],Tabela_Movimentacao_Geral[ID Produto],CONTROLE_ESTOQUE!$A94,Tabela_Movimentacao_Geral[Tipo Fluxo], "Entrada")</f>
        <v>82</v>
      </c>
      <c r="E94" s="14">
        <f ca="1">SUMIFS(Tabela_Movimentacao_Geral[Quantidade], Tabela_Movimentacao_Geral[ID Produto],CONTROLE_ESTOQUE!$A94,Tabela_Movimentacao_Geral[Tipo Fluxo], "Saida")</f>
        <v>48</v>
      </c>
      <c r="F94" s="14">
        <f ca="1">CONTROLE_ESTOQUE!$D94 - CONTROLE_ESTOQUE!$E94</f>
        <v>34</v>
      </c>
      <c r="G94" s="14" t="str">
        <f ca="1">IF(CONTROLE_ESTOQUE!$F94 &lt; CONTROLE_ESTOQUE!$C94, "COMPRAR URGENTE", "Estoque OK")</f>
        <v>Estoque OK</v>
      </c>
      <c r="K94"/>
    </row>
    <row r="95" spans="1:11" x14ac:dyDescent="0.3">
      <c r="A95" s="9" t="s">
        <v>333</v>
      </c>
      <c r="B95" s="9" t="str">
        <f>_xlfn.XLOOKUP(Tabela_Controle_Estoque[[#This Row],[ID_Produto]],Tabela_Produtos[ID_Produto],Tabela_Produtos[Descricao_Produto],"N/A")</f>
        <v>Exaustor para Rack</v>
      </c>
      <c r="C95" s="9">
        <f>_xlfn.XLOOKUP(Tabela_Controle_Estoque[[#This Row],[ID_Produto]],Tabela_Produtos[ID_Produto],Tabela_Produtos[Estoque_Minimo],"N/A")</f>
        <v>8</v>
      </c>
      <c r="D95" s="9">
        <f ca="1">SUMIFS(Tabela_Movimentacao_Geral[Quantidade],Tabela_Movimentacao_Geral[ID Produto],CONTROLE_ESTOQUE!$A95,Tabela_Movimentacao_Geral[Tipo Fluxo], "Entrada")</f>
        <v>224</v>
      </c>
      <c r="E95" s="9">
        <f ca="1">SUMIFS(Tabela_Movimentacao_Geral[Quantidade], Tabela_Movimentacao_Geral[ID Produto],CONTROLE_ESTOQUE!$A95,Tabela_Movimentacao_Geral[Tipo Fluxo], "Saida")</f>
        <v>2</v>
      </c>
      <c r="F95" s="9">
        <f ca="1">CONTROLE_ESTOQUE!$D95 - CONTROLE_ESTOQUE!$E95</f>
        <v>222</v>
      </c>
      <c r="G95" s="9" t="str">
        <f ca="1">IF(CONTROLE_ESTOQUE!$F95 &lt; CONTROLE_ESTOQUE!$C95, "COMPRAR URGENTE", "Estoque OK")</f>
        <v>Estoque OK</v>
      </c>
      <c r="K95"/>
    </row>
    <row r="96" spans="1:11" x14ac:dyDescent="0.3">
      <c r="A96" s="14" t="s">
        <v>335</v>
      </c>
      <c r="B96" s="14" t="str">
        <f>_xlfn.XLOOKUP(Tabela_Controle_Estoque[[#This Row],[ID_Produto]],Tabela_Produtos[ID_Produto],Tabela_Produtos[Descricao_Produto],"N/A")</f>
        <v>Controladora RAID PCIe</v>
      </c>
      <c r="C96" s="14">
        <f>_xlfn.XLOOKUP(Tabela_Controle_Estoque[[#This Row],[ID_Produto]],Tabela_Produtos[ID_Produto],Tabela_Produtos[Estoque_Minimo],"N/A")</f>
        <v>4</v>
      </c>
      <c r="D96" s="14">
        <f ca="1">SUMIFS(Tabela_Movimentacao_Geral[Quantidade],Tabela_Movimentacao_Geral[ID Produto],CONTROLE_ESTOQUE!$A96,Tabela_Movimentacao_Geral[Tipo Fluxo], "Entrada")</f>
        <v>197</v>
      </c>
      <c r="E96" s="14">
        <f ca="1">SUMIFS(Tabela_Movimentacao_Geral[Quantidade], Tabela_Movimentacao_Geral[ID Produto],CONTROLE_ESTOQUE!$A96,Tabela_Movimentacao_Geral[Tipo Fluxo], "Saida")</f>
        <v>186</v>
      </c>
      <c r="F96" s="14">
        <f ca="1">CONTROLE_ESTOQUE!$D96 - CONTROLE_ESTOQUE!$E96</f>
        <v>11</v>
      </c>
      <c r="G96" s="14" t="str">
        <f ca="1">IF(CONTROLE_ESTOQUE!$F96 &lt; CONTROLE_ESTOQUE!$C96, "COMPRAR URGENTE", "Estoque OK")</f>
        <v>Estoque OK</v>
      </c>
      <c r="K96"/>
    </row>
    <row r="97" spans="1:11" x14ac:dyDescent="0.3">
      <c r="A97" s="9" t="s">
        <v>337</v>
      </c>
      <c r="B97" s="9" t="str">
        <f>_xlfn.XLOOKUP(Tabela_Controle_Estoque[[#This Row],[ID_Produto]],Tabela_Produtos[ID_Produto],Tabela_Produtos[Descricao_Produto],"N/A")</f>
        <v>Sensor de Temperatura IP</v>
      </c>
      <c r="C97" s="9">
        <f>_xlfn.XLOOKUP(Tabela_Controle_Estoque[[#This Row],[ID_Produto]],Tabela_Produtos[ID_Produto],Tabela_Produtos[Estoque_Minimo],"N/A")</f>
        <v>6</v>
      </c>
      <c r="D97" s="9">
        <f ca="1">SUMIFS(Tabela_Movimentacao_Geral[Quantidade],Tabela_Movimentacao_Geral[ID Produto],CONTROLE_ESTOQUE!$A97,Tabela_Movimentacao_Geral[Tipo Fluxo], "Entrada")</f>
        <v>76</v>
      </c>
      <c r="E97" s="9">
        <f ca="1">SUMIFS(Tabela_Movimentacao_Geral[Quantidade], Tabela_Movimentacao_Geral[ID Produto],CONTROLE_ESTOQUE!$A97,Tabela_Movimentacao_Geral[Tipo Fluxo], "Saida")</f>
        <v>60</v>
      </c>
      <c r="F97" s="9">
        <f ca="1">CONTROLE_ESTOQUE!$D97 - CONTROLE_ESTOQUE!$E97</f>
        <v>16</v>
      </c>
      <c r="G97" s="9" t="str">
        <f ca="1">IF(CONTROLE_ESTOQUE!$F97 &lt; CONTROLE_ESTOQUE!$C97, "COMPRAR URGENTE", "Estoque OK")</f>
        <v>Estoque OK</v>
      </c>
      <c r="K97"/>
    </row>
    <row r="98" spans="1:11" x14ac:dyDescent="0.3">
      <c r="A98" s="14" t="s">
        <v>339</v>
      </c>
      <c r="B98" s="14" t="str">
        <f>_xlfn.XLOOKUP(Tabela_Controle_Estoque[[#This Row],[ID_Produto]],Tabela_Produtos[ID_Produto],Tabela_Produtos[Descricao_Produto],"N/A")</f>
        <v>Câmera IP PoE Dome</v>
      </c>
      <c r="C98" s="14">
        <f>_xlfn.XLOOKUP(Tabela_Controle_Estoque[[#This Row],[ID_Produto]],Tabela_Produtos[ID_Produto],Tabela_Produtos[Estoque_Minimo],"N/A")</f>
        <v>15</v>
      </c>
      <c r="D98" s="14">
        <f ca="1">SUMIFS(Tabela_Movimentacao_Geral[Quantidade],Tabela_Movimentacao_Geral[ID Produto],CONTROLE_ESTOQUE!$A98,Tabela_Movimentacao_Geral[Tipo Fluxo], "Entrada")</f>
        <v>29</v>
      </c>
      <c r="E98" s="14">
        <f ca="1">SUMIFS(Tabela_Movimentacao_Geral[Quantidade], Tabela_Movimentacao_Geral[ID Produto],CONTROLE_ESTOQUE!$A98,Tabela_Movimentacao_Geral[Tipo Fluxo], "Saida")</f>
        <v>0</v>
      </c>
      <c r="F98" s="14">
        <f ca="1">CONTROLE_ESTOQUE!$D98 - CONTROLE_ESTOQUE!$E98</f>
        <v>29</v>
      </c>
      <c r="G98" s="14" t="str">
        <f ca="1">IF(CONTROLE_ESTOQUE!$F98 &lt; CONTROLE_ESTOQUE!$C98, "COMPRAR URGENTE", "Estoque OK")</f>
        <v>Estoque OK</v>
      </c>
      <c r="K98"/>
    </row>
    <row r="99" spans="1:11" x14ac:dyDescent="0.3">
      <c r="A99" s="9" t="s">
        <v>341</v>
      </c>
      <c r="B99" s="9" t="str">
        <f>_xlfn.XLOOKUP(Tabela_Controle_Estoque[[#This Row],[ID_Produto]],Tabela_Produtos[ID_Produto],Tabela_Produtos[Descricao_Produto],"N/A")</f>
        <v>Gravador NVR 8 Canais</v>
      </c>
      <c r="C99" s="9">
        <f>_xlfn.XLOOKUP(Tabela_Controle_Estoque[[#This Row],[ID_Produto]],Tabela_Produtos[ID_Produto],Tabela_Produtos[Estoque_Minimo],"N/A")</f>
        <v>4</v>
      </c>
      <c r="D99" s="9">
        <f ca="1">SUMIFS(Tabela_Movimentacao_Geral[Quantidade],Tabela_Movimentacao_Geral[ID Produto],CONTROLE_ESTOQUE!$A99,Tabela_Movimentacao_Geral[Tipo Fluxo], "Entrada")</f>
        <v>135</v>
      </c>
      <c r="E99" s="9">
        <f ca="1">SUMIFS(Tabela_Movimentacao_Geral[Quantidade], Tabela_Movimentacao_Geral[ID Produto],CONTROLE_ESTOQUE!$A99,Tabela_Movimentacao_Geral[Tipo Fluxo], "Saida")</f>
        <v>125</v>
      </c>
      <c r="F99" s="9">
        <f ca="1">CONTROLE_ESTOQUE!$D99 - CONTROLE_ESTOQUE!$E99</f>
        <v>10</v>
      </c>
      <c r="G99" s="9" t="str">
        <f ca="1">IF(CONTROLE_ESTOQUE!$F99 &lt; CONTROLE_ESTOQUE!$C99, "COMPRAR URGENTE", "Estoque OK")</f>
        <v>Estoque OK</v>
      </c>
      <c r="K99"/>
    </row>
    <row r="100" spans="1:11" x14ac:dyDescent="0.3">
      <c r="A100" s="14" t="s">
        <v>343</v>
      </c>
      <c r="B100" s="14" t="str">
        <f>_xlfn.XLOOKUP(Tabela_Controle_Estoque[[#This Row],[ID_Produto]],Tabela_Produtos[ID_Produto],Tabela_Produtos[Descricao_Produto],"N/A")</f>
        <v>HD SkyHawk 4TB (CFTV)</v>
      </c>
      <c r="C100" s="14">
        <f>_xlfn.XLOOKUP(Tabela_Controle_Estoque[[#This Row],[ID_Produto]],Tabela_Produtos[ID_Produto],Tabela_Produtos[Estoque_Minimo],"N/A")</f>
        <v>10</v>
      </c>
      <c r="D100" s="14">
        <f ca="1">SUMIFS(Tabela_Movimentacao_Geral[Quantidade],Tabela_Movimentacao_Geral[ID Produto],CONTROLE_ESTOQUE!$A100,Tabela_Movimentacao_Geral[Tipo Fluxo], "Entrada")</f>
        <v>209</v>
      </c>
      <c r="E100" s="14">
        <f ca="1">SUMIFS(Tabela_Movimentacao_Geral[Quantidade], Tabela_Movimentacao_Geral[ID Produto],CONTROLE_ESTOQUE!$A100,Tabela_Movimentacao_Geral[Tipo Fluxo], "Saida")</f>
        <v>126</v>
      </c>
      <c r="F100" s="14">
        <f ca="1">CONTROLE_ESTOQUE!$D100 - CONTROLE_ESTOQUE!$E100</f>
        <v>83</v>
      </c>
      <c r="G100" s="14" t="str">
        <f ca="1">IF(CONTROLE_ESTOQUE!$F100 &lt; CONTROLE_ESTOQUE!$C100, "COMPRAR URGENTE", "Estoque OK")</f>
        <v>Estoque OK</v>
      </c>
      <c r="K100"/>
    </row>
    <row r="101" spans="1:11" x14ac:dyDescent="0.3">
      <c r="A101" s="9" t="s">
        <v>345</v>
      </c>
      <c r="B101" s="9" t="str">
        <f>_xlfn.XLOOKUP(Tabela_Controle_Estoque[[#This Row],[ID_Produto]],Tabela_Produtos[ID_Produto],Tabela_Produtos[Descricao_Produto],"N/A")</f>
        <v>Injetor PoE Gigabit</v>
      </c>
      <c r="C101" s="9">
        <f>_xlfn.XLOOKUP(Tabela_Controle_Estoque[[#This Row],[ID_Produto]],Tabela_Produtos[ID_Produto],Tabela_Produtos[Estoque_Minimo],"N/A")</f>
        <v>15</v>
      </c>
      <c r="D101" s="9">
        <f ca="1">SUMIFS(Tabela_Movimentacao_Geral[Quantidade],Tabela_Movimentacao_Geral[ID Produto],CONTROLE_ESTOQUE!$A101,Tabela_Movimentacao_Geral[Tipo Fluxo], "Entrada")</f>
        <v>187</v>
      </c>
      <c r="E101" s="9">
        <f ca="1">SUMIFS(Tabela_Movimentacao_Geral[Quantidade], Tabela_Movimentacao_Geral[ID Produto],CONTROLE_ESTOQUE!$A101,Tabela_Movimentacao_Geral[Tipo Fluxo], "Saida")</f>
        <v>0</v>
      </c>
      <c r="F101" s="9">
        <f ca="1">CONTROLE_ESTOQUE!$D101 - CONTROLE_ESTOQUE!$E101</f>
        <v>187</v>
      </c>
      <c r="G101" s="9" t="str">
        <f ca="1">IF(CONTROLE_ESTOQUE!$F101 &lt; CONTROLE_ESTOQUE!$C101, "COMPRAR URGENTE", "Estoque OK")</f>
        <v>Estoque OK</v>
      </c>
      <c r="K101"/>
    </row>
    <row r="102" spans="1:11" x14ac:dyDescent="0.3">
      <c r="A102" s="14" t="s">
        <v>347</v>
      </c>
      <c r="B102" s="14" t="str">
        <f>_xlfn.XLOOKUP(Tabela_Controle_Estoque[[#This Row],[ID_Produto]],Tabela_Produtos[ID_Produto],Tabela_Produtos[Descricao_Produto],"N/A")</f>
        <v>Monitor 27 pol 4K</v>
      </c>
      <c r="C102" s="14">
        <f>_xlfn.XLOOKUP(Tabela_Controle_Estoque[[#This Row],[ID_Produto]],Tabela_Produtos[ID_Produto],Tabela_Produtos[Estoque_Minimo],"N/A")</f>
        <v>6</v>
      </c>
      <c r="D102" s="14">
        <f ca="1">SUMIFS(Tabela_Movimentacao_Geral[Quantidade],Tabela_Movimentacao_Geral[ID Produto],CONTROLE_ESTOQUE!$A102,Tabela_Movimentacao_Geral[Tipo Fluxo], "Entrada")</f>
        <v>73</v>
      </c>
      <c r="E102" s="14">
        <f ca="1">SUMIFS(Tabela_Movimentacao_Geral[Quantidade], Tabela_Movimentacao_Geral[ID Produto],CONTROLE_ESTOQUE!$A102,Tabela_Movimentacao_Geral[Tipo Fluxo], "Saida")</f>
        <v>23</v>
      </c>
      <c r="F102" s="14">
        <f ca="1">CONTROLE_ESTOQUE!$D102 - CONTROLE_ESTOQUE!$E102</f>
        <v>50</v>
      </c>
      <c r="G102" s="14" t="str">
        <f ca="1">IF(CONTROLE_ESTOQUE!$F102 &lt; CONTROLE_ESTOQUE!$C102, "COMPRAR URGENTE", "Estoque OK")</f>
        <v>Estoque OK</v>
      </c>
      <c r="K102"/>
    </row>
    <row r="103" spans="1:11" x14ac:dyDescent="0.3">
      <c r="A103" s="9" t="s">
        <v>349</v>
      </c>
      <c r="B103" s="9" t="str">
        <f>_xlfn.XLOOKUP(Tabela_Controle_Estoque[[#This Row],[ID_Produto]],Tabela_Produtos[ID_Produto],Tabela_Produtos[Descricao_Produto],"N/A")</f>
        <v>Teclado Wireless Logi</v>
      </c>
      <c r="C103" s="9">
        <f>_xlfn.XLOOKUP(Tabela_Controle_Estoque[[#This Row],[ID_Produto]],Tabela_Produtos[ID_Produto],Tabela_Produtos[Estoque_Minimo],"N/A")</f>
        <v>20</v>
      </c>
      <c r="D103" s="9">
        <f ca="1">SUMIFS(Tabela_Movimentacao_Geral[Quantidade],Tabela_Movimentacao_Geral[ID Produto],CONTROLE_ESTOQUE!$A103,Tabela_Movimentacao_Geral[Tipo Fluxo], "Entrada")</f>
        <v>23</v>
      </c>
      <c r="E103" s="9">
        <f ca="1">SUMIFS(Tabela_Movimentacao_Geral[Quantidade], Tabela_Movimentacao_Geral[ID Produto],CONTROLE_ESTOQUE!$A103,Tabela_Movimentacao_Geral[Tipo Fluxo], "Saida")</f>
        <v>17</v>
      </c>
      <c r="F103" s="9">
        <f ca="1">CONTROLE_ESTOQUE!$D103 - CONTROLE_ESTOQUE!$E103</f>
        <v>6</v>
      </c>
      <c r="G103" s="9" t="str">
        <f ca="1">IF(CONTROLE_ESTOQUE!$F103 &lt; CONTROLE_ESTOQUE!$C103, "COMPRAR URGENTE", "Estoque OK")</f>
        <v>COMPRAR URGENTE</v>
      </c>
      <c r="K103"/>
    </row>
    <row r="104" spans="1:11" x14ac:dyDescent="0.3">
      <c r="A104" s="14" t="s">
        <v>351</v>
      </c>
      <c r="B104" s="14" t="str">
        <f>_xlfn.XLOOKUP(Tabela_Controle_Estoque[[#This Row],[ID_Produto]],Tabela_Produtos[ID_Produto],Tabela_Produtos[Descricao_Produto],"N/A")</f>
        <v>Mouse Gamer 12000 DPI</v>
      </c>
      <c r="C104" s="14">
        <f>_xlfn.XLOOKUP(Tabela_Controle_Estoque[[#This Row],[ID_Produto]],Tabela_Produtos[ID_Produto],Tabela_Produtos[Estoque_Minimo],"N/A")</f>
        <v>25</v>
      </c>
      <c r="D104" s="14">
        <f ca="1">SUMIFS(Tabela_Movimentacao_Geral[Quantidade],Tabela_Movimentacao_Geral[ID Produto],CONTROLE_ESTOQUE!$A104,Tabela_Movimentacao_Geral[Tipo Fluxo], "Entrada")</f>
        <v>111</v>
      </c>
      <c r="E104" s="14">
        <f ca="1">SUMIFS(Tabela_Movimentacao_Geral[Quantidade], Tabela_Movimentacao_Geral[ID Produto],CONTROLE_ESTOQUE!$A104,Tabela_Movimentacao_Geral[Tipo Fluxo], "Saida")</f>
        <v>111</v>
      </c>
      <c r="F104" s="14">
        <f ca="1">CONTROLE_ESTOQUE!$D104 - CONTROLE_ESTOQUE!$E104</f>
        <v>0</v>
      </c>
      <c r="G104" s="14" t="str">
        <f ca="1">IF(CONTROLE_ESTOQUE!$F104 &lt; CONTROLE_ESTOQUE!$C104, "COMPRAR URGENTE", "Estoque OK")</f>
        <v>COMPRAR URGENTE</v>
      </c>
      <c r="K104"/>
    </row>
    <row r="105" spans="1:11" x14ac:dyDescent="0.3">
      <c r="A105" s="9" t="s">
        <v>353</v>
      </c>
      <c r="B105" s="9" t="str">
        <f>_xlfn.XLOOKUP(Tabela_Controle_Estoque[[#This Row],[ID_Produto]],Tabela_Produtos[ID_Produto],Tabela_Produtos[Descricao_Produto],"N/A")</f>
        <v>Suporte Notebook Articulado</v>
      </c>
      <c r="C105" s="9">
        <f>_xlfn.XLOOKUP(Tabela_Controle_Estoque[[#This Row],[ID_Produto]],Tabela_Produtos[ID_Produto],Tabela_Produtos[Estoque_Minimo],"N/A")</f>
        <v>15</v>
      </c>
      <c r="D105" s="9">
        <f ca="1">SUMIFS(Tabela_Movimentacao_Geral[Quantidade],Tabela_Movimentacao_Geral[ID Produto],CONTROLE_ESTOQUE!$A105,Tabela_Movimentacao_Geral[Tipo Fluxo], "Entrada")</f>
        <v>187</v>
      </c>
      <c r="E105" s="9">
        <f ca="1">SUMIFS(Tabela_Movimentacao_Geral[Quantidade], Tabela_Movimentacao_Geral[ID Produto],CONTROLE_ESTOQUE!$A105,Tabela_Movimentacao_Geral[Tipo Fluxo], "Saida")</f>
        <v>19</v>
      </c>
      <c r="F105" s="9">
        <f ca="1">CONTROLE_ESTOQUE!$D105 - CONTROLE_ESTOQUE!$E105</f>
        <v>168</v>
      </c>
      <c r="G105" s="9" t="str">
        <f ca="1">IF(CONTROLE_ESTOQUE!$F105 &lt; CONTROLE_ESTOQUE!$C105, "COMPRAR URGENTE", "Estoque OK")</f>
        <v>Estoque OK</v>
      </c>
      <c r="K105"/>
    </row>
    <row r="106" spans="1:11" x14ac:dyDescent="0.3">
      <c r="A106" s="14" t="s">
        <v>355</v>
      </c>
      <c r="B106" s="14" t="str">
        <f>_xlfn.XLOOKUP(Tabela_Controle_Estoque[[#This Row],[ID_Produto]],Tabela_Produtos[ID_Produto],Tabela_Produtos[Descricao_Produto],"N/A")</f>
        <v>Notebook i3 8GB SSD</v>
      </c>
      <c r="C106" s="14">
        <f>_xlfn.XLOOKUP(Tabela_Controle_Estoque[[#This Row],[ID_Produto]],Tabela_Produtos[ID_Produto],Tabela_Produtos[Estoque_Minimo],"N/A")</f>
        <v>10</v>
      </c>
      <c r="D106" s="14">
        <f ca="1">SUMIFS(Tabela_Movimentacao_Geral[Quantidade],Tabela_Movimentacao_Geral[ID Produto],CONTROLE_ESTOQUE!$A106,Tabela_Movimentacao_Geral[Tipo Fluxo], "Entrada")</f>
        <v>67</v>
      </c>
      <c r="E106" s="14">
        <f ca="1">SUMIFS(Tabela_Movimentacao_Geral[Quantidade], Tabela_Movimentacao_Geral[ID Produto],CONTROLE_ESTOQUE!$A106,Tabela_Movimentacao_Geral[Tipo Fluxo], "Saida")</f>
        <v>56</v>
      </c>
      <c r="F106" s="14">
        <f ca="1">CONTROLE_ESTOQUE!$D106 - CONTROLE_ESTOQUE!$E106</f>
        <v>11</v>
      </c>
      <c r="G106" s="14" t="str">
        <f ca="1">IF(CONTROLE_ESTOQUE!$F106 &lt; CONTROLE_ESTOQUE!$C106, "COMPRAR URGENTE", "Estoque OK")</f>
        <v>Estoque OK</v>
      </c>
      <c r="K106"/>
    </row>
    <row r="107" spans="1:11" x14ac:dyDescent="0.3">
      <c r="A107" s="9" t="s">
        <v>357</v>
      </c>
      <c r="B107" s="9" t="str">
        <f>_xlfn.XLOOKUP(Tabela_Controle_Estoque[[#This Row],[ID_Produto]],Tabela_Produtos[ID_Produto],Tabela_Produtos[Descricao_Produto],"N/A")</f>
        <v>MacBook Air M2 13p</v>
      </c>
      <c r="C107" s="9">
        <f>_xlfn.XLOOKUP(Tabela_Controle_Estoque[[#This Row],[ID_Produto]],Tabela_Produtos[ID_Produto],Tabela_Produtos[Estoque_Minimo],"N/A")</f>
        <v>3</v>
      </c>
      <c r="D107" s="9">
        <f ca="1">SUMIFS(Tabela_Movimentacao_Geral[Quantidade],Tabela_Movimentacao_Geral[ID Produto],CONTROLE_ESTOQUE!$A107,Tabela_Movimentacao_Geral[Tipo Fluxo], "Entrada")</f>
        <v>37</v>
      </c>
      <c r="E107" s="9">
        <f ca="1">SUMIFS(Tabela_Movimentacao_Geral[Quantidade], Tabela_Movimentacao_Geral[ID Produto],CONTROLE_ESTOQUE!$A107,Tabela_Movimentacao_Geral[Tipo Fluxo], "Saida")</f>
        <v>33</v>
      </c>
      <c r="F107" s="9">
        <f ca="1">CONTROLE_ESTOQUE!$D107 - CONTROLE_ESTOQUE!$E107</f>
        <v>4</v>
      </c>
      <c r="G107" s="9" t="str">
        <f ca="1">IF(CONTROLE_ESTOQUE!$F107 &lt; CONTROLE_ESTOQUE!$C107, "COMPRAR URGENTE", "Estoque OK")</f>
        <v>Estoque OK</v>
      </c>
      <c r="K107"/>
    </row>
    <row r="108" spans="1:11" x14ac:dyDescent="0.3">
      <c r="A108" s="14" t="s">
        <v>359</v>
      </c>
      <c r="B108" s="14" t="str">
        <f>_xlfn.XLOOKUP(Tabela_Controle_Estoque[[#This Row],[ID_Produto]],Tabela_Produtos[ID_Produto],Tabela_Produtos[Descricao_Produto],"N/A")</f>
        <v>Impressora Termica Cupom</v>
      </c>
      <c r="C108" s="14">
        <f>_xlfn.XLOOKUP(Tabela_Controle_Estoque[[#This Row],[ID_Produto]],Tabela_Produtos[ID_Produto],Tabela_Produtos[Estoque_Minimo],"N/A")</f>
        <v>10</v>
      </c>
      <c r="D108" s="14">
        <f ca="1">SUMIFS(Tabela_Movimentacao_Geral[Quantidade],Tabela_Movimentacao_Geral[ID Produto],CONTROLE_ESTOQUE!$A108,Tabela_Movimentacao_Geral[Tipo Fluxo], "Entrada")</f>
        <v>217</v>
      </c>
      <c r="E108" s="14">
        <f ca="1">SUMIFS(Tabela_Movimentacao_Geral[Quantidade], Tabela_Movimentacao_Geral[ID Produto],CONTROLE_ESTOQUE!$A108,Tabela_Movimentacao_Geral[Tipo Fluxo], "Saida")</f>
        <v>155</v>
      </c>
      <c r="F108" s="14">
        <f ca="1">CONTROLE_ESTOQUE!$D108 - CONTROLE_ESTOQUE!$E108</f>
        <v>62</v>
      </c>
      <c r="G108" s="14" t="str">
        <f ca="1">IF(CONTROLE_ESTOQUE!$F108 &lt; CONTROLE_ESTOQUE!$C108, "COMPRAR URGENTE", "Estoque OK")</f>
        <v>Estoque OK</v>
      </c>
      <c r="K108"/>
    </row>
    <row r="109" spans="1:11" x14ac:dyDescent="0.3">
      <c r="A109" s="9" t="s">
        <v>361</v>
      </c>
      <c r="B109" s="9" t="str">
        <f>_xlfn.XLOOKUP(Tabela_Controle_Estoque[[#This Row],[ID_Produto]],Tabela_Produtos[ID_Produto],Tabela_Produtos[Descricao_Produto],"N/A")</f>
        <v>Toner Colorido (Kit 4)</v>
      </c>
      <c r="C109" s="9">
        <f>_xlfn.XLOOKUP(Tabela_Controle_Estoque[[#This Row],[ID_Produto]],Tabela_Produtos[ID_Produto],Tabela_Produtos[Estoque_Minimo],"N/A")</f>
        <v>5</v>
      </c>
      <c r="D109" s="9">
        <f ca="1">SUMIFS(Tabela_Movimentacao_Geral[Quantidade],Tabela_Movimentacao_Geral[ID Produto],CONTROLE_ESTOQUE!$A109,Tabela_Movimentacao_Geral[Tipo Fluxo], "Entrada")</f>
        <v>35</v>
      </c>
      <c r="E109" s="9">
        <f ca="1">SUMIFS(Tabela_Movimentacao_Geral[Quantidade], Tabela_Movimentacao_Geral[ID Produto],CONTROLE_ESTOQUE!$A109,Tabela_Movimentacao_Geral[Tipo Fluxo], "Saida")</f>
        <v>28</v>
      </c>
      <c r="F109" s="9">
        <f ca="1">CONTROLE_ESTOQUE!$D109 - CONTROLE_ESTOQUE!$E109</f>
        <v>7</v>
      </c>
      <c r="G109" s="9" t="str">
        <f ca="1">IF(CONTROLE_ESTOQUE!$F109 &lt; CONTROLE_ESTOQUE!$C109, "COMPRAR URGENTE", "Estoque OK")</f>
        <v>Estoque OK</v>
      </c>
      <c r="K109"/>
    </row>
    <row r="110" spans="1:11" x14ac:dyDescent="0.3">
      <c r="A110" s="14" t="s">
        <v>363</v>
      </c>
      <c r="B110" s="14" t="str">
        <f>_xlfn.XLOOKUP(Tabela_Controle_Estoque[[#This Row],[ID_Produto]],Tabela_Produtos[ID_Produto],Tabela_Produtos[Descricao_Produto],"N/A")</f>
        <v>Cabo DisplayPort 1.4</v>
      </c>
      <c r="C110" s="14">
        <f>_xlfn.XLOOKUP(Tabela_Controle_Estoque[[#This Row],[ID_Produto]],Tabela_Produtos[ID_Produto],Tabela_Produtos[Estoque_Minimo],"N/A")</f>
        <v>30</v>
      </c>
      <c r="D110" s="14">
        <f ca="1">SUMIFS(Tabela_Movimentacao_Geral[Quantidade],Tabela_Movimentacao_Geral[ID Produto],CONTROLE_ESTOQUE!$A110,Tabela_Movimentacao_Geral[Tipo Fluxo], "Entrada")</f>
        <v>195</v>
      </c>
      <c r="E110" s="14">
        <f ca="1">SUMIFS(Tabela_Movimentacao_Geral[Quantidade], Tabela_Movimentacao_Geral[ID Produto],CONTROLE_ESTOQUE!$A110,Tabela_Movimentacao_Geral[Tipo Fluxo], "Saida")</f>
        <v>157</v>
      </c>
      <c r="F110" s="14">
        <f ca="1">CONTROLE_ESTOQUE!$D110 - CONTROLE_ESTOQUE!$E110</f>
        <v>38</v>
      </c>
      <c r="G110" s="14" t="str">
        <f ca="1">IF(CONTROLE_ESTOQUE!$F110 &lt; CONTROLE_ESTOQUE!$C110, "COMPRAR URGENTE", "Estoque OK")</f>
        <v>Estoque OK</v>
      </c>
      <c r="K110"/>
    </row>
    <row r="111" spans="1:11" x14ac:dyDescent="0.3">
      <c r="A111" s="9" t="s">
        <v>365</v>
      </c>
      <c r="B111" s="9" t="str">
        <f>_xlfn.XLOOKUP(Tabela_Controle_Estoque[[#This Row],[ID_Produto]],Tabela_Produtos[ID_Produto],Tabela_Produtos[Descricao_Produto],"N/A")</f>
        <v>SSD M.2 NVMe 1TB</v>
      </c>
      <c r="C111" s="9">
        <f>_xlfn.XLOOKUP(Tabela_Controle_Estoque[[#This Row],[ID_Produto]],Tabela_Produtos[ID_Produto],Tabela_Produtos[Estoque_Minimo],"N/A")</f>
        <v>20</v>
      </c>
      <c r="D111" s="9">
        <f ca="1">SUMIFS(Tabela_Movimentacao_Geral[Quantidade],Tabela_Movimentacao_Geral[ID Produto],CONTROLE_ESTOQUE!$A111,Tabela_Movimentacao_Geral[Tipo Fluxo], "Entrada")</f>
        <v>187</v>
      </c>
      <c r="E111" s="9">
        <f ca="1">SUMIFS(Tabela_Movimentacao_Geral[Quantidade], Tabela_Movimentacao_Geral[ID Produto],CONTROLE_ESTOQUE!$A111,Tabela_Movimentacao_Geral[Tipo Fluxo], "Saida")</f>
        <v>76</v>
      </c>
      <c r="F111" s="9">
        <f ca="1">CONTROLE_ESTOQUE!$D111 - CONTROLE_ESTOQUE!$E111</f>
        <v>111</v>
      </c>
      <c r="G111" s="9" t="str">
        <f ca="1">IF(CONTROLE_ESTOQUE!$F111 &lt; CONTROLE_ESTOQUE!$C111, "COMPRAR URGENTE", "Estoque OK")</f>
        <v>Estoque OK</v>
      </c>
      <c r="K111"/>
    </row>
    <row r="112" spans="1:11" x14ac:dyDescent="0.3">
      <c r="A112" s="14" t="s">
        <v>367</v>
      </c>
      <c r="B112" s="14" t="str">
        <f>_xlfn.XLOOKUP(Tabela_Controle_Estoque[[#This Row],[ID_Produto]],Tabela_Produtos[ID_Produto],Tabela_Produtos[Descricao_Produto],"N/A")</f>
        <v>Memoria Notebook 16GB</v>
      </c>
      <c r="C112" s="14">
        <f>_xlfn.XLOOKUP(Tabela_Controle_Estoque[[#This Row],[ID_Produto]],Tabela_Produtos[ID_Produto],Tabela_Produtos[Estoque_Minimo],"N/A")</f>
        <v>15</v>
      </c>
      <c r="D112" s="14">
        <f ca="1">SUMIFS(Tabela_Movimentacao_Geral[Quantidade],Tabela_Movimentacao_Geral[ID Produto],CONTROLE_ESTOQUE!$A112,Tabela_Movimentacao_Geral[Tipo Fluxo], "Entrada")</f>
        <v>71</v>
      </c>
      <c r="E112" s="14">
        <f ca="1">SUMIFS(Tabela_Movimentacao_Geral[Quantidade], Tabela_Movimentacao_Geral[ID Produto],CONTROLE_ESTOQUE!$A112,Tabela_Movimentacao_Geral[Tipo Fluxo], "Saida")</f>
        <v>0</v>
      </c>
      <c r="F112" s="14">
        <f ca="1">CONTROLE_ESTOQUE!$D112 - CONTROLE_ESTOQUE!$E112</f>
        <v>71</v>
      </c>
      <c r="G112" s="14" t="str">
        <f ca="1">IF(CONTROLE_ESTOQUE!$F112 &lt; CONTROLE_ESTOQUE!$C112, "COMPRAR URGENTE", "Estoque OK")</f>
        <v>Estoque OK</v>
      </c>
      <c r="K112"/>
    </row>
    <row r="113" spans="1:11" x14ac:dyDescent="0.3">
      <c r="A113" s="9" t="s">
        <v>369</v>
      </c>
      <c r="B113" s="9" t="str">
        <f>_xlfn.XLOOKUP(Tabela_Controle_Estoque[[#This Row],[ID_Produto]],Tabela_Produtos[ID_Produto],Tabela_Produtos[Descricao_Produto],"N/A")</f>
        <v>Webcam 4K Streaming</v>
      </c>
      <c r="C113" s="9">
        <f>_xlfn.XLOOKUP(Tabela_Controle_Estoque[[#This Row],[ID_Produto]],Tabela_Produtos[ID_Produto],Tabela_Produtos[Estoque_Minimo],"N/A")</f>
        <v>5</v>
      </c>
      <c r="D113" s="9">
        <f ca="1">SUMIFS(Tabela_Movimentacao_Geral[Quantidade],Tabela_Movimentacao_Geral[ID Produto],CONTROLE_ESTOQUE!$A113,Tabela_Movimentacao_Geral[Tipo Fluxo], "Entrada")</f>
        <v>89</v>
      </c>
      <c r="E113" s="9">
        <f ca="1">SUMIFS(Tabela_Movimentacao_Geral[Quantidade], Tabela_Movimentacao_Geral[ID Produto],CONTROLE_ESTOQUE!$A113,Tabela_Movimentacao_Geral[Tipo Fluxo], "Saida")</f>
        <v>87</v>
      </c>
      <c r="F113" s="9">
        <f ca="1">CONTROLE_ESTOQUE!$D113 - CONTROLE_ESTOQUE!$E113</f>
        <v>2</v>
      </c>
      <c r="G113" s="9" t="str">
        <f ca="1">IF(CONTROLE_ESTOQUE!$F113 &lt; CONTROLE_ESTOQUE!$C113, "COMPRAR URGENTE", "Estoque OK")</f>
        <v>COMPRAR URGENTE</v>
      </c>
      <c r="K113"/>
    </row>
    <row r="114" spans="1:11" x14ac:dyDescent="0.3">
      <c r="A114" s="14" t="s">
        <v>371</v>
      </c>
      <c r="B114" s="14" t="str">
        <f>_xlfn.XLOOKUP(Tabela_Controle_Estoque[[#This Row],[ID_Produto]],Tabela_Produtos[ID_Produto],Tabela_Produtos[Descricao_Produto],"N/A")</f>
        <v>Headphone Bluetooth NoiseC</v>
      </c>
      <c r="C114" s="14">
        <f>_xlfn.XLOOKUP(Tabela_Controle_Estoque[[#This Row],[ID_Produto]],Tabela_Produtos[ID_Produto],Tabela_Produtos[Estoque_Minimo],"N/A")</f>
        <v>8</v>
      </c>
      <c r="D114" s="14">
        <f ca="1">SUMIFS(Tabela_Movimentacao_Geral[Quantidade],Tabela_Movimentacao_Geral[ID Produto],CONTROLE_ESTOQUE!$A114,Tabela_Movimentacao_Geral[Tipo Fluxo], "Entrada")</f>
        <v>136</v>
      </c>
      <c r="E114" s="14">
        <f ca="1">SUMIFS(Tabela_Movimentacao_Geral[Quantidade], Tabela_Movimentacao_Geral[ID Produto],CONTROLE_ESTOQUE!$A114,Tabela_Movimentacao_Geral[Tipo Fluxo], "Saida")</f>
        <v>36</v>
      </c>
      <c r="F114" s="14">
        <f ca="1">CONTROLE_ESTOQUE!$D114 - CONTROLE_ESTOQUE!$E114</f>
        <v>100</v>
      </c>
      <c r="G114" s="14" t="str">
        <f ca="1">IF(CONTROLE_ESTOQUE!$F114 &lt; CONTROLE_ESTOQUE!$C114, "COMPRAR URGENTE", "Estoque OK")</f>
        <v>Estoque OK</v>
      </c>
      <c r="K114"/>
    </row>
    <row r="115" spans="1:11" x14ac:dyDescent="0.3">
      <c r="A115" s="9" t="s">
        <v>373</v>
      </c>
      <c r="B115" s="9" t="str">
        <f>_xlfn.XLOOKUP(Tabela_Controle_Estoque[[#This Row],[ID_Produto]],Tabela_Produtos[ID_Produto],Tabela_Produtos[Descricao_Produto],"N/A")</f>
        <v>Access Point Corporativo</v>
      </c>
      <c r="C115" s="9">
        <f>_xlfn.XLOOKUP(Tabela_Controle_Estoque[[#This Row],[ID_Produto]],Tabela_Produtos[ID_Produto],Tabela_Produtos[Estoque_Minimo],"N/A")</f>
        <v>7</v>
      </c>
      <c r="D115" s="9">
        <f ca="1">SUMIFS(Tabela_Movimentacao_Geral[Quantidade],Tabela_Movimentacao_Geral[ID Produto],CONTROLE_ESTOQUE!$A115,Tabela_Movimentacao_Geral[Tipo Fluxo], "Entrada")</f>
        <v>19</v>
      </c>
      <c r="E115" s="9">
        <f ca="1">SUMIFS(Tabela_Movimentacao_Geral[Quantidade], Tabela_Movimentacao_Geral[ID Produto],CONTROLE_ESTOQUE!$A115,Tabela_Movimentacao_Geral[Tipo Fluxo], "Saida")</f>
        <v>7</v>
      </c>
      <c r="F115" s="9">
        <f ca="1">CONTROLE_ESTOQUE!$D115 - CONTROLE_ESTOQUE!$E115</f>
        <v>12</v>
      </c>
      <c r="G115" s="9" t="str">
        <f ca="1">IF(CONTROLE_ESTOQUE!$F115 &lt; CONTROLE_ESTOQUE!$C115, "COMPRAR URGENTE", "Estoque OK")</f>
        <v>Estoque OK</v>
      </c>
      <c r="K115"/>
    </row>
    <row r="116" spans="1:11" x14ac:dyDescent="0.3">
      <c r="A116" s="14" t="s">
        <v>375</v>
      </c>
      <c r="B116" s="14" t="str">
        <f>_xlfn.XLOOKUP(Tabela_Controle_Estoque[[#This Row],[ID_Produto]],Tabela_Produtos[ID_Produto],Tabela_Produtos[Descricao_Produto],"N/A")</f>
        <v>Switch Poe 8 Portas</v>
      </c>
      <c r="C116" s="14">
        <f>_xlfn.XLOOKUP(Tabela_Controle_Estoque[[#This Row],[ID_Produto]],Tabela_Produtos[ID_Produto],Tabela_Produtos[Estoque_Minimo],"N/A")</f>
        <v>6</v>
      </c>
      <c r="D116" s="14">
        <f ca="1">SUMIFS(Tabela_Movimentacao_Geral[Quantidade],Tabela_Movimentacao_Geral[ID Produto],CONTROLE_ESTOQUE!$A116,Tabela_Movimentacao_Geral[Tipo Fluxo], "Entrada")</f>
        <v>106</v>
      </c>
      <c r="E116" s="14">
        <f ca="1">SUMIFS(Tabela_Movimentacao_Geral[Quantidade], Tabela_Movimentacao_Geral[ID Produto],CONTROLE_ESTOQUE!$A116,Tabela_Movimentacao_Geral[Tipo Fluxo], "Saida")</f>
        <v>98</v>
      </c>
      <c r="F116" s="14">
        <f ca="1">CONTROLE_ESTOQUE!$D116 - CONTROLE_ESTOQUE!$E116</f>
        <v>8</v>
      </c>
      <c r="G116" s="14" t="str">
        <f ca="1">IF(CONTROLE_ESTOQUE!$F116 &lt; CONTROLE_ESTOQUE!$C116, "COMPRAR URGENTE", "Estoque OK")</f>
        <v>Estoque OK</v>
      </c>
      <c r="K116"/>
    </row>
    <row r="117" spans="1:11" x14ac:dyDescent="0.3">
      <c r="A117" s="9" t="s">
        <v>377</v>
      </c>
      <c r="B117" s="9" t="str">
        <f>_xlfn.XLOOKUP(Tabela_Controle_Estoque[[#This Row],[ID_Produto]],Tabela_Produtos[ID_Produto],Tabela_Produtos[Descricao_Produto],"N/A")</f>
        <v>Protetor Eletronico 8 Tom</v>
      </c>
      <c r="C117" s="9">
        <f>_xlfn.XLOOKUP(Tabela_Controle_Estoque[[#This Row],[ID_Produto]],Tabela_Produtos[ID_Produto],Tabela_Produtos[Estoque_Minimo],"N/A")</f>
        <v>30</v>
      </c>
      <c r="D117" s="9">
        <f ca="1">SUMIFS(Tabela_Movimentacao_Geral[Quantidade],Tabela_Movimentacao_Geral[ID Produto],CONTROLE_ESTOQUE!$A117,Tabela_Movimentacao_Geral[Tipo Fluxo], "Entrada")</f>
        <v>125</v>
      </c>
      <c r="E117" s="9">
        <f ca="1">SUMIFS(Tabela_Movimentacao_Geral[Quantidade], Tabela_Movimentacao_Geral[ID Produto],CONTROLE_ESTOQUE!$A117,Tabela_Movimentacao_Geral[Tipo Fluxo], "Saida")</f>
        <v>116</v>
      </c>
      <c r="F117" s="9">
        <f ca="1">CONTROLE_ESTOQUE!$D117 - CONTROLE_ESTOQUE!$E117</f>
        <v>9</v>
      </c>
      <c r="G117" s="9" t="str">
        <f ca="1">IF(CONTROLE_ESTOQUE!$F117 &lt; CONTROLE_ESTOQUE!$C117, "COMPRAR URGENTE", "Estoque OK")</f>
        <v>COMPRAR URGENTE</v>
      </c>
      <c r="K117"/>
    </row>
    <row r="118" spans="1:11" x14ac:dyDescent="0.3">
      <c r="A118" s="14" t="s">
        <v>379</v>
      </c>
      <c r="B118" s="14" t="str">
        <f>_xlfn.XLOOKUP(Tabela_Controle_Estoque[[#This Row],[ID_Produto]],Tabela_Produtos[ID_Produto],Tabela_Produtos[Descricao_Produto],"N/A")</f>
        <v>Adaptador Wi-Fi USB 5G</v>
      </c>
      <c r="C118" s="14">
        <f>_xlfn.XLOOKUP(Tabela_Controle_Estoque[[#This Row],[ID_Produto]],Tabela_Produtos[ID_Produto],Tabela_Produtos[Estoque_Minimo],"N/A")</f>
        <v>40</v>
      </c>
      <c r="D118" s="14">
        <f ca="1">SUMIFS(Tabela_Movimentacao_Geral[Quantidade],Tabela_Movimentacao_Geral[ID Produto],CONTROLE_ESTOQUE!$A118,Tabela_Movimentacao_Geral[Tipo Fluxo], "Entrada")</f>
        <v>199</v>
      </c>
      <c r="E118" s="14">
        <f ca="1">SUMIFS(Tabela_Movimentacao_Geral[Quantidade], Tabela_Movimentacao_Geral[ID Produto],CONTROLE_ESTOQUE!$A118,Tabela_Movimentacao_Geral[Tipo Fluxo], "Saida")</f>
        <v>93</v>
      </c>
      <c r="F118" s="14">
        <f ca="1">CONTROLE_ESTOQUE!$D118 - CONTROLE_ESTOQUE!$E118</f>
        <v>106</v>
      </c>
      <c r="G118" s="14" t="str">
        <f ca="1">IF(CONTROLE_ESTOQUE!$F118 &lt; CONTROLE_ESTOQUE!$C118, "COMPRAR URGENTE", "Estoque OK")</f>
        <v>Estoque OK</v>
      </c>
      <c r="K118"/>
    </row>
    <row r="119" spans="1:11" x14ac:dyDescent="0.3">
      <c r="A119" s="9" t="s">
        <v>381</v>
      </c>
      <c r="B119" s="9" t="str">
        <f>_xlfn.XLOOKUP(Tabela_Controle_Estoque[[#This Row],[ID_Produto]],Tabela_Produtos[ID_Produto],Tabela_Produtos[Descricao_Produto],"N/A")</f>
        <v>Case para HD Externo 2.5</v>
      </c>
      <c r="C119" s="9">
        <f>_xlfn.XLOOKUP(Tabela_Controle_Estoque[[#This Row],[ID_Produto]],Tabela_Produtos[ID_Produto],Tabela_Produtos[Estoque_Minimo],"N/A")</f>
        <v>25</v>
      </c>
      <c r="D119" s="9">
        <f ca="1">SUMIFS(Tabela_Movimentacao_Geral[Quantidade],Tabela_Movimentacao_Geral[ID Produto],CONTROLE_ESTOQUE!$A119,Tabela_Movimentacao_Geral[Tipo Fluxo], "Entrada")</f>
        <v>77</v>
      </c>
      <c r="E119" s="9">
        <f ca="1">SUMIFS(Tabela_Movimentacao_Geral[Quantidade], Tabela_Movimentacao_Geral[ID Produto],CONTROLE_ESTOQUE!$A119,Tabela_Movimentacao_Geral[Tipo Fluxo], "Saida")</f>
        <v>66</v>
      </c>
      <c r="F119" s="9">
        <f ca="1">CONTROLE_ESTOQUE!$D119 - CONTROLE_ESTOQUE!$E119</f>
        <v>11</v>
      </c>
      <c r="G119" s="9" t="str">
        <f ca="1">IF(CONTROLE_ESTOQUE!$F119 &lt; CONTROLE_ESTOQUE!$C119, "COMPRAR URGENTE", "Estoque OK")</f>
        <v>COMPRAR URGENTE</v>
      </c>
      <c r="K119"/>
    </row>
    <row r="120" spans="1:11" x14ac:dyDescent="0.3">
      <c r="A120" s="14" t="s">
        <v>383</v>
      </c>
      <c r="B120" s="14" t="str">
        <f>_xlfn.XLOOKUP(Tabela_Controle_Estoque[[#This Row],[ID_Produto]],Tabela_Produtos[ID_Produto],Tabela_Produtos[Descricao_Produto],"N/A")</f>
        <v>Suporte CPU com Rodas</v>
      </c>
      <c r="C120" s="14">
        <f>_xlfn.XLOOKUP(Tabela_Controle_Estoque[[#This Row],[ID_Produto]],Tabela_Produtos[ID_Produto],Tabela_Produtos[Estoque_Minimo],"N/A")</f>
        <v>20</v>
      </c>
      <c r="D120" s="14">
        <f ca="1">SUMIFS(Tabela_Movimentacao_Geral[Quantidade],Tabela_Movimentacao_Geral[ID Produto],CONTROLE_ESTOQUE!$A120,Tabela_Movimentacao_Geral[Tipo Fluxo], "Entrada")</f>
        <v>66</v>
      </c>
      <c r="E120" s="14">
        <f ca="1">SUMIFS(Tabela_Movimentacao_Geral[Quantidade], Tabela_Movimentacao_Geral[ID Produto],CONTROLE_ESTOQUE!$A120,Tabela_Movimentacao_Geral[Tipo Fluxo], "Saida")</f>
        <v>66</v>
      </c>
      <c r="F120" s="14">
        <f ca="1">CONTROLE_ESTOQUE!$D120 - CONTROLE_ESTOQUE!$E120</f>
        <v>0</v>
      </c>
      <c r="G120" s="14" t="str">
        <f ca="1">IF(CONTROLE_ESTOQUE!$F120 &lt; CONTROLE_ESTOQUE!$C120, "COMPRAR URGENTE", "Estoque OK")</f>
        <v>COMPRAR URGENTE</v>
      </c>
      <c r="K120"/>
    </row>
    <row r="121" spans="1:11" x14ac:dyDescent="0.3">
      <c r="A121" s="9" t="s">
        <v>385</v>
      </c>
      <c r="B121" s="9" t="str">
        <f>_xlfn.XLOOKUP(Tabela_Controle_Estoque[[#This Row],[ID_Produto]],Tabela_Produtos[ID_Produto],Tabela_Produtos[Descricao_Produto],"N/A")</f>
        <v>Conversor de Midia Fibra</v>
      </c>
      <c r="C121" s="9">
        <f>_xlfn.XLOOKUP(Tabela_Controle_Estoque[[#This Row],[ID_Produto]],Tabela_Produtos[ID_Produto],Tabela_Produtos[Estoque_Minimo],"N/A")</f>
        <v>10</v>
      </c>
      <c r="D121" s="9">
        <f ca="1">SUMIFS(Tabela_Movimentacao_Geral[Quantidade],Tabela_Movimentacao_Geral[ID Produto],CONTROLE_ESTOQUE!$A121,Tabela_Movimentacao_Geral[Tipo Fluxo], "Entrada")</f>
        <v>198</v>
      </c>
      <c r="E121" s="9">
        <f ca="1">SUMIFS(Tabela_Movimentacao_Geral[Quantidade], Tabela_Movimentacao_Geral[ID Produto],CONTROLE_ESTOQUE!$A121,Tabela_Movimentacao_Geral[Tipo Fluxo], "Saida")</f>
        <v>64</v>
      </c>
      <c r="F121" s="9">
        <f ca="1">CONTROLE_ESTOQUE!$D121 - CONTROLE_ESTOQUE!$E121</f>
        <v>134</v>
      </c>
      <c r="G121" s="9" t="str">
        <f ca="1">IF(CONTROLE_ESTOQUE!$F121 &lt; CONTROLE_ESTOQUE!$C121, "COMPRAR URGENTE", "Estoque OK")</f>
        <v>Estoque OK</v>
      </c>
      <c r="K121"/>
    </row>
    <row r="122" spans="1:11" x14ac:dyDescent="0.3">
      <c r="A122" s="14" t="s">
        <v>387</v>
      </c>
      <c r="B122" s="14" t="str">
        <f>_xlfn.XLOOKUP(Tabela_Controle_Estoque[[#This Row],[ID_Produto]],Tabela_Produtos[ID_Produto],Tabela_Produtos[Descricao_Produto],"N/A")</f>
        <v>Licenca SQL Server Standard</v>
      </c>
      <c r="C122" s="14">
        <f>_xlfn.XLOOKUP(Tabela_Controle_Estoque[[#This Row],[ID_Produto]],Tabela_Produtos[ID_Produto],Tabela_Produtos[Estoque_Minimo],"N/A")</f>
        <v>2</v>
      </c>
      <c r="D122" s="14">
        <f ca="1">SUMIFS(Tabela_Movimentacao_Geral[Quantidade],Tabela_Movimentacao_Geral[ID Produto],CONTROLE_ESTOQUE!$A122,Tabela_Movimentacao_Geral[Tipo Fluxo], "Entrada")</f>
        <v>54</v>
      </c>
      <c r="E122" s="14">
        <f ca="1">SUMIFS(Tabela_Movimentacao_Geral[Quantidade], Tabela_Movimentacao_Geral[ID Produto],CONTROLE_ESTOQUE!$A122,Tabela_Movimentacao_Geral[Tipo Fluxo], "Saida")</f>
        <v>1</v>
      </c>
      <c r="F122" s="14">
        <f ca="1">CONTROLE_ESTOQUE!$D122 - CONTROLE_ESTOQUE!$E122</f>
        <v>53</v>
      </c>
      <c r="G122" s="14" t="str">
        <f ca="1">IF(CONTROLE_ESTOQUE!$F122 &lt; CONTROLE_ESTOQUE!$C122, "COMPRAR URGENTE", "Estoque OK")</f>
        <v>Estoque OK</v>
      </c>
      <c r="K122"/>
    </row>
    <row r="123" spans="1:11" x14ac:dyDescent="0.3">
      <c r="A123" s="9" t="s">
        <v>389</v>
      </c>
      <c r="B123" s="9" t="str">
        <f>_xlfn.XLOOKUP(Tabela_Controle_Estoque[[#This Row],[ID_Produto]],Tabela_Produtos[ID_Produto],Tabela_Produtos[Descricao_Produto],"N/A")</f>
        <v>Windows Server 2022 CAL</v>
      </c>
      <c r="C123" s="9">
        <f>_xlfn.XLOOKUP(Tabela_Controle_Estoque[[#This Row],[ID_Produto]],Tabela_Produtos[ID_Produto],Tabela_Produtos[Estoque_Minimo],"N/A")</f>
        <v>50</v>
      </c>
      <c r="D123" s="9">
        <f ca="1">SUMIFS(Tabela_Movimentacao_Geral[Quantidade],Tabela_Movimentacao_Geral[ID Produto],CONTROLE_ESTOQUE!$A123,Tabela_Movimentacao_Geral[Tipo Fluxo], "Entrada")</f>
        <v>353</v>
      </c>
      <c r="E123" s="9">
        <f ca="1">SUMIFS(Tabela_Movimentacao_Geral[Quantidade], Tabela_Movimentacao_Geral[ID Produto],CONTROLE_ESTOQUE!$A123,Tabela_Movimentacao_Geral[Tipo Fluxo], "Saida")</f>
        <v>104</v>
      </c>
      <c r="F123" s="9">
        <f ca="1">CONTROLE_ESTOQUE!$D123 - CONTROLE_ESTOQUE!$E123</f>
        <v>249</v>
      </c>
      <c r="G123" s="9" t="str">
        <f ca="1">IF(CONTROLE_ESTOQUE!$F123 &lt; CONTROLE_ESTOQUE!$C123, "COMPRAR URGENTE", "Estoque OK")</f>
        <v>Estoque OK</v>
      </c>
      <c r="K123"/>
    </row>
    <row r="124" spans="1:11" x14ac:dyDescent="0.3">
      <c r="A124" s="14" t="s">
        <v>391</v>
      </c>
      <c r="B124" s="14" t="str">
        <f>_xlfn.XLOOKUP(Tabela_Controle_Estoque[[#This Row],[ID_Produto]],Tabela_Produtos[ID_Produto],Tabela_Produtos[Descricao_Produto],"N/A")</f>
        <v>Assinatura Zoom Business</v>
      </c>
      <c r="C124" s="14">
        <f>_xlfn.XLOOKUP(Tabela_Controle_Estoque[[#This Row],[ID_Produto]],Tabela_Produtos[ID_Produto],Tabela_Produtos[Estoque_Minimo],"N/A")</f>
        <v>20</v>
      </c>
      <c r="D124" s="14">
        <f ca="1">SUMIFS(Tabela_Movimentacao_Geral[Quantidade],Tabela_Movimentacao_Geral[ID Produto],CONTROLE_ESTOQUE!$A124,Tabela_Movimentacao_Geral[Tipo Fluxo], "Entrada")</f>
        <v>156</v>
      </c>
      <c r="E124" s="14">
        <f ca="1">SUMIFS(Tabela_Movimentacao_Geral[Quantidade], Tabela_Movimentacao_Geral[ID Produto],CONTROLE_ESTOQUE!$A124,Tabela_Movimentacao_Geral[Tipo Fluxo], "Saida")</f>
        <v>93</v>
      </c>
      <c r="F124" s="14">
        <f ca="1">CONTROLE_ESTOQUE!$D124 - CONTROLE_ESTOQUE!$E124</f>
        <v>63</v>
      </c>
      <c r="G124" s="14" t="str">
        <f ca="1">IF(CONTROLE_ESTOQUE!$F124 &lt; CONTROLE_ESTOQUE!$C124, "COMPRAR URGENTE", "Estoque OK")</f>
        <v>Estoque OK</v>
      </c>
      <c r="K124"/>
    </row>
    <row r="125" spans="1:11" x14ac:dyDescent="0.3">
      <c r="A125" s="9" t="s">
        <v>393</v>
      </c>
      <c r="B125" s="9" t="str">
        <f>_xlfn.XLOOKUP(Tabela_Controle_Estoque[[#This Row],[ID_Produto]],Tabela_Produtos[ID_Produto],Tabela_Produtos[Descricao_Produto],"N/A")</f>
        <v>Ferramenta BI Assinatura</v>
      </c>
      <c r="C125" s="9">
        <f>_xlfn.XLOOKUP(Tabela_Controle_Estoque[[#This Row],[ID_Produto]],Tabela_Produtos[ID_Produto],Tabela_Produtos[Estoque_Minimo],"N/A")</f>
        <v>40</v>
      </c>
      <c r="D125" s="9">
        <f ca="1">SUMIFS(Tabela_Movimentacao_Geral[Quantidade],Tabela_Movimentacao_Geral[ID Produto],CONTROLE_ESTOQUE!$A125,Tabela_Movimentacao_Geral[Tipo Fluxo], "Entrada")</f>
        <v>249</v>
      </c>
      <c r="E125" s="9">
        <f ca="1">SUMIFS(Tabela_Movimentacao_Geral[Quantidade], Tabela_Movimentacao_Geral[ID Produto],CONTROLE_ESTOQUE!$A125,Tabela_Movimentacao_Geral[Tipo Fluxo], "Saida")</f>
        <v>128</v>
      </c>
      <c r="F125" s="9">
        <f ca="1">CONTROLE_ESTOQUE!$D125 - CONTROLE_ESTOQUE!$E125</f>
        <v>121</v>
      </c>
      <c r="G125" s="9" t="str">
        <f ca="1">IF(CONTROLE_ESTOQUE!$F125 &lt; CONTROLE_ESTOQUE!$C125, "COMPRAR URGENTE", "Estoque OK")</f>
        <v>Estoque OK</v>
      </c>
      <c r="K125"/>
    </row>
    <row r="126" spans="1:11" x14ac:dyDescent="0.3">
      <c r="A126" s="14" t="s">
        <v>395</v>
      </c>
      <c r="B126" s="14" t="str">
        <f>_xlfn.XLOOKUP(Tabela_Controle_Estoque[[#This Row],[ID_Produto]],Tabela_Produtos[ID_Produto],Tabela_Produtos[Descricao_Produto],"N/A")</f>
        <v>Licenca Firewall Sophos</v>
      </c>
      <c r="C126" s="14">
        <f>_xlfn.XLOOKUP(Tabela_Controle_Estoque[[#This Row],[ID_Produto]],Tabela_Produtos[ID_Produto],Tabela_Produtos[Estoque_Minimo],"N/A")</f>
        <v>5</v>
      </c>
      <c r="D126" s="14">
        <f ca="1">SUMIFS(Tabela_Movimentacao_Geral[Quantidade],Tabela_Movimentacao_Geral[ID Produto],CONTROLE_ESTOQUE!$A126,Tabela_Movimentacao_Geral[Tipo Fluxo], "Entrada")</f>
        <v>45</v>
      </c>
      <c r="E126" s="14">
        <f ca="1">SUMIFS(Tabela_Movimentacao_Geral[Quantidade], Tabela_Movimentacao_Geral[ID Produto],CONTROLE_ESTOQUE!$A126,Tabela_Movimentacao_Geral[Tipo Fluxo], "Saida")</f>
        <v>0</v>
      </c>
      <c r="F126" s="14">
        <f ca="1">CONTROLE_ESTOQUE!$D126 - CONTROLE_ESTOQUE!$E126</f>
        <v>45</v>
      </c>
      <c r="G126" s="14" t="str">
        <f ca="1">IF(CONTROLE_ESTOQUE!$F126 &lt; CONTROLE_ESTOQUE!$C126, "COMPRAR URGENTE", "Estoque OK")</f>
        <v>Estoque OK</v>
      </c>
      <c r="K126"/>
    </row>
    <row r="127" spans="1:11" x14ac:dyDescent="0.3">
      <c r="A127" s="9" t="s">
        <v>397</v>
      </c>
      <c r="B127" s="9" t="str">
        <f>_xlfn.XLOOKUP(Tabela_Controle_Estoque[[#This Row],[ID_Produto]],Tabela_Produtos[ID_Produto],Tabela_Produtos[Descricao_Produto],"N/A")</f>
        <v>Mouse Ergonomico Vertical</v>
      </c>
      <c r="C127" s="9">
        <f>_xlfn.XLOOKUP(Tabela_Controle_Estoque[[#This Row],[ID_Produto]],Tabela_Produtos[ID_Produto],Tabela_Produtos[Estoque_Minimo],"N/A")</f>
        <v>12</v>
      </c>
      <c r="D127" s="9">
        <f ca="1">SUMIFS(Tabela_Movimentacao_Geral[Quantidade],Tabela_Movimentacao_Geral[ID Produto],CONTROLE_ESTOQUE!$A127,Tabela_Movimentacao_Geral[Tipo Fluxo], "Entrada")</f>
        <v>40</v>
      </c>
      <c r="E127" s="9">
        <f ca="1">SUMIFS(Tabela_Movimentacao_Geral[Quantidade], Tabela_Movimentacao_Geral[ID Produto],CONTROLE_ESTOQUE!$A127,Tabela_Movimentacao_Geral[Tipo Fluxo], "Saida")</f>
        <v>39</v>
      </c>
      <c r="F127" s="9">
        <f ca="1">CONTROLE_ESTOQUE!$D127 - CONTROLE_ESTOQUE!$E127</f>
        <v>1</v>
      </c>
      <c r="G127" s="9" t="str">
        <f ca="1">IF(CONTROLE_ESTOQUE!$F127 &lt; CONTROLE_ESTOQUE!$C127, "COMPRAR URGENTE", "Estoque OK")</f>
        <v>COMPRAR URGENTE</v>
      </c>
      <c r="K127"/>
    </row>
    <row r="128" spans="1:11" x14ac:dyDescent="0.3">
      <c r="A128" s="14" t="s">
        <v>399</v>
      </c>
      <c r="B128" s="14" t="str">
        <f>_xlfn.XLOOKUP(Tabela_Controle_Estoque[[#This Row],[ID_Produto]],Tabela_Produtos[ID_Produto],Tabela_Produtos[Descricao_Produto],"N/A")</f>
        <v>Hub USB-C 7 em 1</v>
      </c>
      <c r="C128" s="14">
        <f>_xlfn.XLOOKUP(Tabela_Controle_Estoque[[#This Row],[ID_Produto]],Tabela_Produtos[ID_Produto],Tabela_Produtos[Estoque_Minimo],"N/A")</f>
        <v>15</v>
      </c>
      <c r="D128" s="14">
        <f ca="1">SUMIFS(Tabela_Movimentacao_Geral[Quantidade],Tabela_Movimentacao_Geral[ID Produto],CONTROLE_ESTOQUE!$A128,Tabela_Movimentacao_Geral[Tipo Fluxo], "Entrada")</f>
        <v>71</v>
      </c>
      <c r="E128" s="14">
        <f ca="1">SUMIFS(Tabela_Movimentacao_Geral[Quantidade], Tabela_Movimentacao_Geral[ID Produto],CONTROLE_ESTOQUE!$A128,Tabela_Movimentacao_Geral[Tipo Fluxo], "Saida")</f>
        <v>45</v>
      </c>
      <c r="F128" s="14">
        <f ca="1">CONTROLE_ESTOQUE!$D128 - CONTROLE_ESTOQUE!$E128</f>
        <v>26</v>
      </c>
      <c r="G128" s="14" t="str">
        <f ca="1">IF(CONTROLE_ESTOQUE!$F128 &lt; CONTROLE_ESTOQUE!$C128, "COMPRAR URGENTE", "Estoque OK")</f>
        <v>Estoque OK</v>
      </c>
      <c r="K128"/>
    </row>
    <row r="129" spans="1:11" x14ac:dyDescent="0.3">
      <c r="A129" s="9" t="s">
        <v>401</v>
      </c>
      <c r="B129" s="9" t="str">
        <f>_xlfn.XLOOKUP(Tabela_Controle_Estoque[[#This Row],[ID_Produto]],Tabela_Produtos[ID_Produto],Tabela_Produtos[Descricao_Produto],"N/A")</f>
        <v>Cabo de Rede Cat5e 5m</v>
      </c>
      <c r="C129" s="9">
        <f>_xlfn.XLOOKUP(Tabela_Controle_Estoque[[#This Row],[ID_Produto]],Tabela_Produtos[ID_Produto],Tabela_Produtos[Estoque_Minimo],"N/A")</f>
        <v>80</v>
      </c>
      <c r="D129" s="9">
        <f ca="1">SUMIFS(Tabela_Movimentacao_Geral[Quantidade],Tabela_Movimentacao_Geral[ID Produto],CONTROLE_ESTOQUE!$A129,Tabela_Movimentacao_Geral[Tipo Fluxo], "Entrada")</f>
        <v>400</v>
      </c>
      <c r="E129" s="9">
        <f ca="1">SUMIFS(Tabela_Movimentacao_Geral[Quantidade], Tabela_Movimentacao_Geral[ID Produto],CONTROLE_ESTOQUE!$A129,Tabela_Movimentacao_Geral[Tipo Fluxo], "Saida")</f>
        <v>376</v>
      </c>
      <c r="F129" s="9">
        <f ca="1">CONTROLE_ESTOQUE!$D129 - CONTROLE_ESTOQUE!$E129</f>
        <v>24</v>
      </c>
      <c r="G129" s="9" t="str">
        <f ca="1">IF(CONTROLE_ESTOQUE!$F129 &lt; CONTROLE_ESTOQUE!$C129, "COMPRAR URGENTE", "Estoque OK")</f>
        <v>COMPRAR URGENTE</v>
      </c>
      <c r="K129"/>
    </row>
    <row r="130" spans="1:11" x14ac:dyDescent="0.3">
      <c r="A130" s="14" t="s">
        <v>403</v>
      </c>
      <c r="B130" s="14" t="str">
        <f>_xlfn.XLOOKUP(Tabela_Controle_Estoque[[#This Row],[ID_Produto]],Tabela_Produtos[ID_Produto],Tabela_Produtos[Descricao_Produto],"N/A")</f>
        <v>Mesa Digitalizadora Media</v>
      </c>
      <c r="C130" s="14">
        <f>_xlfn.XLOOKUP(Tabela_Controle_Estoque[[#This Row],[ID_Produto]],Tabela_Produtos[ID_Produto],Tabela_Produtos[Estoque_Minimo],"N/A")</f>
        <v>6</v>
      </c>
      <c r="D130" s="14">
        <f ca="1">SUMIFS(Tabela_Movimentacao_Geral[Quantidade],Tabela_Movimentacao_Geral[ID Produto],CONTROLE_ESTOQUE!$A130,Tabela_Movimentacao_Geral[Tipo Fluxo], "Entrada")</f>
        <v>81</v>
      </c>
      <c r="E130" s="14">
        <f ca="1">SUMIFS(Tabela_Movimentacao_Geral[Quantidade], Tabela_Movimentacao_Geral[ID Produto],CONTROLE_ESTOQUE!$A130,Tabela_Movimentacao_Geral[Tipo Fluxo], "Saida")</f>
        <v>11</v>
      </c>
      <c r="F130" s="14">
        <f ca="1">CONTROLE_ESTOQUE!$D130 - CONTROLE_ESTOQUE!$E130</f>
        <v>70</v>
      </c>
      <c r="G130" s="14" t="str">
        <f ca="1">IF(CONTROLE_ESTOQUE!$F130 &lt; CONTROLE_ESTOQUE!$C130, "COMPRAR URGENTE", "Estoque OK")</f>
        <v>Estoque OK</v>
      </c>
      <c r="K130"/>
    </row>
    <row r="131" spans="1:11" x14ac:dyDescent="0.3">
      <c r="A131" s="9" t="s">
        <v>405</v>
      </c>
      <c r="B131" s="9" t="str">
        <f>_xlfn.XLOOKUP(Tabela_Controle_Estoque[[#This Row],[ID_Produto]],Tabela_Produtos[ID_Produto],Tabela_Produtos[Descricao_Produto],"N/A")</f>
        <v>Maleta Rigida Notebook</v>
      </c>
      <c r="C131" s="9">
        <f>_xlfn.XLOOKUP(Tabela_Controle_Estoque[[#This Row],[ID_Produto]],Tabela_Produtos[ID_Produto],Tabela_Produtos[Estoque_Minimo],"N/A")</f>
        <v>10</v>
      </c>
      <c r="D131" s="9">
        <f ca="1">SUMIFS(Tabela_Movimentacao_Geral[Quantidade],Tabela_Movimentacao_Geral[ID Produto],CONTROLE_ESTOQUE!$A131,Tabela_Movimentacao_Geral[Tipo Fluxo], "Entrada")</f>
        <v>160</v>
      </c>
      <c r="E131" s="9">
        <f ca="1">SUMIFS(Tabela_Movimentacao_Geral[Quantidade], Tabela_Movimentacao_Geral[ID Produto],CONTROLE_ESTOQUE!$A131,Tabela_Movimentacao_Geral[Tipo Fluxo], "Saida")</f>
        <v>31</v>
      </c>
      <c r="F131" s="9">
        <f ca="1">CONTROLE_ESTOQUE!$D131 - CONTROLE_ESTOQUE!$E131</f>
        <v>129</v>
      </c>
      <c r="G131" s="9" t="str">
        <f ca="1">IF(CONTROLE_ESTOQUE!$F131 &lt; CONTROLE_ESTOQUE!$C131, "COMPRAR URGENTE", "Estoque OK")</f>
        <v>Estoque OK</v>
      </c>
      <c r="K131"/>
    </row>
    <row r="132" spans="1:11" x14ac:dyDescent="0.3">
      <c r="A132" s="14" t="s">
        <v>407</v>
      </c>
      <c r="B132" s="14" t="str">
        <f>_xlfn.XLOOKUP(Tabela_Controle_Estoque[[#This Row],[ID_Produto]],Tabela_Produtos[ID_Produto],Tabela_Produtos[Descricao_Produto],"N/A")</f>
        <v>Bateria Nobreak 12V 7Ah</v>
      </c>
      <c r="C132" s="14">
        <f>_xlfn.XLOOKUP(Tabela_Controle_Estoque[[#This Row],[ID_Produto]],Tabela_Produtos[ID_Produto],Tabela_Produtos[Estoque_Minimo],"N/A")</f>
        <v>20</v>
      </c>
      <c r="D132" s="14">
        <f ca="1">SUMIFS(Tabela_Movimentacao_Geral[Quantidade],Tabela_Movimentacao_Geral[ID Produto],CONTROLE_ESTOQUE!$A132,Tabela_Movimentacao_Geral[Tipo Fluxo], "Entrada")</f>
        <v>238</v>
      </c>
      <c r="E132" s="14">
        <f ca="1">SUMIFS(Tabela_Movimentacao_Geral[Quantidade], Tabela_Movimentacao_Geral[ID Produto],CONTROLE_ESTOQUE!$A132,Tabela_Movimentacao_Geral[Tipo Fluxo], "Saida")</f>
        <v>93</v>
      </c>
      <c r="F132" s="14">
        <f ca="1">CONTROLE_ESTOQUE!$D132 - CONTROLE_ESTOQUE!$E132</f>
        <v>145</v>
      </c>
      <c r="G132" s="14" t="str">
        <f ca="1">IF(CONTROLE_ESTOQUE!$F132 &lt; CONTROLE_ESTOQUE!$C132, "COMPRAR URGENTE", "Estoque OK")</f>
        <v>Estoque OK</v>
      </c>
      <c r="K132"/>
    </row>
    <row r="133" spans="1:11" x14ac:dyDescent="0.3">
      <c r="A133" s="9" t="s">
        <v>409</v>
      </c>
      <c r="B133" s="9" t="str">
        <f>_xlfn.XLOOKUP(Tabela_Controle_Estoque[[#This Row],[ID_Produto]],Tabela_Produtos[ID_Produto],Tabela_Produtos[Descricao_Produto],"N/A")</f>
        <v>Cooler para Gabinete 120mm</v>
      </c>
      <c r="C133" s="9">
        <f>_xlfn.XLOOKUP(Tabela_Controle_Estoque[[#This Row],[ID_Produto]],Tabela_Produtos[ID_Produto],Tabela_Produtos[Estoque_Minimo],"N/A")</f>
        <v>40</v>
      </c>
      <c r="D133" s="9">
        <f ca="1">SUMIFS(Tabela_Movimentacao_Geral[Quantidade],Tabela_Movimentacao_Geral[ID Produto],CONTROLE_ESTOQUE!$A133,Tabela_Movimentacao_Geral[Tipo Fluxo], "Entrada")</f>
        <v>138</v>
      </c>
      <c r="E133" s="9">
        <f ca="1">SUMIFS(Tabela_Movimentacao_Geral[Quantidade], Tabela_Movimentacao_Geral[ID Produto],CONTROLE_ESTOQUE!$A133,Tabela_Movimentacao_Geral[Tipo Fluxo], "Saida")</f>
        <v>127</v>
      </c>
      <c r="F133" s="9">
        <f ca="1">CONTROLE_ESTOQUE!$D133 - CONTROLE_ESTOQUE!$E133</f>
        <v>11</v>
      </c>
      <c r="G133" s="9" t="str">
        <f ca="1">IF(CONTROLE_ESTOQUE!$F133 &lt; CONTROLE_ESTOQUE!$C133, "COMPRAR URGENTE", "Estoque OK")</f>
        <v>COMPRAR URGENTE</v>
      </c>
      <c r="K133"/>
    </row>
    <row r="134" spans="1:11" x14ac:dyDescent="0.3">
      <c r="A134" s="14" t="s">
        <v>411</v>
      </c>
      <c r="B134" s="14" t="str">
        <f>_xlfn.XLOOKUP(Tabela_Controle_Estoque[[#This Row],[ID_Produto]],Tabela_Produtos[ID_Produto],Tabela_Produtos[Descricao_Produto],"N/A")</f>
        <v>Pendrive 128GB Metal</v>
      </c>
      <c r="C134" s="14">
        <f>_xlfn.XLOOKUP(Tabela_Controle_Estoque[[#This Row],[ID_Produto]],Tabela_Produtos[ID_Produto],Tabela_Produtos[Estoque_Minimo],"N/A")</f>
        <v>30</v>
      </c>
      <c r="D134" s="14">
        <f ca="1">SUMIFS(Tabela_Movimentacao_Geral[Quantidade],Tabela_Movimentacao_Geral[ID Produto],CONTROLE_ESTOQUE!$A134,Tabela_Movimentacao_Geral[Tipo Fluxo], "Entrada")</f>
        <v>119</v>
      </c>
      <c r="E134" s="14">
        <f ca="1">SUMIFS(Tabela_Movimentacao_Geral[Quantidade], Tabela_Movimentacao_Geral[ID Produto],CONTROLE_ESTOQUE!$A134,Tabela_Movimentacao_Geral[Tipo Fluxo], "Saida")</f>
        <v>77</v>
      </c>
      <c r="F134" s="14">
        <f ca="1">CONTROLE_ESTOQUE!$D134 - CONTROLE_ESTOQUE!$E134</f>
        <v>42</v>
      </c>
      <c r="G134" s="14" t="str">
        <f ca="1">IF(CONTROLE_ESTOQUE!$F134 &lt; CONTROLE_ESTOQUE!$C134, "COMPRAR URGENTE", "Estoque OK")</f>
        <v>Estoque OK</v>
      </c>
      <c r="K134"/>
    </row>
    <row r="135" spans="1:11" x14ac:dyDescent="0.3">
      <c r="A135" s="9" t="s">
        <v>413</v>
      </c>
      <c r="B135" s="9" t="str">
        <f>_xlfn.XLOOKUP(Tabela_Controle_Estoque[[#This Row],[ID_Produto]],Tabela_Produtos[ID_Produto],Tabela_Produtos[Descricao_Produto],"N/A")</f>
        <v>Suporte Projetor Teto</v>
      </c>
      <c r="C135" s="9">
        <f>_xlfn.XLOOKUP(Tabela_Controle_Estoque[[#This Row],[ID_Produto]],Tabela_Produtos[ID_Produto],Tabela_Produtos[Estoque_Minimo],"N/A")</f>
        <v>8</v>
      </c>
      <c r="D135" s="9">
        <f ca="1">SUMIFS(Tabela_Movimentacao_Geral[Quantidade],Tabela_Movimentacao_Geral[ID Produto],CONTROLE_ESTOQUE!$A135,Tabela_Movimentacao_Geral[Tipo Fluxo], "Entrada")</f>
        <v>165</v>
      </c>
      <c r="E135" s="9">
        <f ca="1">SUMIFS(Tabela_Movimentacao_Geral[Quantidade], Tabela_Movimentacao_Geral[ID Produto],CONTROLE_ESTOQUE!$A135,Tabela_Movimentacao_Geral[Tipo Fluxo], "Saida")</f>
        <v>96</v>
      </c>
      <c r="F135" s="9">
        <f ca="1">CONTROLE_ESTOQUE!$D135 - CONTROLE_ESTOQUE!$E135</f>
        <v>69</v>
      </c>
      <c r="G135" s="9" t="str">
        <f ca="1">IF(CONTROLE_ESTOQUE!$F135 &lt; CONTROLE_ESTOQUE!$C135, "COMPRAR URGENTE", "Estoque OK")</f>
        <v>Estoque OK</v>
      </c>
      <c r="K135"/>
    </row>
    <row r="136" spans="1:11" x14ac:dyDescent="0.3">
      <c r="A136" s="14" t="s">
        <v>415</v>
      </c>
      <c r="B136" s="14" t="str">
        <f>_xlfn.XLOOKUP(Tabela_Controle_Estoque[[#This Row],[ID_Produto]],Tabela_Produtos[ID_Produto],Tabela_Produtos[Descricao_Produto],"N/A")</f>
        <v>Ponteira Laser Apresentador</v>
      </c>
      <c r="C136" s="14">
        <f>_xlfn.XLOOKUP(Tabela_Controle_Estoque[[#This Row],[ID_Produto]],Tabela_Produtos[ID_Produto],Tabela_Produtos[Estoque_Minimo],"N/A")</f>
        <v>20</v>
      </c>
      <c r="D136" s="14">
        <f ca="1">SUMIFS(Tabela_Movimentacao_Geral[Quantidade],Tabela_Movimentacao_Geral[ID Produto],CONTROLE_ESTOQUE!$A136,Tabela_Movimentacao_Geral[Tipo Fluxo], "Entrada")</f>
        <v>251</v>
      </c>
      <c r="E136" s="14">
        <f ca="1">SUMIFS(Tabela_Movimentacao_Geral[Quantidade], Tabela_Movimentacao_Geral[ID Produto],CONTROLE_ESTOQUE!$A136,Tabela_Movimentacao_Geral[Tipo Fluxo], "Saida")</f>
        <v>0</v>
      </c>
      <c r="F136" s="14">
        <f ca="1">CONTROLE_ESTOQUE!$D136 - CONTROLE_ESTOQUE!$E136</f>
        <v>251</v>
      </c>
      <c r="G136" s="14" t="str">
        <f ca="1">IF(CONTROLE_ESTOQUE!$F136 &lt; CONTROLE_ESTOQUE!$C136, "COMPRAR URGENTE", "Estoque OK")</f>
        <v>Estoque OK</v>
      </c>
      <c r="K136"/>
    </row>
    <row r="137" spans="1:11" x14ac:dyDescent="0.3">
      <c r="A137" s="9" t="s">
        <v>417</v>
      </c>
      <c r="B137" s="9" t="str">
        <f>_xlfn.XLOOKUP(Tabela_Controle_Estoque[[#This Row],[ID_Produto]],Tabela_Produtos[ID_Produto],Tabela_Produtos[Descricao_Produto],"N/A")</f>
        <v>Gabinete ATX Mid Tower</v>
      </c>
      <c r="C137" s="9">
        <f>_xlfn.XLOOKUP(Tabela_Controle_Estoque[[#This Row],[ID_Produto]],Tabela_Produtos[ID_Produto],Tabela_Produtos[Estoque_Minimo],"N/A")</f>
        <v>10</v>
      </c>
      <c r="D137" s="9">
        <f ca="1">SUMIFS(Tabela_Movimentacao_Geral[Quantidade],Tabela_Movimentacao_Geral[ID Produto],CONTROLE_ESTOQUE!$A137,Tabela_Movimentacao_Geral[Tipo Fluxo], "Entrada")</f>
        <v>204</v>
      </c>
      <c r="E137" s="9">
        <f ca="1">SUMIFS(Tabela_Movimentacao_Geral[Quantidade], Tabela_Movimentacao_Geral[ID Produto],CONTROLE_ESTOQUE!$A137,Tabela_Movimentacao_Geral[Tipo Fluxo], "Saida")</f>
        <v>88</v>
      </c>
      <c r="F137" s="9">
        <f ca="1">CONTROLE_ESTOQUE!$D137 - CONTROLE_ESTOQUE!$E137</f>
        <v>116</v>
      </c>
      <c r="G137" s="9" t="str">
        <f ca="1">IF(CONTROLE_ESTOQUE!$F137 &lt; CONTROLE_ESTOQUE!$C137, "COMPRAR URGENTE", "Estoque OK")</f>
        <v>Estoque OK</v>
      </c>
      <c r="K137"/>
    </row>
    <row r="138" spans="1:11" x14ac:dyDescent="0.3">
      <c r="A138" s="14" t="s">
        <v>419</v>
      </c>
      <c r="B138" s="14" t="str">
        <f>_xlfn.XLOOKUP(Tabela_Controle_Estoque[[#This Row],[ID_Produto]],Tabela_Produtos[ID_Produto],Tabela_Produtos[Descricao_Produto],"N/A")</f>
        <v>Fonte ATX 600W 80 Plus</v>
      </c>
      <c r="C138" s="14">
        <f>_xlfn.XLOOKUP(Tabela_Controle_Estoque[[#This Row],[ID_Produto]],Tabela_Produtos[ID_Produto],Tabela_Produtos[Estoque_Minimo],"N/A")</f>
        <v>12</v>
      </c>
      <c r="D138" s="14">
        <f ca="1">SUMIFS(Tabela_Movimentacao_Geral[Quantidade],Tabela_Movimentacao_Geral[ID Produto],CONTROLE_ESTOQUE!$A138,Tabela_Movimentacao_Geral[Tipo Fluxo], "Entrada")</f>
        <v>193</v>
      </c>
      <c r="E138" s="14">
        <f ca="1">SUMIFS(Tabela_Movimentacao_Geral[Quantidade], Tabela_Movimentacao_Geral[ID Produto],CONTROLE_ESTOQUE!$A138,Tabela_Movimentacao_Geral[Tipo Fluxo], "Saida")</f>
        <v>64</v>
      </c>
      <c r="F138" s="14">
        <f ca="1">CONTROLE_ESTOQUE!$D138 - CONTROLE_ESTOQUE!$E138</f>
        <v>129</v>
      </c>
      <c r="G138" s="14" t="str">
        <f ca="1">IF(CONTROLE_ESTOQUE!$F138 &lt; CONTROLE_ESTOQUE!$C138, "COMPRAR URGENTE", "Estoque OK")</f>
        <v>Estoque OK</v>
      </c>
      <c r="K138"/>
    </row>
    <row r="139" spans="1:11" x14ac:dyDescent="0.3">
      <c r="A139" s="9" t="s">
        <v>421</v>
      </c>
      <c r="B139" s="9" t="str">
        <f>_xlfn.XLOOKUP(Tabela_Controle_Estoque[[#This Row],[ID_Produto]],Tabela_Produtos[ID_Produto],Tabela_Produtos[Descricao_Produto],"N/A")</f>
        <v>Placa Mae B550M</v>
      </c>
      <c r="C139" s="9">
        <f>_xlfn.XLOOKUP(Tabela_Controle_Estoque[[#This Row],[ID_Produto]],Tabela_Produtos[ID_Produto],Tabela_Produtos[Estoque_Minimo],"N/A")</f>
        <v>8</v>
      </c>
      <c r="D139" s="9">
        <f ca="1">SUMIFS(Tabela_Movimentacao_Geral[Quantidade],Tabela_Movimentacao_Geral[ID Produto],CONTROLE_ESTOQUE!$A139,Tabela_Movimentacao_Geral[Tipo Fluxo], "Entrada")</f>
        <v>185</v>
      </c>
      <c r="E139" s="9">
        <f ca="1">SUMIFS(Tabela_Movimentacao_Geral[Quantidade], Tabela_Movimentacao_Geral[ID Produto],CONTROLE_ESTOQUE!$A139,Tabela_Movimentacao_Geral[Tipo Fluxo], "Saida")</f>
        <v>0</v>
      </c>
      <c r="F139" s="9">
        <f ca="1">CONTROLE_ESTOQUE!$D139 - CONTROLE_ESTOQUE!$E139</f>
        <v>185</v>
      </c>
      <c r="G139" s="9" t="str">
        <f ca="1">IF(CONTROLE_ESTOQUE!$F139 &lt; CONTROLE_ESTOQUE!$C139, "COMPRAR URGENTE", "Estoque OK")</f>
        <v>Estoque OK</v>
      </c>
      <c r="K139"/>
    </row>
    <row r="140" spans="1:11" x14ac:dyDescent="0.3">
      <c r="A140" s="14" t="s">
        <v>423</v>
      </c>
      <c r="B140" s="14" t="str">
        <f>_xlfn.XLOOKUP(Tabela_Controle_Estoque[[#This Row],[ID_Produto]],Tabela_Produtos[ID_Produto],Tabela_Produtos[Descricao_Produto],"N/A")</f>
        <v>SSD Externo Portatil 500GB</v>
      </c>
      <c r="C140" s="14">
        <f>_xlfn.XLOOKUP(Tabela_Controle_Estoque[[#This Row],[ID_Produto]],Tabela_Produtos[ID_Produto],Tabela_Produtos[Estoque_Minimo],"N/A")</f>
        <v>10</v>
      </c>
      <c r="D140" s="14">
        <f ca="1">SUMIFS(Tabela_Movimentacao_Geral[Quantidade],Tabela_Movimentacao_Geral[ID Produto],CONTROLE_ESTOQUE!$A140,Tabela_Movimentacao_Geral[Tipo Fluxo], "Entrada")</f>
        <v>138</v>
      </c>
      <c r="E140" s="14">
        <f ca="1">SUMIFS(Tabela_Movimentacao_Geral[Quantidade], Tabela_Movimentacao_Geral[ID Produto],CONTROLE_ESTOQUE!$A140,Tabela_Movimentacao_Geral[Tipo Fluxo], "Saida")</f>
        <v>12</v>
      </c>
      <c r="F140" s="14">
        <f ca="1">CONTROLE_ESTOQUE!$D140 - CONTROLE_ESTOQUE!$E140</f>
        <v>126</v>
      </c>
      <c r="G140" s="14" t="str">
        <f ca="1">IF(CONTROLE_ESTOQUE!$F140 &lt; CONTROLE_ESTOQUE!$C140, "COMPRAR URGENTE", "Estoque OK")</f>
        <v>Estoque OK</v>
      </c>
      <c r="K140"/>
    </row>
    <row r="141" spans="1:11" x14ac:dyDescent="0.3">
      <c r="A141" s="9" t="s">
        <v>425</v>
      </c>
      <c r="B141" s="9" t="str">
        <f>_xlfn.XLOOKUP(Tabela_Controle_Estoque[[#This Row],[ID_Produto]],Tabela_Produtos[ID_Produto],Tabela_Produtos[Descricao_Produto],"N/A")</f>
        <v>Leitor Cartao de Memoria</v>
      </c>
      <c r="C141" s="9">
        <f>_xlfn.XLOOKUP(Tabela_Controle_Estoque[[#This Row],[ID_Produto]],Tabela_Produtos[ID_Produto],Tabela_Produtos[Estoque_Minimo],"N/A")</f>
        <v>20</v>
      </c>
      <c r="D141" s="9">
        <f ca="1">SUMIFS(Tabela_Movimentacao_Geral[Quantidade],Tabela_Movimentacao_Geral[ID Produto],CONTROLE_ESTOQUE!$A141,Tabela_Movimentacao_Geral[Tipo Fluxo], "Entrada")</f>
        <v>195</v>
      </c>
      <c r="E141" s="9">
        <f ca="1">SUMIFS(Tabela_Movimentacao_Geral[Quantidade], Tabela_Movimentacao_Geral[ID Produto],CONTROLE_ESTOQUE!$A141,Tabela_Movimentacao_Geral[Tipo Fluxo], "Saida")</f>
        <v>93</v>
      </c>
      <c r="F141" s="9">
        <f ca="1">CONTROLE_ESTOQUE!$D141 - CONTROLE_ESTOQUE!$E141</f>
        <v>102</v>
      </c>
      <c r="G141" s="9" t="str">
        <f ca="1">IF(CONTROLE_ESTOQUE!$F141 &lt; CONTROLE_ESTOQUE!$C141, "COMPRAR URGENTE", "Estoque OK")</f>
        <v>Estoque OK</v>
      </c>
      <c r="K141"/>
    </row>
    <row r="142" spans="1:11" x14ac:dyDescent="0.3">
      <c r="A142" s="14" t="s">
        <v>427</v>
      </c>
      <c r="B142" s="14" t="str">
        <f>_xlfn.XLOOKUP(Tabela_Controle_Estoque[[#This Row],[ID_Produto]],Tabela_Produtos[ID_Produto],Tabela_Produtos[Descricao_Produto],"N/A")</f>
        <v>Filtro Privacidade 14pol</v>
      </c>
      <c r="C142" s="14">
        <f>_xlfn.XLOOKUP(Tabela_Controle_Estoque[[#This Row],[ID_Produto]],Tabela_Produtos[ID_Produto],Tabela_Produtos[Estoque_Minimo],"N/A")</f>
        <v>15</v>
      </c>
      <c r="D142" s="14">
        <f ca="1">SUMIFS(Tabela_Movimentacao_Geral[Quantidade],Tabela_Movimentacao_Geral[ID Produto],CONTROLE_ESTOQUE!$A142,Tabela_Movimentacao_Geral[Tipo Fluxo], "Entrada")</f>
        <v>120</v>
      </c>
      <c r="E142" s="14">
        <f ca="1">SUMIFS(Tabela_Movimentacao_Geral[Quantidade], Tabela_Movimentacao_Geral[ID Produto],CONTROLE_ESTOQUE!$A142,Tabela_Movimentacao_Geral[Tipo Fluxo], "Saida")</f>
        <v>16</v>
      </c>
      <c r="F142" s="14">
        <f ca="1">CONTROLE_ESTOQUE!$D142 - CONTROLE_ESTOQUE!$E142</f>
        <v>104</v>
      </c>
      <c r="G142" s="14" t="str">
        <f ca="1">IF(CONTROLE_ESTOQUE!$F142 &lt; CONTROLE_ESTOQUE!$C142, "COMPRAR URGENTE", "Estoque OK")</f>
        <v>Estoque OK</v>
      </c>
      <c r="K142"/>
    </row>
    <row r="143" spans="1:11" x14ac:dyDescent="0.3">
      <c r="A143" s="9" t="s">
        <v>429</v>
      </c>
      <c r="B143" s="9" t="str">
        <f>_xlfn.XLOOKUP(Tabela_Controle_Estoque[[#This Row],[ID_Produto]],Tabela_Produtos[ID_Produto],Tabela_Produtos[Descricao_Produto],"N/A")</f>
        <v>Trava de Seguranca Note</v>
      </c>
      <c r="C143" s="9">
        <f>_xlfn.XLOOKUP(Tabela_Controle_Estoque[[#This Row],[ID_Produto]],Tabela_Produtos[ID_Produto],Tabela_Produtos[Estoque_Minimo],"N/A")</f>
        <v>30</v>
      </c>
      <c r="D143" s="9">
        <f ca="1">SUMIFS(Tabela_Movimentacao_Geral[Quantidade],Tabela_Movimentacao_Geral[ID Produto],CONTROLE_ESTOQUE!$A143,Tabela_Movimentacao_Geral[Tipo Fluxo], "Entrada")</f>
        <v>159</v>
      </c>
      <c r="E143" s="9">
        <f ca="1">SUMIFS(Tabela_Movimentacao_Geral[Quantidade], Tabela_Movimentacao_Geral[ID Produto],CONTROLE_ESTOQUE!$A143,Tabela_Movimentacao_Geral[Tipo Fluxo], "Saida")</f>
        <v>143</v>
      </c>
      <c r="F143" s="9">
        <f ca="1">CONTROLE_ESTOQUE!$D143 - CONTROLE_ESTOQUE!$E143</f>
        <v>16</v>
      </c>
      <c r="G143" s="9" t="str">
        <f ca="1">IF(CONTROLE_ESTOQUE!$F143 &lt; CONTROLE_ESTOQUE!$C143, "COMPRAR URGENTE", "Estoque OK")</f>
        <v>COMPRAR URGENTE</v>
      </c>
      <c r="K143"/>
    </row>
    <row r="144" spans="1:11" x14ac:dyDescent="0.3">
      <c r="A144" s="14" t="s">
        <v>431</v>
      </c>
      <c r="B144" s="14" t="str">
        <f>_xlfn.XLOOKUP(Tabela_Controle_Estoque[[#This Row],[ID_Produto]],Tabela_Produtos[ID_Produto],Tabela_Produtos[Descricao_Produto],"N/A")</f>
        <v>Spray Limpa Contatos</v>
      </c>
      <c r="C144" s="14">
        <f>_xlfn.XLOOKUP(Tabela_Controle_Estoque[[#This Row],[ID_Produto]],Tabela_Produtos[ID_Produto],Tabela_Produtos[Estoque_Minimo],"N/A")</f>
        <v>40</v>
      </c>
      <c r="D144" s="14">
        <f ca="1">SUMIFS(Tabela_Movimentacao_Geral[Quantidade],Tabela_Movimentacao_Geral[ID Produto],CONTROLE_ESTOQUE!$A144,Tabela_Movimentacao_Geral[Tipo Fluxo], "Entrada")</f>
        <v>284</v>
      </c>
      <c r="E144" s="14">
        <f ca="1">SUMIFS(Tabela_Movimentacao_Geral[Quantidade], Tabela_Movimentacao_Geral[ID Produto],CONTROLE_ESTOQUE!$A144,Tabela_Movimentacao_Geral[Tipo Fluxo], "Saida")</f>
        <v>152</v>
      </c>
      <c r="F144" s="14">
        <f ca="1">CONTROLE_ESTOQUE!$D144 - CONTROLE_ESTOQUE!$E144</f>
        <v>132</v>
      </c>
      <c r="G144" s="14" t="str">
        <f ca="1">IF(CONTROLE_ESTOQUE!$F144 &lt; CONTROLE_ESTOQUE!$C144, "COMPRAR URGENTE", "Estoque OK")</f>
        <v>Estoque OK</v>
      </c>
      <c r="K144"/>
    </row>
    <row r="145" spans="1:11" x14ac:dyDescent="0.3">
      <c r="A145" s="9" t="s">
        <v>433</v>
      </c>
      <c r="B145" s="9" t="str">
        <f>_xlfn.XLOOKUP(Tabela_Controle_Estoque[[#This Row],[ID_Produto]],Tabela_Produtos[ID_Produto],Tabela_Produtos[Descricao_Produto],"N/A")</f>
        <v>Ar Comprimido Limpeza</v>
      </c>
      <c r="C145" s="9">
        <f>_xlfn.XLOOKUP(Tabela_Controle_Estoque[[#This Row],[ID_Produto]],Tabela_Produtos[ID_Produto],Tabela_Produtos[Estoque_Minimo],"N/A")</f>
        <v>30</v>
      </c>
      <c r="D145" s="9">
        <f ca="1">SUMIFS(Tabela_Movimentacao_Geral[Quantidade],Tabela_Movimentacao_Geral[ID Produto],CONTROLE_ESTOQUE!$A145,Tabela_Movimentacao_Geral[Tipo Fluxo], "Entrada")</f>
        <v>114</v>
      </c>
      <c r="E145" s="9">
        <f ca="1">SUMIFS(Tabela_Movimentacao_Geral[Quantidade], Tabela_Movimentacao_Geral[ID Produto],CONTROLE_ESTOQUE!$A145,Tabela_Movimentacao_Geral[Tipo Fluxo], "Saida")</f>
        <v>45</v>
      </c>
      <c r="F145" s="9">
        <f ca="1">CONTROLE_ESTOQUE!$D145 - CONTROLE_ESTOQUE!$E145</f>
        <v>69</v>
      </c>
      <c r="G145" s="9" t="str">
        <f ca="1">IF(CONTROLE_ESTOQUE!$F145 &lt; CONTROLE_ESTOQUE!$C145, "COMPRAR URGENTE", "Estoque OK")</f>
        <v>Estoque OK</v>
      </c>
      <c r="K145"/>
    </row>
    <row r="146" spans="1:11" x14ac:dyDescent="0.3">
      <c r="A146" s="14" t="s">
        <v>435</v>
      </c>
      <c r="B146" s="14" t="str">
        <f>_xlfn.XLOOKUP(Tabela_Controle_Estoque[[#This Row],[ID_Produto]],Tabela_Produtos[ID_Produto],Tabela_Produtos[Descricao_Produto],"N/A")</f>
        <v>Pulseira Antiestatica</v>
      </c>
      <c r="C146" s="14">
        <f>_xlfn.XLOOKUP(Tabela_Controle_Estoque[[#This Row],[ID_Produto]],Tabela_Produtos[ID_Produto],Tabela_Produtos[Estoque_Minimo],"N/A")</f>
        <v>20</v>
      </c>
      <c r="D146" s="14">
        <f ca="1">SUMIFS(Tabela_Movimentacao_Geral[Quantidade],Tabela_Movimentacao_Geral[ID Produto],CONTROLE_ESTOQUE!$A146,Tabela_Movimentacao_Geral[Tipo Fluxo], "Entrada")</f>
        <v>57</v>
      </c>
      <c r="E146" s="14">
        <f ca="1">SUMIFS(Tabela_Movimentacao_Geral[Quantidade], Tabela_Movimentacao_Geral[ID Produto],CONTROLE_ESTOQUE!$A146,Tabela_Movimentacao_Geral[Tipo Fluxo], "Saida")</f>
        <v>0</v>
      </c>
      <c r="F146" s="14">
        <f ca="1">CONTROLE_ESTOQUE!$D146 - CONTROLE_ESTOQUE!$E146</f>
        <v>57</v>
      </c>
      <c r="G146" s="14" t="str">
        <f ca="1">IF(CONTROLE_ESTOQUE!$F146 &lt; CONTROLE_ESTOQUE!$C146, "COMPRAR URGENTE", "Estoque OK")</f>
        <v>Estoque OK</v>
      </c>
      <c r="K146"/>
    </row>
    <row r="147" spans="1:11" x14ac:dyDescent="0.3">
      <c r="A147" s="9" t="s">
        <v>437</v>
      </c>
      <c r="B147" s="9" t="str">
        <f>_xlfn.XLOOKUP(Tabela_Controle_Estoque[[#This Row],[ID_Produto]],Tabela_Produtos[ID_Produto],Tabela_Produtos[Descricao_Produto],"N/A")</f>
        <v>Alicate de Crimpagem RJ45</v>
      </c>
      <c r="C147" s="9">
        <f>_xlfn.XLOOKUP(Tabela_Controle_Estoque[[#This Row],[ID_Produto]],Tabela_Produtos[ID_Produto],Tabela_Produtos[Estoque_Minimo],"N/A")</f>
        <v>10</v>
      </c>
      <c r="D147" s="9">
        <f ca="1">SUMIFS(Tabela_Movimentacao_Geral[Quantidade],Tabela_Movimentacao_Geral[ID Produto],CONTROLE_ESTOQUE!$A147,Tabela_Movimentacao_Geral[Tipo Fluxo], "Entrada")</f>
        <v>32</v>
      </c>
      <c r="E147" s="9">
        <f ca="1">SUMIFS(Tabela_Movimentacao_Geral[Quantidade], Tabela_Movimentacao_Geral[ID Produto],CONTROLE_ESTOQUE!$A147,Tabela_Movimentacao_Geral[Tipo Fluxo], "Saida")</f>
        <v>28</v>
      </c>
      <c r="F147" s="9">
        <f ca="1">CONTROLE_ESTOQUE!$D147 - CONTROLE_ESTOQUE!$E147</f>
        <v>4</v>
      </c>
      <c r="G147" s="9" t="str">
        <f ca="1">IF(CONTROLE_ESTOQUE!$F147 &lt; CONTROLE_ESTOQUE!$C147, "COMPRAR URGENTE", "Estoque OK")</f>
        <v>COMPRAR URGENTE</v>
      </c>
      <c r="K147"/>
    </row>
    <row r="148" spans="1:11" x14ac:dyDescent="0.3">
      <c r="A148" s="14" t="s">
        <v>439</v>
      </c>
      <c r="B148" s="14" t="str">
        <f>_xlfn.XLOOKUP(Tabela_Controle_Estoque[[#This Row],[ID_Produto]],Tabela_Produtos[ID_Produto],Tabela_Produtos[Descricao_Produto],"N/A")</f>
        <v>Testador de Cabo de Rede</v>
      </c>
      <c r="C148" s="14">
        <f>_xlfn.XLOOKUP(Tabela_Controle_Estoque[[#This Row],[ID_Produto]],Tabela_Produtos[ID_Produto],Tabela_Produtos[Estoque_Minimo],"N/A")</f>
        <v>10</v>
      </c>
      <c r="D148" s="14">
        <f ca="1">SUMIFS(Tabela_Movimentacao_Geral[Quantidade],Tabela_Movimentacao_Geral[ID Produto],CONTROLE_ESTOQUE!$A148,Tabela_Movimentacao_Geral[Tipo Fluxo], "Entrada")</f>
        <v>137</v>
      </c>
      <c r="E148" s="14">
        <f ca="1">SUMIFS(Tabela_Movimentacao_Geral[Quantidade], Tabela_Movimentacao_Geral[ID Produto],CONTROLE_ESTOQUE!$A148,Tabela_Movimentacao_Geral[Tipo Fluxo], "Saida")</f>
        <v>57</v>
      </c>
      <c r="F148" s="14">
        <f ca="1">CONTROLE_ESTOQUE!$D148 - CONTROLE_ESTOQUE!$E148</f>
        <v>80</v>
      </c>
      <c r="G148" s="14" t="str">
        <f ca="1">IF(CONTROLE_ESTOQUE!$F148 &lt; CONTROLE_ESTOQUE!$C148, "COMPRAR URGENTE", "Estoque OK")</f>
        <v>Estoque OK</v>
      </c>
      <c r="K148"/>
    </row>
    <row r="149" spans="1:11" x14ac:dyDescent="0.3">
      <c r="A149" s="9" t="s">
        <v>441</v>
      </c>
      <c r="B149" s="9" t="str">
        <f>_xlfn.XLOOKUP(Tabela_Controle_Estoque[[#This Row],[ID_Produto]],Tabela_Produtos[ID_Produto],Tabela_Produtos[Descricao_Produto],"N/A")</f>
        <v>Decapador de Cabos</v>
      </c>
      <c r="C149" s="9">
        <f>_xlfn.XLOOKUP(Tabela_Controle_Estoque[[#This Row],[ID_Produto]],Tabela_Produtos[ID_Produto],Tabela_Produtos[Estoque_Minimo],"N/A")</f>
        <v>15</v>
      </c>
      <c r="D149" s="9">
        <f ca="1">SUMIFS(Tabela_Movimentacao_Geral[Quantidade],Tabela_Movimentacao_Geral[ID Produto],CONTROLE_ESTOQUE!$A149,Tabela_Movimentacao_Geral[Tipo Fluxo], "Entrada")</f>
        <v>212</v>
      </c>
      <c r="E149" s="9">
        <f ca="1">SUMIFS(Tabela_Movimentacao_Geral[Quantidade], Tabela_Movimentacao_Geral[ID Produto],CONTROLE_ESTOQUE!$A149,Tabela_Movimentacao_Geral[Tipo Fluxo], "Saida")</f>
        <v>173</v>
      </c>
      <c r="F149" s="9">
        <f ca="1">CONTROLE_ESTOQUE!$D149 - CONTROLE_ESTOQUE!$E149</f>
        <v>39</v>
      </c>
      <c r="G149" s="9" t="str">
        <f ca="1">IF(CONTROLE_ESTOQUE!$F149 &lt; CONTROLE_ESTOQUE!$C149, "COMPRAR URGENTE", "Estoque OK")</f>
        <v>Estoque OK</v>
      </c>
      <c r="K149"/>
    </row>
    <row r="150" spans="1:11" x14ac:dyDescent="0.3">
      <c r="A150" s="14" t="s">
        <v>443</v>
      </c>
      <c r="B150" s="14" t="str">
        <f>_xlfn.XLOOKUP(Tabela_Controle_Estoque[[#This Row],[ID_Produto]],Tabela_Produtos[ID_Produto],Tabela_Produtos[Descricao_Produto],"N/A")</f>
        <v>Multimetro Digital</v>
      </c>
      <c r="C150" s="14">
        <f>_xlfn.XLOOKUP(Tabela_Controle_Estoque[[#This Row],[ID_Produto]],Tabela_Produtos[ID_Produto],Tabela_Produtos[Estoque_Minimo],"N/A")</f>
        <v>8</v>
      </c>
      <c r="D150" s="14">
        <f ca="1">SUMIFS(Tabela_Movimentacao_Geral[Quantidade],Tabela_Movimentacao_Geral[ID Produto],CONTROLE_ESTOQUE!$A150,Tabela_Movimentacao_Geral[Tipo Fluxo], "Entrada")</f>
        <v>174</v>
      </c>
      <c r="E150" s="14">
        <f ca="1">SUMIFS(Tabela_Movimentacao_Geral[Quantidade], Tabela_Movimentacao_Geral[ID Produto],CONTROLE_ESTOQUE!$A150,Tabela_Movimentacao_Geral[Tipo Fluxo], "Saida")</f>
        <v>126</v>
      </c>
      <c r="F150" s="14">
        <f ca="1">CONTROLE_ESTOQUE!$D150 - CONTROLE_ESTOQUE!$E150</f>
        <v>48</v>
      </c>
      <c r="G150" s="14" t="str">
        <f ca="1">IF(CONTROLE_ESTOQUE!$F150 &lt; CONTROLE_ESTOQUE!$C150, "COMPRAR URGENTE", "Estoque OK")</f>
        <v>Estoque OK</v>
      </c>
      <c r="K150"/>
    </row>
    <row r="151" spans="1:11" x14ac:dyDescent="0.3">
      <c r="A151" s="9" t="s">
        <v>445</v>
      </c>
      <c r="B151" s="9" t="str">
        <f>_xlfn.XLOOKUP(Tabela_Controle_Estoque[[#This Row],[ID_Produto]],Tabela_Produtos[ID_Produto],Tabela_Produtos[Descricao_Produto],"N/A")</f>
        <v>Lanterna de Led Inspeção</v>
      </c>
      <c r="C151" s="9">
        <f>_xlfn.XLOOKUP(Tabela_Controle_Estoque[[#This Row],[ID_Produto]],Tabela_Produtos[ID_Produto],Tabela_Produtos[Estoque_Minimo],"N/A")</f>
        <v>12</v>
      </c>
      <c r="D151" s="9">
        <f ca="1">SUMIFS(Tabela_Movimentacao_Geral[Quantidade],Tabela_Movimentacao_Geral[ID Produto],CONTROLE_ESTOQUE!$A151,Tabela_Movimentacao_Geral[Tipo Fluxo], "Entrada")</f>
        <v>439</v>
      </c>
      <c r="E151" s="9">
        <f ca="1">SUMIFS(Tabela_Movimentacao_Geral[Quantidade], Tabela_Movimentacao_Geral[ID Produto],CONTROLE_ESTOQUE!$A151,Tabela_Movimentacao_Geral[Tipo Fluxo], "Saida")</f>
        <v>29</v>
      </c>
      <c r="F151" s="9">
        <f ca="1">CONTROLE_ESTOQUE!$D151 - CONTROLE_ESTOQUE!$E151</f>
        <v>410</v>
      </c>
      <c r="G151" s="9" t="str">
        <f ca="1">IF(CONTROLE_ESTOQUE!$F151 &lt; CONTROLE_ESTOQUE!$C151, "COMPRAR URGENTE", "Estoque OK")</f>
        <v>Estoque OK</v>
      </c>
      <c r="K151"/>
    </row>
    <row r="152" spans="1:11" x14ac:dyDescent="0.3">
      <c r="A152" s="14" t="s">
        <v>447</v>
      </c>
      <c r="B152" s="14" t="str">
        <f>_xlfn.XLOOKUP(Tabela_Controle_Estoque[[#This Row],[ID_Produto]],Tabela_Produtos[ID_Produto],Tabela_Produtos[Descricao_Produto],"N/A")</f>
        <v>Papel Fotografico A4 20fls</v>
      </c>
      <c r="C152" s="14">
        <f>_xlfn.XLOOKUP(Tabela_Controle_Estoque[[#This Row],[ID_Produto]],Tabela_Produtos[ID_Produto],Tabela_Produtos[Estoque_Minimo],"N/A")</f>
        <v>50</v>
      </c>
      <c r="D152" s="14">
        <f ca="1">SUMIFS(Tabela_Movimentacao_Geral[Quantidade],Tabela_Movimentacao_Geral[ID Produto],CONTROLE_ESTOQUE!$A152,Tabela_Movimentacao_Geral[Tipo Fluxo], "Entrada")</f>
        <v>366</v>
      </c>
      <c r="E152" s="14">
        <f ca="1">SUMIFS(Tabela_Movimentacao_Geral[Quantidade], Tabela_Movimentacao_Geral[ID Produto],CONTROLE_ESTOQUE!$A152,Tabela_Movimentacao_Geral[Tipo Fluxo], "Saida")</f>
        <v>276</v>
      </c>
      <c r="F152" s="14">
        <f ca="1">CONTROLE_ESTOQUE!$D152 - CONTROLE_ESTOQUE!$E152</f>
        <v>90</v>
      </c>
      <c r="G152" s="14" t="str">
        <f ca="1">IF(CONTROLE_ESTOQUE!$F152 &lt; CONTROLE_ESTOQUE!$C152, "COMPRAR URGENTE", "Estoque OK")</f>
        <v>Estoque OK</v>
      </c>
      <c r="K152"/>
    </row>
    <row r="153" spans="1:11" x14ac:dyDescent="0.3">
      <c r="A153" s="9" t="s">
        <v>449</v>
      </c>
      <c r="B153" s="9" t="str">
        <f>_xlfn.XLOOKUP(Tabela_Controle_Estoque[[#This Row],[ID_Produto]],Tabela_Produtos[ID_Produto],Tabela_Produtos[Descricao_Produto],"N/A")</f>
        <v>Bloco de Notas Espiral</v>
      </c>
      <c r="C153" s="9">
        <f>_xlfn.XLOOKUP(Tabela_Controle_Estoque[[#This Row],[ID_Produto]],Tabela_Produtos[ID_Produto],Tabela_Produtos[Estoque_Minimo],"N/A")</f>
        <v>100</v>
      </c>
      <c r="D153" s="9">
        <f ca="1">SUMIFS(Tabela_Movimentacao_Geral[Quantidade],Tabela_Movimentacao_Geral[ID Produto],CONTROLE_ESTOQUE!$A153,Tabela_Movimentacao_Geral[Tipo Fluxo], "Entrada")</f>
        <v>219</v>
      </c>
      <c r="E153" s="9">
        <f ca="1">SUMIFS(Tabela_Movimentacao_Geral[Quantidade], Tabela_Movimentacao_Geral[ID Produto],CONTROLE_ESTOQUE!$A153,Tabela_Movimentacao_Geral[Tipo Fluxo], "Saida")</f>
        <v>175</v>
      </c>
      <c r="F153" s="9">
        <f ca="1">CONTROLE_ESTOQUE!$D153 - CONTROLE_ESTOQUE!$E153</f>
        <v>44</v>
      </c>
      <c r="G153" s="9" t="str">
        <f ca="1">IF(CONTROLE_ESTOQUE!$F153 &lt; CONTROLE_ESTOQUE!$C153, "COMPRAR URGENTE", "Estoque OK")</f>
        <v>COMPRAR URGENTE</v>
      </c>
      <c r="K153"/>
    </row>
    <row r="154" spans="1:11" x14ac:dyDescent="0.3">
      <c r="A154" s="14" t="s">
        <v>451</v>
      </c>
      <c r="B154" s="14" t="str">
        <f>_xlfn.XLOOKUP(Tabela_Controle_Estoque[[#This Row],[ID_Produto]],Tabela_Produtos[ID_Produto],Tabela_Produtos[Descricao_Produto],"N/A")</f>
        <v>Tesoura de Picotar</v>
      </c>
      <c r="C154" s="14">
        <f>_xlfn.XLOOKUP(Tabela_Controle_Estoque[[#This Row],[ID_Produto]],Tabela_Produtos[ID_Produto],Tabela_Produtos[Estoque_Minimo],"N/A")</f>
        <v>15</v>
      </c>
      <c r="D154" s="14">
        <f ca="1">SUMIFS(Tabela_Movimentacao_Geral[Quantidade],Tabela_Movimentacao_Geral[ID Produto],CONTROLE_ESTOQUE!$A154,Tabela_Movimentacao_Geral[Tipo Fluxo], "Entrada")</f>
        <v>97</v>
      </c>
      <c r="E154" s="14">
        <f ca="1">SUMIFS(Tabela_Movimentacao_Geral[Quantidade], Tabela_Movimentacao_Geral[ID Produto],CONTROLE_ESTOQUE!$A154,Tabela_Movimentacao_Geral[Tipo Fluxo], "Saida")</f>
        <v>0</v>
      </c>
      <c r="F154" s="14">
        <f ca="1">CONTROLE_ESTOQUE!$D154 - CONTROLE_ESTOQUE!$E154</f>
        <v>97</v>
      </c>
      <c r="G154" s="14" t="str">
        <f ca="1">IF(CONTROLE_ESTOQUE!$F154 &lt; CONTROLE_ESTOQUE!$C154, "COMPRAR URGENTE", "Estoque OK")</f>
        <v>Estoque OK</v>
      </c>
      <c r="K154"/>
    </row>
    <row r="155" spans="1:11" x14ac:dyDescent="0.3">
      <c r="A155" s="9" t="s">
        <v>453</v>
      </c>
      <c r="B155" s="9" t="str">
        <f>_xlfn.XLOOKUP(Tabela_Controle_Estoque[[#This Row],[ID_Produto]],Tabela_Produtos[ID_Produto],Tabela_Produtos[Descricao_Produto],"N/A")</f>
        <v>Estilete Largo Profissional</v>
      </c>
      <c r="C155" s="9">
        <f>_xlfn.XLOOKUP(Tabela_Controle_Estoque[[#This Row],[ID_Produto]],Tabela_Produtos[ID_Produto],Tabela_Produtos[Estoque_Minimo],"N/A")</f>
        <v>40</v>
      </c>
      <c r="D155" s="9">
        <f ca="1">SUMIFS(Tabela_Movimentacao_Geral[Quantidade],Tabela_Movimentacao_Geral[ID Produto],CONTROLE_ESTOQUE!$A155,Tabela_Movimentacao_Geral[Tipo Fluxo], "Entrada")</f>
        <v>418</v>
      </c>
      <c r="E155" s="9">
        <f ca="1">SUMIFS(Tabela_Movimentacao_Geral[Quantidade], Tabela_Movimentacao_Geral[ID Produto],CONTROLE_ESTOQUE!$A155,Tabela_Movimentacao_Geral[Tipo Fluxo], "Saida")</f>
        <v>268</v>
      </c>
      <c r="F155" s="9">
        <f ca="1">CONTROLE_ESTOQUE!$D155 - CONTROLE_ESTOQUE!$E155</f>
        <v>150</v>
      </c>
      <c r="G155" s="9" t="str">
        <f ca="1">IF(CONTROLE_ESTOQUE!$F155 &lt; CONTROLE_ESTOQUE!$C155, "COMPRAR URGENTE", "Estoque OK")</f>
        <v>Estoque OK</v>
      </c>
      <c r="K155"/>
    </row>
    <row r="156" spans="1:11" x14ac:dyDescent="0.3">
      <c r="A156" s="14" t="s">
        <v>455</v>
      </c>
      <c r="B156" s="14" t="str">
        <f>_xlfn.XLOOKUP(Tabela_Controle_Estoque[[#This Row],[ID_Produto]],Tabela_Produtos[ID_Produto],Tabela_Produtos[Descricao_Produto],"N/A")</f>
        <v>Lâmina Estilete 10un</v>
      </c>
      <c r="C156" s="14">
        <f>_xlfn.XLOOKUP(Tabela_Controle_Estoque[[#This Row],[ID_Produto]],Tabela_Produtos[ID_Produto],Tabela_Produtos[Estoque_Minimo],"N/A")</f>
        <v>50</v>
      </c>
      <c r="D156" s="14">
        <f ca="1">SUMIFS(Tabela_Movimentacao_Geral[Quantidade],Tabela_Movimentacao_Geral[ID Produto],CONTROLE_ESTOQUE!$A156,Tabela_Movimentacao_Geral[Tipo Fluxo], "Entrada")</f>
        <v>177</v>
      </c>
      <c r="E156" s="14">
        <f ca="1">SUMIFS(Tabela_Movimentacao_Geral[Quantidade], Tabela_Movimentacao_Geral[ID Produto],CONTROLE_ESTOQUE!$A156,Tabela_Movimentacao_Geral[Tipo Fluxo], "Saida")</f>
        <v>169</v>
      </c>
      <c r="F156" s="14">
        <f ca="1">CONTROLE_ESTOQUE!$D156 - CONTROLE_ESTOQUE!$E156</f>
        <v>8</v>
      </c>
      <c r="G156" s="14" t="str">
        <f ca="1">IF(CONTROLE_ESTOQUE!$F156 &lt; CONTROLE_ESTOQUE!$C156, "COMPRAR URGENTE", "Estoque OK")</f>
        <v>COMPRAR URGENTE</v>
      </c>
      <c r="K156"/>
    </row>
    <row r="157" spans="1:11" x14ac:dyDescent="0.3">
      <c r="A157" s="9" t="s">
        <v>457</v>
      </c>
      <c r="B157" s="9" t="str">
        <f>_xlfn.XLOOKUP(Tabela_Controle_Estoque[[#This Row],[ID_Produto]],Tabela_Produtos[ID_Produto],Tabela_Produtos[Descricao_Produto],"N/A")</f>
        <v>Perfurador 2 Furos 40fls</v>
      </c>
      <c r="C157" s="9">
        <f>_xlfn.XLOOKUP(Tabela_Controle_Estoque[[#This Row],[ID_Produto]],Tabela_Produtos[ID_Produto],Tabela_Produtos[Estoque_Minimo],"N/A")</f>
        <v>12</v>
      </c>
      <c r="D157" s="9">
        <f ca="1">SUMIFS(Tabela_Movimentacao_Geral[Quantidade],Tabela_Movimentacao_Geral[ID Produto],CONTROLE_ESTOQUE!$A157,Tabela_Movimentacao_Geral[Tipo Fluxo], "Entrada")</f>
        <v>92</v>
      </c>
      <c r="E157" s="9">
        <f ca="1">SUMIFS(Tabela_Movimentacao_Geral[Quantidade], Tabela_Movimentacao_Geral[ID Produto],CONTROLE_ESTOQUE!$A157,Tabela_Movimentacao_Geral[Tipo Fluxo], "Saida")</f>
        <v>88</v>
      </c>
      <c r="F157" s="9">
        <f ca="1">CONTROLE_ESTOQUE!$D157 - CONTROLE_ESTOQUE!$E157</f>
        <v>4</v>
      </c>
      <c r="G157" s="9" t="str">
        <f ca="1">IF(CONTROLE_ESTOQUE!$F157 &lt; CONTROLE_ESTOQUE!$C157, "COMPRAR URGENTE", "Estoque OK")</f>
        <v>COMPRAR URGENTE</v>
      </c>
      <c r="K157"/>
    </row>
    <row r="158" spans="1:11" x14ac:dyDescent="0.3">
      <c r="A158" s="14" t="s">
        <v>459</v>
      </c>
      <c r="B158" s="14" t="str">
        <f>_xlfn.XLOOKUP(Tabela_Controle_Estoque[[#This Row],[ID_Produto]],Tabela_Produtos[ID_Produto],Tabela_Produtos[Descricao_Produto],"N/A")</f>
        <v>Fita Dupla Face 3M</v>
      </c>
      <c r="C158" s="14">
        <f>_xlfn.XLOOKUP(Tabela_Controle_Estoque[[#This Row],[ID_Produto]],Tabela_Produtos[ID_Produto],Tabela_Produtos[Estoque_Minimo],"N/A")</f>
        <v>60</v>
      </c>
      <c r="D158" s="14">
        <f ca="1">SUMIFS(Tabela_Movimentacao_Geral[Quantidade],Tabela_Movimentacao_Geral[ID Produto],CONTROLE_ESTOQUE!$A158,Tabela_Movimentacao_Geral[Tipo Fluxo], "Entrada")</f>
        <v>179</v>
      </c>
      <c r="E158" s="14">
        <f ca="1">SUMIFS(Tabela_Movimentacao_Geral[Quantidade], Tabela_Movimentacao_Geral[ID Produto],CONTROLE_ESTOQUE!$A158,Tabela_Movimentacao_Geral[Tipo Fluxo], "Saida")</f>
        <v>178</v>
      </c>
      <c r="F158" s="14">
        <f ca="1">CONTROLE_ESTOQUE!$D158 - CONTROLE_ESTOQUE!$E158</f>
        <v>1</v>
      </c>
      <c r="G158" s="14" t="str">
        <f ca="1">IF(CONTROLE_ESTOQUE!$F158 &lt; CONTROLE_ESTOQUE!$C158, "COMPRAR URGENTE", "Estoque OK")</f>
        <v>COMPRAR URGENTE</v>
      </c>
      <c r="K158"/>
    </row>
    <row r="159" spans="1:11" x14ac:dyDescent="0.3">
      <c r="A159" s="9" t="s">
        <v>461</v>
      </c>
      <c r="B159" s="9" t="str">
        <f>_xlfn.XLOOKUP(Tabela_Controle_Estoque[[#This Row],[ID_Produto]],Tabela_Produtos[ID_Produto],Tabela_Produtos[Descricao_Produto],"N/A")</f>
        <v>Extrator de Grampos</v>
      </c>
      <c r="C159" s="9">
        <f>_xlfn.XLOOKUP(Tabela_Controle_Estoque[[#This Row],[ID_Produto]],Tabela_Produtos[ID_Produto],Tabela_Produtos[Estoque_Minimo],"N/A")</f>
        <v>100</v>
      </c>
      <c r="D159" s="9">
        <f ca="1">SUMIFS(Tabela_Movimentacao_Geral[Quantidade],Tabela_Movimentacao_Geral[ID Produto],CONTROLE_ESTOQUE!$A159,Tabela_Movimentacao_Geral[Tipo Fluxo], "Entrada")</f>
        <v>286</v>
      </c>
      <c r="E159" s="9">
        <f ca="1">SUMIFS(Tabela_Movimentacao_Geral[Quantidade], Tabela_Movimentacao_Geral[ID Produto],CONTROLE_ESTOQUE!$A159,Tabela_Movimentacao_Geral[Tipo Fluxo], "Saida")</f>
        <v>173</v>
      </c>
      <c r="F159" s="9">
        <f ca="1">CONTROLE_ESTOQUE!$D159 - CONTROLE_ESTOQUE!$E159</f>
        <v>113</v>
      </c>
      <c r="G159" s="9" t="str">
        <f ca="1">IF(CONTROLE_ESTOQUE!$F159 &lt; CONTROLE_ESTOQUE!$C159, "COMPRAR URGENTE", "Estoque OK")</f>
        <v>Estoque OK</v>
      </c>
      <c r="K159"/>
    </row>
    <row r="160" spans="1:11" x14ac:dyDescent="0.3">
      <c r="A160" s="14" t="s">
        <v>463</v>
      </c>
      <c r="B160" s="14" t="str">
        <f>_xlfn.XLOOKUP(Tabela_Controle_Estoque[[#This Row],[ID_Produto]],Tabela_Produtos[ID_Produto],Tabela_Produtos[Descricao_Produto],"N/A")</f>
        <v>Elastico de Borracha 100g</v>
      </c>
      <c r="C160" s="14">
        <f>_xlfn.XLOOKUP(Tabela_Controle_Estoque[[#This Row],[ID_Produto]],Tabela_Produtos[ID_Produto],Tabela_Produtos[Estoque_Minimo],"N/A")</f>
        <v>80</v>
      </c>
      <c r="D160" s="14">
        <f ca="1">SUMIFS(Tabela_Movimentacao_Geral[Quantidade],Tabela_Movimentacao_Geral[ID Produto],CONTROLE_ESTOQUE!$A160,Tabela_Movimentacao_Geral[Tipo Fluxo], "Entrada")</f>
        <v>167</v>
      </c>
      <c r="E160" s="14">
        <f ca="1">SUMIFS(Tabela_Movimentacao_Geral[Quantidade], Tabela_Movimentacao_Geral[ID Produto],CONTROLE_ESTOQUE!$A160,Tabela_Movimentacao_Geral[Tipo Fluxo], "Saida")</f>
        <v>157</v>
      </c>
      <c r="F160" s="14">
        <f ca="1">CONTROLE_ESTOQUE!$D160 - CONTROLE_ESTOQUE!$E160</f>
        <v>10</v>
      </c>
      <c r="G160" s="14" t="str">
        <f ca="1">IF(CONTROLE_ESTOQUE!$F160 &lt; CONTROLE_ESTOQUE!$C160, "COMPRAR URGENTE", "Estoque OK")</f>
        <v>COMPRAR URGENTE</v>
      </c>
      <c r="K160"/>
    </row>
    <row r="161" spans="1:11" x14ac:dyDescent="0.3">
      <c r="A161" s="9" t="s">
        <v>465</v>
      </c>
      <c r="B161" s="9" t="str">
        <f>_xlfn.XLOOKUP(Tabela_Controle_Estoque[[#This Row],[ID_Produto]],Tabela_Produtos[ID_Produto],Tabela_Produtos[Descricao_Produto],"N/A")</f>
        <v>Alfinete para Quadro 50un</v>
      </c>
      <c r="C161" s="9">
        <f>_xlfn.XLOOKUP(Tabela_Controle_Estoque[[#This Row],[ID_Produto]],Tabela_Produtos[ID_Produto],Tabela_Produtos[Estoque_Minimo],"N/A")</f>
        <v>120</v>
      </c>
      <c r="D161" s="9">
        <f ca="1">SUMIFS(Tabela_Movimentacao_Geral[Quantidade],Tabela_Movimentacao_Geral[ID Produto],CONTROLE_ESTOQUE!$A161,Tabela_Movimentacao_Geral[Tipo Fluxo], "Entrada")</f>
        <v>372</v>
      </c>
      <c r="E161" s="9">
        <f ca="1">SUMIFS(Tabela_Movimentacao_Geral[Quantidade], Tabela_Movimentacao_Geral[ID Produto],CONTROLE_ESTOQUE!$A161,Tabela_Movimentacao_Geral[Tipo Fluxo], "Saida")</f>
        <v>224</v>
      </c>
      <c r="F161" s="9">
        <f ca="1">CONTROLE_ESTOQUE!$D161 - CONTROLE_ESTOQUE!$E161</f>
        <v>148</v>
      </c>
      <c r="G161" s="9" t="str">
        <f ca="1">IF(CONTROLE_ESTOQUE!$F161 &lt; CONTROLE_ESTOQUE!$C161, "COMPRAR URGENTE", "Estoque OK")</f>
        <v>Estoque OK</v>
      </c>
      <c r="K161"/>
    </row>
    <row r="162" spans="1:11" x14ac:dyDescent="0.3">
      <c r="A162" s="14" t="s">
        <v>467</v>
      </c>
      <c r="B162" s="14" t="str">
        <f>_xlfn.XLOOKUP(Tabela_Controle_Estoque[[#This Row],[ID_Produto]],Tabela_Produtos[ID_Produto],Tabela_Produtos[Descricao_Produto],"N/A")</f>
        <v>Prancheta Oficio Madeira</v>
      </c>
      <c r="C162" s="14">
        <f>_xlfn.XLOOKUP(Tabela_Controle_Estoque[[#This Row],[ID_Produto]],Tabela_Produtos[ID_Produto],Tabela_Produtos[Estoque_Minimo],"N/A")</f>
        <v>40</v>
      </c>
      <c r="D162" s="14">
        <f ca="1">SUMIFS(Tabela_Movimentacao_Geral[Quantidade],Tabela_Movimentacao_Geral[ID Produto],CONTROLE_ESTOQUE!$A162,Tabela_Movimentacao_Geral[Tipo Fluxo], "Entrada")</f>
        <v>239</v>
      </c>
      <c r="E162" s="14">
        <f ca="1">SUMIFS(Tabela_Movimentacao_Geral[Quantidade], Tabela_Movimentacao_Geral[ID Produto],CONTROLE_ESTOQUE!$A162,Tabela_Movimentacao_Geral[Tipo Fluxo], "Saida")</f>
        <v>0</v>
      </c>
      <c r="F162" s="14">
        <f ca="1">CONTROLE_ESTOQUE!$D162 - CONTROLE_ESTOQUE!$E162</f>
        <v>239</v>
      </c>
      <c r="G162" s="14" t="str">
        <f ca="1">IF(CONTROLE_ESTOQUE!$F162 &lt; CONTROLE_ESTOQUE!$C162, "COMPRAR URGENTE", "Estoque OK")</f>
        <v>Estoque OK</v>
      </c>
      <c r="K162"/>
    </row>
    <row r="163" spans="1:11" x14ac:dyDescent="0.3">
      <c r="A163" s="9" t="s">
        <v>469</v>
      </c>
      <c r="B163" s="9" t="str">
        <f>_xlfn.XLOOKUP(Tabela_Controle_Estoque[[#This Row],[ID_Produto]],Tabela_Produtos[ID_Produto],Tabela_Produtos[Descricao_Produto],"N/A")</f>
        <v>Organizador de Mesa Acril</v>
      </c>
      <c r="C163" s="9">
        <f>_xlfn.XLOOKUP(Tabela_Controle_Estoque[[#This Row],[ID_Produto]],Tabela_Produtos[ID_Produto],Tabela_Produtos[Estoque_Minimo],"N/A")</f>
        <v>20</v>
      </c>
      <c r="D163" s="9">
        <f ca="1">SUMIFS(Tabela_Movimentacao_Geral[Quantidade],Tabela_Movimentacao_Geral[ID Produto],CONTROLE_ESTOQUE!$A163,Tabela_Movimentacao_Geral[Tipo Fluxo], "Entrada")</f>
        <v>199</v>
      </c>
      <c r="E163" s="9">
        <f ca="1">SUMIFS(Tabela_Movimentacao_Geral[Quantidade], Tabela_Movimentacao_Geral[ID Produto],CONTROLE_ESTOQUE!$A163,Tabela_Movimentacao_Geral[Tipo Fluxo], "Saida")</f>
        <v>188</v>
      </c>
      <c r="F163" s="9">
        <f ca="1">CONTROLE_ESTOQUE!$D163 - CONTROLE_ESTOQUE!$E163</f>
        <v>11</v>
      </c>
      <c r="G163" s="9" t="str">
        <f ca="1">IF(CONTROLE_ESTOQUE!$F163 &lt; CONTROLE_ESTOQUE!$C163, "COMPRAR URGENTE", "Estoque OK")</f>
        <v>COMPRAR URGENTE</v>
      </c>
      <c r="K163"/>
    </row>
    <row r="164" spans="1:11" x14ac:dyDescent="0.3">
      <c r="A164" s="14" t="s">
        <v>471</v>
      </c>
      <c r="B164" s="14" t="str">
        <f>_xlfn.XLOOKUP(Tabela_Controle_Estoque[[#This Row],[ID_Produto]],Tabela_Produtos[ID_Produto],Tabela_Produtos[Descricao_Produto],"N/A")</f>
        <v>Porta Recados Aramado</v>
      </c>
      <c r="C164" s="14">
        <f>_xlfn.XLOOKUP(Tabela_Controle_Estoque[[#This Row],[ID_Produto]],Tabela_Produtos[ID_Produto],Tabela_Produtos[Estoque_Minimo],"N/A")</f>
        <v>30</v>
      </c>
      <c r="D164" s="14">
        <f ca="1">SUMIFS(Tabela_Movimentacao_Geral[Quantidade],Tabela_Movimentacao_Geral[ID Produto],CONTROLE_ESTOQUE!$A164,Tabela_Movimentacao_Geral[Tipo Fluxo], "Entrada")</f>
        <v>115</v>
      </c>
      <c r="E164" s="14">
        <f ca="1">SUMIFS(Tabela_Movimentacao_Geral[Quantidade], Tabela_Movimentacao_Geral[ID Produto],CONTROLE_ESTOQUE!$A164,Tabela_Movimentacao_Geral[Tipo Fluxo], "Saida")</f>
        <v>112</v>
      </c>
      <c r="F164" s="14">
        <f ca="1">CONTROLE_ESTOQUE!$D164 - CONTROLE_ESTOQUE!$E164</f>
        <v>3</v>
      </c>
      <c r="G164" s="14" t="str">
        <f ca="1">IF(CONTROLE_ESTOQUE!$F164 &lt; CONTROLE_ESTOQUE!$C164, "COMPRAR URGENTE", "Estoque OK")</f>
        <v>COMPRAR URGENTE</v>
      </c>
      <c r="K164"/>
    </row>
    <row r="165" spans="1:11" x14ac:dyDescent="0.3">
      <c r="A165" s="9" t="s">
        <v>473</v>
      </c>
      <c r="B165" s="9" t="str">
        <f>_xlfn.XLOOKUP(Tabela_Controle_Estoque[[#This Row],[ID_Produto]],Tabela_Produtos[ID_Produto],Tabela_Produtos[Descricao_Produto],"N/A")</f>
        <v>Carimbo Datador Autom</v>
      </c>
      <c r="C165" s="9">
        <f>_xlfn.XLOOKUP(Tabela_Controle_Estoque[[#This Row],[ID_Produto]],Tabela_Produtos[ID_Produto],Tabela_Produtos[Estoque_Minimo],"N/A")</f>
        <v>10</v>
      </c>
      <c r="D165" s="9">
        <f ca="1">SUMIFS(Tabela_Movimentacao_Geral[Quantidade],Tabela_Movimentacao_Geral[ID Produto],CONTROLE_ESTOQUE!$A165,Tabela_Movimentacao_Geral[Tipo Fluxo], "Entrada")</f>
        <v>59</v>
      </c>
      <c r="E165" s="9">
        <f ca="1">SUMIFS(Tabela_Movimentacao_Geral[Quantidade], Tabela_Movimentacao_Geral[ID Produto],CONTROLE_ESTOQUE!$A165,Tabela_Movimentacao_Geral[Tipo Fluxo], "Saida")</f>
        <v>27</v>
      </c>
      <c r="F165" s="9">
        <f ca="1">CONTROLE_ESTOQUE!$D165 - CONTROLE_ESTOQUE!$E165</f>
        <v>32</v>
      </c>
      <c r="G165" s="9" t="str">
        <f ca="1">IF(CONTROLE_ESTOQUE!$F165 &lt; CONTROLE_ESTOQUE!$C165, "COMPRAR URGENTE", "Estoque OK")</f>
        <v>Estoque OK</v>
      </c>
      <c r="K165"/>
    </row>
    <row r="166" spans="1:11" x14ac:dyDescent="0.3">
      <c r="A166" s="14" t="s">
        <v>475</v>
      </c>
      <c r="B166" s="14" t="str">
        <f>_xlfn.XLOOKUP(Tabela_Controle_Estoque[[#This Row],[ID_Produto]],Tabela_Produtos[ID_Produto],Tabela_Produtos[Descricao_Produto],"N/A")</f>
        <v>Almofada para Carimbo</v>
      </c>
      <c r="C166" s="14">
        <f>_xlfn.XLOOKUP(Tabela_Controle_Estoque[[#This Row],[ID_Produto]],Tabela_Produtos[ID_Produto],Tabela_Produtos[Estoque_Minimo],"N/A")</f>
        <v>25</v>
      </c>
      <c r="D166" s="14">
        <f ca="1">SUMIFS(Tabela_Movimentacao_Geral[Quantidade],Tabela_Movimentacao_Geral[ID Produto],CONTROLE_ESTOQUE!$A166,Tabela_Movimentacao_Geral[Tipo Fluxo], "Entrada")</f>
        <v>208</v>
      </c>
      <c r="E166" s="14">
        <f ca="1">SUMIFS(Tabela_Movimentacao_Geral[Quantidade], Tabela_Movimentacao_Geral[ID Produto],CONTROLE_ESTOQUE!$A166,Tabela_Movimentacao_Geral[Tipo Fluxo], "Saida")</f>
        <v>108</v>
      </c>
      <c r="F166" s="14">
        <f ca="1">CONTROLE_ESTOQUE!$D166 - CONTROLE_ESTOQUE!$E166</f>
        <v>100</v>
      </c>
      <c r="G166" s="14" t="str">
        <f ca="1">IF(CONTROLE_ESTOQUE!$F166 &lt; CONTROLE_ESTOQUE!$C166, "COMPRAR URGENTE", "Estoque OK")</f>
        <v>Estoque OK</v>
      </c>
      <c r="K166"/>
    </row>
    <row r="167" spans="1:11" x14ac:dyDescent="0.3">
      <c r="A167" s="9" t="s">
        <v>477</v>
      </c>
      <c r="B167" s="9" t="str">
        <f>_xlfn.XLOOKUP(Tabela_Controle_Estoque[[#This Row],[ID_Produto]],Tabela_Produtos[ID_Produto],Tabela_Produtos[Descricao_Produto],"N/A")</f>
        <v>Tinta para Carimbo 30ml</v>
      </c>
      <c r="C167" s="9">
        <f>_xlfn.XLOOKUP(Tabela_Controle_Estoque[[#This Row],[ID_Produto]],Tabela_Produtos[ID_Produto],Tabela_Produtos[Estoque_Minimo],"N/A")</f>
        <v>40</v>
      </c>
      <c r="D167" s="9">
        <f ca="1">SUMIFS(Tabela_Movimentacao_Geral[Quantidade],Tabela_Movimentacao_Geral[ID Produto],CONTROLE_ESTOQUE!$A167,Tabela_Movimentacao_Geral[Tipo Fluxo], "Entrada")</f>
        <v>314</v>
      </c>
      <c r="E167" s="9">
        <f ca="1">SUMIFS(Tabela_Movimentacao_Geral[Quantidade], Tabela_Movimentacao_Geral[ID Produto],CONTROLE_ESTOQUE!$A167,Tabela_Movimentacao_Geral[Tipo Fluxo], "Saida")</f>
        <v>142</v>
      </c>
      <c r="F167" s="9">
        <f ca="1">CONTROLE_ESTOQUE!$D167 - CONTROLE_ESTOQUE!$E167</f>
        <v>172</v>
      </c>
      <c r="G167" s="9" t="str">
        <f ca="1">IF(CONTROLE_ESTOQUE!$F167 &lt; CONTROLE_ESTOQUE!$C167, "COMPRAR URGENTE", "Estoque OK")</f>
        <v>Estoque OK</v>
      </c>
      <c r="K167"/>
    </row>
    <row r="168" spans="1:11" x14ac:dyDescent="0.3">
      <c r="A168" s="14" t="s">
        <v>479</v>
      </c>
      <c r="B168" s="14" t="str">
        <f>_xlfn.XLOOKUP(Tabela_Controle_Estoque[[#This Row],[ID_Produto]],Tabela_Produtos[ID_Produto],Tabela_Produtos[Descricao_Produto],"N/A")</f>
        <v>Pasta L Transparente 10un</v>
      </c>
      <c r="C168" s="14">
        <f>_xlfn.XLOOKUP(Tabela_Controle_Estoque[[#This Row],[ID_Produto]],Tabela_Produtos[ID_Produto],Tabela_Produtos[Estoque_Minimo],"N/A")</f>
        <v>100</v>
      </c>
      <c r="D168" s="14">
        <f ca="1">SUMIFS(Tabela_Movimentacao_Geral[Quantidade],Tabela_Movimentacao_Geral[ID Produto],CONTROLE_ESTOQUE!$A168,Tabela_Movimentacao_Geral[Tipo Fluxo], "Entrada")</f>
        <v>197</v>
      </c>
      <c r="E168" s="14">
        <f ca="1">SUMIFS(Tabela_Movimentacao_Geral[Quantidade], Tabela_Movimentacao_Geral[ID Produto],CONTROLE_ESTOQUE!$A168,Tabela_Movimentacao_Geral[Tipo Fluxo], "Saida")</f>
        <v>123</v>
      </c>
      <c r="F168" s="14">
        <f ca="1">CONTROLE_ESTOQUE!$D168 - CONTROLE_ESTOQUE!$E168</f>
        <v>74</v>
      </c>
      <c r="G168" s="14" t="str">
        <f ca="1">IF(CONTROLE_ESTOQUE!$F168 &lt; CONTROLE_ESTOQUE!$C168, "COMPRAR URGENTE", "Estoque OK")</f>
        <v>COMPRAR URGENTE</v>
      </c>
      <c r="K168"/>
    </row>
    <row r="169" spans="1:11" x14ac:dyDescent="0.3">
      <c r="A169" s="9" t="s">
        <v>481</v>
      </c>
      <c r="B169" s="9" t="str">
        <f>_xlfn.XLOOKUP(Tabela_Controle_Estoque[[#This Row],[ID_Produto]],Tabela_Produtos[ID_Produto],Tabela_Produtos[Descricao_Produto],"N/A")</f>
        <v>Pasta Catalogo 50 Envelopes</v>
      </c>
      <c r="C169" s="9">
        <f>_xlfn.XLOOKUP(Tabela_Controle_Estoque[[#This Row],[ID_Produto]],Tabela_Produtos[ID_Produto],Tabela_Produtos[Estoque_Minimo],"N/A")</f>
        <v>40</v>
      </c>
      <c r="D169" s="9">
        <f ca="1">SUMIFS(Tabela_Movimentacao_Geral[Quantidade],Tabela_Movimentacao_Geral[ID Produto],CONTROLE_ESTOQUE!$A169,Tabela_Movimentacao_Geral[Tipo Fluxo], "Entrada")</f>
        <v>236</v>
      </c>
      <c r="E169" s="9">
        <f ca="1">SUMIFS(Tabela_Movimentacao_Geral[Quantidade], Tabela_Movimentacao_Geral[ID Produto],CONTROLE_ESTOQUE!$A169,Tabela_Movimentacao_Geral[Tipo Fluxo], "Saida")</f>
        <v>215</v>
      </c>
      <c r="F169" s="9">
        <f ca="1">CONTROLE_ESTOQUE!$D169 - CONTROLE_ESTOQUE!$E169</f>
        <v>21</v>
      </c>
      <c r="G169" s="9" t="str">
        <f ca="1">IF(CONTROLE_ESTOQUE!$F169 &lt; CONTROLE_ESTOQUE!$C169, "COMPRAR URGENTE", "Estoque OK")</f>
        <v>COMPRAR URGENTE</v>
      </c>
      <c r="K169"/>
    </row>
    <row r="170" spans="1:11" x14ac:dyDescent="0.3">
      <c r="A170" s="14" t="s">
        <v>483</v>
      </c>
      <c r="B170" s="14" t="str">
        <f>_xlfn.XLOOKUP(Tabela_Controle_Estoque[[#This Row],[ID_Produto]],Tabela_Produtos[ID_Produto],Tabela_Produtos[Descricao_Produto],"N/A")</f>
        <v>Arquivo Morto Papelao</v>
      </c>
      <c r="C170" s="14">
        <f>_xlfn.XLOOKUP(Tabela_Controle_Estoque[[#This Row],[ID_Produto]],Tabela_Produtos[ID_Produto],Tabela_Produtos[Estoque_Minimo],"N/A")</f>
        <v>150</v>
      </c>
      <c r="D170" s="14">
        <f ca="1">SUMIFS(Tabela_Movimentacao_Geral[Quantidade],Tabela_Movimentacao_Geral[ID Produto],CONTROLE_ESTOQUE!$A170,Tabela_Movimentacao_Geral[Tipo Fluxo], "Entrada")</f>
        <v>181</v>
      </c>
      <c r="E170" s="14">
        <f ca="1">SUMIFS(Tabela_Movimentacao_Geral[Quantidade], Tabela_Movimentacao_Geral[ID Produto],CONTROLE_ESTOQUE!$A170,Tabela_Movimentacao_Geral[Tipo Fluxo], "Saida")</f>
        <v>0</v>
      </c>
      <c r="F170" s="14">
        <f ca="1">CONTROLE_ESTOQUE!$D170 - CONTROLE_ESTOQUE!$E170</f>
        <v>181</v>
      </c>
      <c r="G170" s="14" t="str">
        <f ca="1">IF(CONTROLE_ESTOQUE!$F170 &lt; CONTROLE_ESTOQUE!$C170, "COMPRAR URGENTE", "Estoque OK")</f>
        <v>Estoque OK</v>
      </c>
      <c r="K170"/>
    </row>
    <row r="171" spans="1:11" x14ac:dyDescent="0.3">
      <c r="A171" s="9" t="s">
        <v>485</v>
      </c>
      <c r="B171" s="9" t="str">
        <f>_xlfn.XLOOKUP(Tabela_Controle_Estoque[[#This Row],[ID_Produto]],Tabela_Produtos[ID_Produto],Tabela_Produtos[Descricao_Produto],"N/A")</f>
        <v>Caixa Organizadora 20L</v>
      </c>
      <c r="C171" s="9">
        <f>_xlfn.XLOOKUP(Tabela_Controle_Estoque[[#This Row],[ID_Produto]],Tabela_Produtos[ID_Produto],Tabela_Produtos[Estoque_Minimo],"N/A")</f>
        <v>30</v>
      </c>
      <c r="D171" s="9">
        <f ca="1">SUMIFS(Tabela_Movimentacao_Geral[Quantidade],Tabela_Movimentacao_Geral[ID Produto],CONTROLE_ESTOQUE!$A171,Tabela_Movimentacao_Geral[Tipo Fluxo], "Entrada")</f>
        <v>138</v>
      </c>
      <c r="E171" s="9">
        <f ca="1">SUMIFS(Tabela_Movimentacao_Geral[Quantidade], Tabela_Movimentacao_Geral[ID Produto],CONTROLE_ESTOQUE!$A171,Tabela_Movimentacao_Geral[Tipo Fluxo], "Saida")</f>
        <v>128</v>
      </c>
      <c r="F171" s="9">
        <f ca="1">CONTROLE_ESTOQUE!$D171 - CONTROLE_ESTOQUE!$E171</f>
        <v>10</v>
      </c>
      <c r="G171" s="9" t="str">
        <f ca="1">IF(CONTROLE_ESTOQUE!$F171 &lt; CONTROLE_ESTOQUE!$C171, "COMPRAR URGENTE", "Estoque OK")</f>
        <v>COMPRAR URGENTE</v>
      </c>
      <c r="K171"/>
    </row>
    <row r="172" spans="1:11" x14ac:dyDescent="0.3">
      <c r="A172" s="14" t="s">
        <v>487</v>
      </c>
      <c r="B172" s="14" t="str">
        <f>_xlfn.XLOOKUP(Tabela_Controle_Estoque[[#This Row],[ID_Produto]],Tabela_Produtos[ID_Produto],Tabela_Produtos[Descricao_Produto],"N/A")</f>
        <v>Calculadora de Mesa 12 Dig</v>
      </c>
      <c r="C172" s="14">
        <f>_xlfn.XLOOKUP(Tabela_Controle_Estoque[[#This Row],[ID_Produto]],Tabela_Produtos[ID_Produto],Tabela_Produtos[Estoque_Minimo],"N/A")</f>
        <v>25</v>
      </c>
      <c r="D172" s="14">
        <f ca="1">SUMIFS(Tabela_Movimentacao_Geral[Quantidade],Tabela_Movimentacao_Geral[ID Produto],CONTROLE_ESTOQUE!$A172,Tabela_Movimentacao_Geral[Tipo Fluxo], "Entrada")</f>
        <v>180</v>
      </c>
      <c r="E172" s="14">
        <f ca="1">SUMIFS(Tabela_Movimentacao_Geral[Quantidade], Tabela_Movimentacao_Geral[ID Produto],CONTROLE_ESTOQUE!$A172,Tabela_Movimentacao_Geral[Tipo Fluxo], "Saida")</f>
        <v>0</v>
      </c>
      <c r="F172" s="14">
        <f ca="1">CONTROLE_ESTOQUE!$D172 - CONTROLE_ESTOQUE!$E172</f>
        <v>180</v>
      </c>
      <c r="G172" s="14" t="str">
        <f ca="1">IF(CONTROLE_ESTOQUE!$F172 &lt; CONTROLE_ESTOQUE!$C172, "COMPRAR URGENTE", "Estoque OK")</f>
        <v>Estoque OK</v>
      </c>
      <c r="K172"/>
    </row>
    <row r="173" spans="1:11" x14ac:dyDescent="0.3">
      <c r="A173" s="9" t="s">
        <v>489</v>
      </c>
      <c r="B173" s="9" t="str">
        <f>_xlfn.XLOOKUP(Tabela_Controle_Estoque[[#This Row],[ID_Produto]],Tabela_Produtos[ID_Produto],Tabela_Produtos[Descricao_Produto],"N/A")</f>
        <v>Grampeador de Tapeceiro</v>
      </c>
      <c r="C173" s="9">
        <f>_xlfn.XLOOKUP(Tabela_Controle_Estoque[[#This Row],[ID_Produto]],Tabela_Produtos[ID_Produto],Tabela_Produtos[Estoque_Minimo],"N/A")</f>
        <v>5</v>
      </c>
      <c r="D173" s="9">
        <f ca="1">SUMIFS(Tabela_Movimentacao_Geral[Quantidade],Tabela_Movimentacao_Geral[ID Produto],CONTROLE_ESTOQUE!$A173,Tabela_Movimentacao_Geral[Tipo Fluxo], "Entrada")</f>
        <v>119</v>
      </c>
      <c r="E173" s="9">
        <f ca="1">SUMIFS(Tabela_Movimentacao_Geral[Quantidade], Tabela_Movimentacao_Geral[ID Produto],CONTROLE_ESTOQUE!$A173,Tabela_Movimentacao_Geral[Tipo Fluxo], "Saida")</f>
        <v>80</v>
      </c>
      <c r="F173" s="9">
        <f ca="1">CONTROLE_ESTOQUE!$D173 - CONTROLE_ESTOQUE!$E173</f>
        <v>39</v>
      </c>
      <c r="G173" s="9" t="str">
        <f ca="1">IF(CONTROLE_ESTOQUE!$F173 &lt; CONTROLE_ESTOQUE!$C173, "COMPRAR URGENTE", "Estoque OK")</f>
        <v>Estoque OK</v>
      </c>
      <c r="K173"/>
    </row>
    <row r="174" spans="1:11" x14ac:dyDescent="0.3">
      <c r="A174" s="14" t="s">
        <v>491</v>
      </c>
      <c r="B174" s="14" t="str">
        <f>_xlfn.XLOOKUP(Tabela_Controle_Estoque[[#This Row],[ID_Produto]],Tabela_Produtos[ID_Produto],Tabela_Produtos[Descricao_Produto],"N/A")</f>
        <v>Fita para Empacotamento</v>
      </c>
      <c r="C174" s="14">
        <f>_xlfn.XLOOKUP(Tabela_Controle_Estoque[[#This Row],[ID_Produto]],Tabela_Produtos[ID_Produto],Tabela_Produtos[Estoque_Minimo],"N/A")</f>
        <v>100</v>
      </c>
      <c r="D174" s="14">
        <f ca="1">SUMIFS(Tabela_Movimentacao_Geral[Quantidade],Tabela_Movimentacao_Geral[ID Produto],CONTROLE_ESTOQUE!$A174,Tabela_Movimentacao_Geral[Tipo Fluxo], "Entrada")</f>
        <v>128</v>
      </c>
      <c r="E174" s="14">
        <f ca="1">SUMIFS(Tabela_Movimentacao_Geral[Quantidade], Tabela_Movimentacao_Geral[ID Produto],CONTROLE_ESTOQUE!$A174,Tabela_Movimentacao_Geral[Tipo Fluxo], "Saida")</f>
        <v>127</v>
      </c>
      <c r="F174" s="14">
        <f ca="1">CONTROLE_ESTOQUE!$D174 - CONTROLE_ESTOQUE!$E174</f>
        <v>1</v>
      </c>
      <c r="G174" s="14" t="str">
        <f ca="1">IF(CONTROLE_ESTOQUE!$F174 &lt; CONTROLE_ESTOQUE!$C174, "COMPRAR URGENTE", "Estoque OK")</f>
        <v>COMPRAR URGENTE</v>
      </c>
      <c r="K174"/>
    </row>
    <row r="175" spans="1:11" x14ac:dyDescent="0.3">
      <c r="A175" s="9" t="s">
        <v>493</v>
      </c>
      <c r="B175" s="9" t="str">
        <f>_xlfn.XLOOKUP(Tabela_Controle_Estoque[[#This Row],[ID_Produto]],Tabela_Produtos[ID_Produto],Tabela_Produtos[Descricao_Produto],"N/A")</f>
        <v>Filme Stretch Manual 50cm</v>
      </c>
      <c r="C175" s="9">
        <f>_xlfn.XLOOKUP(Tabela_Controle_Estoque[[#This Row],[ID_Produto]],Tabela_Produtos[ID_Produto],Tabela_Produtos[Estoque_Minimo],"N/A")</f>
        <v>40</v>
      </c>
      <c r="D175" s="9">
        <f ca="1">SUMIFS(Tabela_Movimentacao_Geral[Quantidade],Tabela_Movimentacao_Geral[ID Produto],CONTROLE_ESTOQUE!$A175,Tabela_Movimentacao_Geral[Tipo Fluxo], "Entrada")</f>
        <v>200</v>
      </c>
      <c r="E175" s="9">
        <f ca="1">SUMIFS(Tabela_Movimentacao_Geral[Quantidade], Tabela_Movimentacao_Geral[ID Produto],CONTROLE_ESTOQUE!$A175,Tabela_Movimentacao_Geral[Tipo Fluxo], "Saida")</f>
        <v>200</v>
      </c>
      <c r="F175" s="9">
        <f ca="1">CONTROLE_ESTOQUE!$D175 - CONTROLE_ESTOQUE!$E175</f>
        <v>0</v>
      </c>
      <c r="G175" s="9" t="str">
        <f ca="1">IF(CONTROLE_ESTOQUE!$F175 &lt; CONTROLE_ESTOQUE!$C175, "COMPRAR URGENTE", "Estoque OK")</f>
        <v>COMPRAR URGENTE</v>
      </c>
      <c r="K175"/>
    </row>
    <row r="176" spans="1:11" x14ac:dyDescent="0.3">
      <c r="A176" s="14" t="s">
        <v>495</v>
      </c>
      <c r="B176" s="14" t="str">
        <f>_xlfn.XLOOKUP(Tabela_Controle_Estoque[[#This Row],[ID_Produto]],Tabela_Produtos[ID_Produto],Tabela_Produtos[Descricao_Produto],"N/A")</f>
        <v>Plastico Bolha 1.2x50m</v>
      </c>
      <c r="C176" s="14">
        <f>_xlfn.XLOOKUP(Tabela_Controle_Estoque[[#This Row],[ID_Produto]],Tabela_Produtos[ID_Produto],Tabela_Produtos[Estoque_Minimo],"N/A")</f>
        <v>10</v>
      </c>
      <c r="D176" s="14">
        <f ca="1">SUMIFS(Tabela_Movimentacao_Geral[Quantidade],Tabela_Movimentacao_Geral[ID Produto],CONTROLE_ESTOQUE!$A176,Tabela_Movimentacao_Geral[Tipo Fluxo], "Entrada")</f>
        <v>141</v>
      </c>
      <c r="E176" s="14">
        <f ca="1">SUMIFS(Tabela_Movimentacao_Geral[Quantidade], Tabela_Movimentacao_Geral[ID Produto],CONTROLE_ESTOQUE!$A176,Tabela_Movimentacao_Geral[Tipo Fluxo], "Saida")</f>
        <v>95</v>
      </c>
      <c r="F176" s="14">
        <f ca="1">CONTROLE_ESTOQUE!$D176 - CONTROLE_ESTOQUE!$E176</f>
        <v>46</v>
      </c>
      <c r="G176" s="14" t="str">
        <f ca="1">IF(CONTROLE_ESTOQUE!$F176 &lt; CONTROLE_ESTOQUE!$C176, "COMPRAR URGENTE", "Estoque OK")</f>
        <v>Estoque OK</v>
      </c>
      <c r="K176"/>
    </row>
    <row r="177" spans="1:11" x14ac:dyDescent="0.3">
      <c r="A177" s="9" t="s">
        <v>497</v>
      </c>
      <c r="B177" s="9" t="str">
        <f>_xlfn.XLOOKUP(Tabela_Controle_Estoque[[#This Row],[ID_Produto]],Tabela_Produtos[ID_Produto],Tabela_Produtos[Descricao_Produto],"N/A")</f>
        <v>Envelope Bolha A4 10un</v>
      </c>
      <c r="C177" s="9">
        <f>_xlfn.XLOOKUP(Tabela_Controle_Estoque[[#This Row],[ID_Produto]],Tabela_Produtos[ID_Produto],Tabela_Produtos[Estoque_Minimo],"N/A")</f>
        <v>50</v>
      </c>
      <c r="D177" s="9">
        <f ca="1">SUMIFS(Tabela_Movimentacao_Geral[Quantidade],Tabela_Movimentacao_Geral[ID Produto],CONTROLE_ESTOQUE!$A177,Tabela_Movimentacao_Geral[Tipo Fluxo], "Entrada")</f>
        <v>212</v>
      </c>
      <c r="E177" s="9">
        <f ca="1">SUMIFS(Tabela_Movimentacao_Geral[Quantidade], Tabela_Movimentacao_Geral[ID Produto],CONTROLE_ESTOQUE!$A177,Tabela_Movimentacao_Geral[Tipo Fluxo], "Saida")</f>
        <v>147</v>
      </c>
      <c r="F177" s="9">
        <f ca="1">CONTROLE_ESTOQUE!$D177 - CONTROLE_ESTOQUE!$E177</f>
        <v>65</v>
      </c>
      <c r="G177" s="9" t="str">
        <f ca="1">IF(CONTROLE_ESTOQUE!$F177 &lt; CONTROLE_ESTOQUE!$C177, "COMPRAR URGENTE", "Estoque OK")</f>
        <v>Estoque OK</v>
      </c>
      <c r="K177"/>
    </row>
    <row r="178" spans="1:11" x14ac:dyDescent="0.3">
      <c r="A178" s="14" t="s">
        <v>499</v>
      </c>
      <c r="B178" s="14" t="str">
        <f>_xlfn.XLOOKUP(Tabela_Controle_Estoque[[#This Row],[ID_Produto]],Tabela_Produtos[ID_Produto],Tabela_Produtos[Descricao_Produto],"N/A")</f>
        <v>Estante de Aco 6 Prateiras</v>
      </c>
      <c r="C178" s="14">
        <f>_xlfn.XLOOKUP(Tabela_Controle_Estoque[[#This Row],[ID_Produto]],Tabela_Produtos[ID_Produto],Tabela_Produtos[Estoque_Minimo],"N/A")</f>
        <v>5</v>
      </c>
      <c r="D178" s="14">
        <f ca="1">SUMIFS(Tabela_Movimentacao_Geral[Quantidade],Tabela_Movimentacao_Geral[ID Produto],CONTROLE_ESTOQUE!$A178,Tabela_Movimentacao_Geral[Tipo Fluxo], "Entrada")</f>
        <v>32</v>
      </c>
      <c r="E178" s="14">
        <f ca="1">SUMIFS(Tabela_Movimentacao_Geral[Quantidade], Tabela_Movimentacao_Geral[ID Produto],CONTROLE_ESTOQUE!$A178,Tabela_Movimentacao_Geral[Tipo Fluxo], "Saida")</f>
        <v>20</v>
      </c>
      <c r="F178" s="14">
        <f ca="1">CONTROLE_ESTOQUE!$D178 - CONTROLE_ESTOQUE!$E178</f>
        <v>12</v>
      </c>
      <c r="G178" s="14" t="str">
        <f ca="1">IF(CONTROLE_ESTOQUE!$F178 &lt; CONTROLE_ESTOQUE!$C178, "COMPRAR URGENTE", "Estoque OK")</f>
        <v>Estoque OK</v>
      </c>
      <c r="K178"/>
    </row>
    <row r="179" spans="1:11" x14ac:dyDescent="0.3">
      <c r="A179" s="9" t="s">
        <v>501</v>
      </c>
      <c r="B179" s="9" t="str">
        <f>_xlfn.XLOOKUP(Tabela_Controle_Estoque[[#This Row],[ID_Produto]],Tabela_Produtos[ID_Produto],Tabela_Produtos[Descricao_Produto],"N/A")</f>
        <v>Armario de Aco 2 Portas</v>
      </c>
      <c r="C179" s="9">
        <f>_xlfn.XLOOKUP(Tabela_Controle_Estoque[[#This Row],[ID_Produto]],Tabela_Produtos[ID_Produto],Tabela_Produtos[Estoque_Minimo],"N/A")</f>
        <v>3</v>
      </c>
      <c r="D179" s="9">
        <f ca="1">SUMIFS(Tabela_Movimentacao_Geral[Quantidade],Tabela_Movimentacao_Geral[ID Produto],CONTROLE_ESTOQUE!$A179,Tabela_Movimentacao_Geral[Tipo Fluxo], "Entrada")</f>
        <v>112</v>
      </c>
      <c r="E179" s="9">
        <f ca="1">SUMIFS(Tabela_Movimentacao_Geral[Quantidade], Tabela_Movimentacao_Geral[ID Produto],CONTROLE_ESTOQUE!$A179,Tabela_Movimentacao_Geral[Tipo Fluxo], "Saida")</f>
        <v>84</v>
      </c>
      <c r="F179" s="9">
        <f ca="1">CONTROLE_ESTOQUE!$D179 - CONTROLE_ESTOQUE!$E179</f>
        <v>28</v>
      </c>
      <c r="G179" s="9" t="str">
        <f ca="1">IF(CONTROLE_ESTOQUE!$F179 &lt; CONTROLE_ESTOQUE!$C179, "COMPRAR URGENTE", "Estoque OK")</f>
        <v>Estoque OK</v>
      </c>
      <c r="K179"/>
    </row>
    <row r="180" spans="1:11" x14ac:dyDescent="0.3">
      <c r="A180" s="14" t="s">
        <v>503</v>
      </c>
      <c r="B180" s="14" t="str">
        <f>_xlfn.XLOOKUP(Tabela_Controle_Estoque[[#This Row],[ID_Produto]],Tabela_Produtos[ID_Produto],Tabela_Produtos[Descricao_Produto],"N/A")</f>
        <v>Mesa de Reuniao 2.0m</v>
      </c>
      <c r="C180" s="14">
        <f>_xlfn.XLOOKUP(Tabela_Controle_Estoque[[#This Row],[ID_Produto]],Tabela_Produtos[ID_Produto],Tabela_Produtos[Estoque_Minimo],"N/A")</f>
        <v>2</v>
      </c>
      <c r="D180" s="14">
        <f ca="1">SUMIFS(Tabela_Movimentacao_Geral[Quantidade],Tabela_Movimentacao_Geral[ID Produto],CONTROLE_ESTOQUE!$A180,Tabela_Movimentacao_Geral[Tipo Fluxo], "Entrada")</f>
        <v>94</v>
      </c>
      <c r="E180" s="14">
        <f ca="1">SUMIFS(Tabela_Movimentacao_Geral[Quantidade], Tabela_Movimentacao_Geral[ID Produto],CONTROLE_ESTOQUE!$A180,Tabela_Movimentacao_Geral[Tipo Fluxo], "Saida")</f>
        <v>4</v>
      </c>
      <c r="F180" s="14">
        <f ca="1">CONTROLE_ESTOQUE!$D180 - CONTROLE_ESTOQUE!$E180</f>
        <v>90</v>
      </c>
      <c r="G180" s="14" t="str">
        <f ca="1">IF(CONTROLE_ESTOQUE!$F180 &lt; CONTROLE_ESTOQUE!$C180, "COMPRAR URGENTE", "Estoque OK")</f>
        <v>Estoque OK</v>
      </c>
      <c r="K180"/>
    </row>
    <row r="181" spans="1:11" x14ac:dyDescent="0.3">
      <c r="A181" s="9" t="s">
        <v>505</v>
      </c>
      <c r="B181" s="9" t="str">
        <f>_xlfn.XLOOKUP(Tabela_Controle_Estoque[[#This Row],[ID_Produto]],Tabela_Produtos[ID_Produto],Tabela_Produtos[Descricao_Produto],"N/A")</f>
        <v>Gaveteiro 3 Gavetas</v>
      </c>
      <c r="C181" s="9">
        <f>_xlfn.XLOOKUP(Tabela_Controle_Estoque[[#This Row],[ID_Produto]],Tabela_Produtos[ID_Produto],Tabela_Produtos[Estoque_Minimo],"N/A")</f>
        <v>6</v>
      </c>
      <c r="D181" s="9">
        <f ca="1">SUMIFS(Tabela_Movimentacao_Geral[Quantidade],Tabela_Movimentacao_Geral[ID Produto],CONTROLE_ESTOQUE!$A181,Tabela_Movimentacao_Geral[Tipo Fluxo], "Entrada")</f>
        <v>121</v>
      </c>
      <c r="E181" s="9">
        <f ca="1">SUMIFS(Tabela_Movimentacao_Geral[Quantidade], Tabela_Movimentacao_Geral[ID Produto],CONTROLE_ESTOQUE!$A181,Tabela_Movimentacao_Geral[Tipo Fluxo], "Saida")</f>
        <v>56</v>
      </c>
      <c r="F181" s="9">
        <f ca="1">CONTROLE_ESTOQUE!$D181 - CONTROLE_ESTOQUE!$E181</f>
        <v>65</v>
      </c>
      <c r="G181" s="9" t="str">
        <f ca="1">IF(CONTROLE_ESTOQUE!$F181 &lt; CONTROLE_ESTOQUE!$C181, "COMPRAR URGENTE", "Estoque OK")</f>
        <v>Estoque OK</v>
      </c>
      <c r="K181"/>
    </row>
    <row r="182" spans="1:11" x14ac:dyDescent="0.3">
      <c r="A182" s="14" t="s">
        <v>507</v>
      </c>
      <c r="B182" s="14" t="str">
        <f>_xlfn.XLOOKUP(Tabela_Controle_Estoque[[#This Row],[ID_Produto]],Tabela_Produtos[ID_Produto],Tabela_Produtos[Descricao_Produto],"N/A")</f>
        <v>Servidor Tower i3 16GB</v>
      </c>
      <c r="C182" s="14">
        <f>_xlfn.XLOOKUP(Tabela_Controle_Estoque[[#This Row],[ID_Produto]],Tabela_Produtos[ID_Produto],Tabela_Produtos[Estoque_Minimo],"N/A")</f>
        <v>3</v>
      </c>
      <c r="D182" s="14">
        <f ca="1">SUMIFS(Tabela_Movimentacao_Geral[Quantidade],Tabela_Movimentacao_Geral[ID Produto],CONTROLE_ESTOQUE!$A182,Tabela_Movimentacao_Geral[Tipo Fluxo], "Entrada")</f>
        <v>79</v>
      </c>
      <c r="E182" s="14">
        <f ca="1">SUMIFS(Tabela_Movimentacao_Geral[Quantidade], Tabela_Movimentacao_Geral[ID Produto],CONTROLE_ESTOQUE!$A182,Tabela_Movimentacao_Geral[Tipo Fluxo], "Saida")</f>
        <v>79</v>
      </c>
      <c r="F182" s="14">
        <f ca="1">CONTROLE_ESTOQUE!$D182 - CONTROLE_ESTOQUE!$E182</f>
        <v>0</v>
      </c>
      <c r="G182" s="14" t="str">
        <f ca="1">IF(CONTROLE_ESTOQUE!$F182 &lt; CONTROLE_ESTOQUE!$C182, "COMPRAR URGENTE", "Estoque OK")</f>
        <v>COMPRAR URGENTE</v>
      </c>
      <c r="K182"/>
    </row>
    <row r="183" spans="1:11" x14ac:dyDescent="0.3">
      <c r="A183" s="9" t="s">
        <v>509</v>
      </c>
      <c r="B183" s="9" t="str">
        <f>_xlfn.XLOOKUP(Tabela_Controle_Estoque[[#This Row],[ID_Produto]],Tabela_Produtos[ID_Produto],Tabela_Produtos[Descricao_Produto],"N/A")</f>
        <v>Fonte Redundante 750W</v>
      </c>
      <c r="C183" s="9">
        <f>_xlfn.XLOOKUP(Tabela_Controle_Estoque[[#This Row],[ID_Produto]],Tabela_Produtos[ID_Produto],Tabela_Produtos[Estoque_Minimo],"N/A")</f>
        <v>5</v>
      </c>
      <c r="D183" s="9">
        <f ca="1">SUMIFS(Tabela_Movimentacao_Geral[Quantidade],Tabela_Movimentacao_Geral[ID Produto],CONTROLE_ESTOQUE!$A183,Tabela_Movimentacao_Geral[Tipo Fluxo], "Entrada")</f>
        <v>276</v>
      </c>
      <c r="E183" s="9">
        <f ca="1">SUMIFS(Tabela_Movimentacao_Geral[Quantidade], Tabela_Movimentacao_Geral[ID Produto],CONTROLE_ESTOQUE!$A183,Tabela_Movimentacao_Geral[Tipo Fluxo], "Saida")</f>
        <v>224</v>
      </c>
      <c r="F183" s="9">
        <f ca="1">CONTROLE_ESTOQUE!$D183 - CONTROLE_ESTOQUE!$E183</f>
        <v>52</v>
      </c>
      <c r="G183" s="9" t="str">
        <f ca="1">IF(CONTROLE_ESTOQUE!$F183 &lt; CONTROLE_ESTOQUE!$C183, "COMPRAR URGENTE", "Estoque OK")</f>
        <v>Estoque OK</v>
      </c>
      <c r="K183"/>
    </row>
    <row r="184" spans="1:11" x14ac:dyDescent="0.3">
      <c r="A184" s="14" t="s">
        <v>511</v>
      </c>
      <c r="B184" s="14" t="str">
        <f>_xlfn.XLOOKUP(Tabela_Controle_Estoque[[#This Row],[ID_Produto]],Tabela_Produtos[ID_Produto],Tabela_Produtos[Descricao_Produto],"N/A")</f>
        <v>Placa de Rede Quad Port</v>
      </c>
      <c r="C184" s="14">
        <f>_xlfn.XLOOKUP(Tabela_Controle_Estoque[[#This Row],[ID_Produto]],Tabela_Produtos[ID_Produto],Tabela_Produtos[Estoque_Minimo],"N/A")</f>
        <v>4</v>
      </c>
      <c r="D184" s="14">
        <f ca="1">SUMIFS(Tabela_Movimentacao_Geral[Quantidade],Tabela_Movimentacao_Geral[ID Produto],CONTROLE_ESTOQUE!$A184,Tabela_Movimentacao_Geral[Tipo Fluxo], "Entrada")</f>
        <v>170</v>
      </c>
      <c r="E184" s="14">
        <f ca="1">SUMIFS(Tabela_Movimentacao_Geral[Quantidade], Tabela_Movimentacao_Geral[ID Produto],CONTROLE_ESTOQUE!$A184,Tabela_Movimentacao_Geral[Tipo Fluxo], "Saida")</f>
        <v>164</v>
      </c>
      <c r="F184" s="14">
        <f ca="1">CONTROLE_ESTOQUE!$D184 - CONTROLE_ESTOQUE!$E184</f>
        <v>6</v>
      </c>
      <c r="G184" s="14" t="str">
        <f ca="1">IF(CONTROLE_ESTOQUE!$F184 &lt; CONTROLE_ESTOQUE!$C184, "COMPRAR URGENTE", "Estoque OK")</f>
        <v>Estoque OK</v>
      </c>
      <c r="K184"/>
    </row>
    <row r="185" spans="1:11" x14ac:dyDescent="0.3">
      <c r="A185" s="9" t="s">
        <v>513</v>
      </c>
      <c r="B185" s="9" t="str">
        <f>_xlfn.XLOOKUP(Tabela_Controle_Estoque[[#This Row],[ID_Produto]],Tabela_Produtos[ID_Produto],Tabela_Produtos[Descricao_Produto],"N/A")</f>
        <v>Cabo Serial Console</v>
      </c>
      <c r="C185" s="9">
        <f>_xlfn.XLOOKUP(Tabela_Controle_Estoque[[#This Row],[ID_Produto]],Tabela_Produtos[ID_Produto],Tabela_Produtos[Estoque_Minimo],"N/A")</f>
        <v>20</v>
      </c>
      <c r="D185" s="9">
        <f ca="1">SUMIFS(Tabela_Movimentacao_Geral[Quantidade],Tabela_Movimentacao_Geral[ID Produto],CONTROLE_ESTOQUE!$A185,Tabela_Movimentacao_Geral[Tipo Fluxo], "Entrada")</f>
        <v>273</v>
      </c>
      <c r="E185" s="9">
        <f ca="1">SUMIFS(Tabela_Movimentacao_Geral[Quantidade], Tabela_Movimentacao_Geral[ID Produto],CONTROLE_ESTOQUE!$A185,Tabela_Movimentacao_Geral[Tipo Fluxo], "Saida")</f>
        <v>181</v>
      </c>
      <c r="F185" s="9">
        <f ca="1">CONTROLE_ESTOQUE!$D185 - CONTROLE_ESTOQUE!$E185</f>
        <v>92</v>
      </c>
      <c r="G185" s="9" t="str">
        <f ca="1">IF(CONTROLE_ESTOQUE!$F185 &lt; CONTROLE_ESTOQUE!$C185, "COMPRAR URGENTE", "Estoque OK")</f>
        <v>Estoque OK</v>
      </c>
      <c r="K185"/>
    </row>
    <row r="186" spans="1:11" x14ac:dyDescent="0.3">
      <c r="A186" s="14" t="s">
        <v>515</v>
      </c>
      <c r="B186" s="14" t="str">
        <f>_xlfn.XLOOKUP(Tabela_Controle_Estoque[[#This Row],[ID_Produto]],Tabela_Produtos[ID_Produto],Tabela_Produtos[Descricao_Produto],"N/A")</f>
        <v>PDU Básica 12 Tomadas</v>
      </c>
      <c r="C186" s="14">
        <f>_xlfn.XLOOKUP(Tabela_Controle_Estoque[[#This Row],[ID_Produto]],Tabela_Produtos[ID_Produto],Tabela_Produtos[Estoque_Minimo],"N/A")</f>
        <v>10</v>
      </c>
      <c r="D186" s="14">
        <f ca="1">SUMIFS(Tabela_Movimentacao_Geral[Quantidade],Tabela_Movimentacao_Geral[ID Produto],CONTROLE_ESTOQUE!$A186,Tabela_Movimentacao_Geral[Tipo Fluxo], "Entrada")</f>
        <v>191</v>
      </c>
      <c r="E186" s="14">
        <f ca="1">SUMIFS(Tabela_Movimentacao_Geral[Quantidade], Tabela_Movimentacao_Geral[ID Produto],CONTROLE_ESTOQUE!$A186,Tabela_Movimentacao_Geral[Tipo Fluxo], "Saida")</f>
        <v>59</v>
      </c>
      <c r="F186" s="14">
        <f ca="1">CONTROLE_ESTOQUE!$D186 - CONTROLE_ESTOQUE!$E186</f>
        <v>132</v>
      </c>
      <c r="G186" s="14" t="str">
        <f ca="1">IF(CONTROLE_ESTOQUE!$F186 &lt; CONTROLE_ESTOQUE!$C186, "COMPRAR URGENTE", "Estoque OK")</f>
        <v>Estoque OK</v>
      </c>
      <c r="K186"/>
    </row>
    <row r="187" spans="1:11" x14ac:dyDescent="0.3">
      <c r="A187" s="9" t="s">
        <v>517</v>
      </c>
      <c r="B187" s="9" t="str">
        <f>_xlfn.XLOOKUP(Tabela_Controle_Estoque[[#This Row],[ID_Produto]],Tabela_Produtos[ID_Produto],Tabela_Produtos[Descricao_Produto],"N/A")</f>
        <v>KVM Console Gaveta 17</v>
      </c>
      <c r="C187" s="9">
        <f>_xlfn.XLOOKUP(Tabela_Controle_Estoque[[#This Row],[ID_Produto]],Tabela_Produtos[ID_Produto],Tabela_Produtos[Estoque_Minimo],"N/A")</f>
        <v>2</v>
      </c>
      <c r="D187" s="9">
        <f ca="1">SUMIFS(Tabela_Movimentacao_Geral[Quantidade],Tabela_Movimentacao_Geral[ID Produto],CONTROLE_ESTOQUE!$A187,Tabela_Movimentacao_Geral[Tipo Fluxo], "Entrada")</f>
        <v>244</v>
      </c>
      <c r="E187" s="9">
        <f ca="1">SUMIFS(Tabela_Movimentacao_Geral[Quantidade], Tabela_Movimentacao_Geral[ID Produto],CONTROLE_ESTOQUE!$A187,Tabela_Movimentacao_Geral[Tipo Fluxo], "Saida")</f>
        <v>47</v>
      </c>
      <c r="F187" s="9">
        <f ca="1">CONTROLE_ESTOQUE!$D187 - CONTROLE_ESTOQUE!$E187</f>
        <v>197</v>
      </c>
      <c r="G187" s="9" t="str">
        <f ca="1">IF(CONTROLE_ESTOQUE!$F187 &lt; CONTROLE_ESTOQUE!$C187, "COMPRAR URGENTE", "Estoque OK")</f>
        <v>Estoque OK</v>
      </c>
      <c r="K187"/>
    </row>
    <row r="188" spans="1:11" x14ac:dyDescent="0.3">
      <c r="A188" s="14" t="s">
        <v>519</v>
      </c>
      <c r="B188" s="14" t="str">
        <f>_xlfn.XLOOKUP(Tabela_Controle_Estoque[[#This Row],[ID_Produto]],Tabela_Produtos[ID_Produto],Tabela_Produtos[Descricao_Produto],"N/A")</f>
        <v>Trilho para Servidor Univ</v>
      </c>
      <c r="C188" s="14">
        <f>_xlfn.XLOOKUP(Tabela_Controle_Estoque[[#This Row],[ID_Produto]],Tabela_Produtos[ID_Produto],Tabela_Produtos[Estoque_Minimo],"N/A")</f>
        <v>8</v>
      </c>
      <c r="D188" s="14">
        <f ca="1">SUMIFS(Tabela_Movimentacao_Geral[Quantidade],Tabela_Movimentacao_Geral[ID Produto],CONTROLE_ESTOQUE!$A188,Tabela_Movimentacao_Geral[Tipo Fluxo], "Entrada")</f>
        <v>26</v>
      </c>
      <c r="E188" s="14">
        <f ca="1">SUMIFS(Tabela_Movimentacao_Geral[Quantidade], Tabela_Movimentacao_Geral[ID Produto],CONTROLE_ESTOQUE!$A188,Tabela_Movimentacao_Geral[Tipo Fluxo], "Saida")</f>
        <v>26</v>
      </c>
      <c r="F188" s="14">
        <f ca="1">CONTROLE_ESTOQUE!$D188 - CONTROLE_ESTOQUE!$E188</f>
        <v>0</v>
      </c>
      <c r="G188" s="14" t="str">
        <f ca="1">IF(CONTROLE_ESTOQUE!$F188 &lt; CONTROLE_ESTOQUE!$C188, "COMPRAR URGENTE", "Estoque OK")</f>
        <v>COMPRAR URGENTE</v>
      </c>
      <c r="K188"/>
    </row>
    <row r="189" spans="1:11" x14ac:dyDescent="0.3">
      <c r="A189" s="9" t="s">
        <v>521</v>
      </c>
      <c r="B189" s="9" t="str">
        <f>_xlfn.XLOOKUP(Tabela_Controle_Estoque[[#This Row],[ID_Produto]],Tabela_Produtos[ID_Produto],Tabela_Produtos[Descricao_Produto],"N/A")</f>
        <v>Chassis para Media Conv</v>
      </c>
      <c r="C189" s="9">
        <f>_xlfn.XLOOKUP(Tabela_Controle_Estoque[[#This Row],[ID_Produto]],Tabela_Produtos[ID_Produto],Tabela_Produtos[Estoque_Minimo],"N/A")</f>
        <v>3</v>
      </c>
      <c r="D189" s="9">
        <f ca="1">SUMIFS(Tabela_Movimentacao_Geral[Quantidade],Tabela_Movimentacao_Geral[ID Produto],CONTROLE_ESTOQUE!$A189,Tabela_Movimentacao_Geral[Tipo Fluxo], "Entrada")</f>
        <v>150</v>
      </c>
      <c r="E189" s="9">
        <f ca="1">SUMIFS(Tabela_Movimentacao_Geral[Quantidade], Tabela_Movimentacao_Geral[ID Produto],CONTROLE_ESTOQUE!$A189,Tabela_Movimentacao_Geral[Tipo Fluxo], "Saida")</f>
        <v>114</v>
      </c>
      <c r="F189" s="9">
        <f ca="1">CONTROLE_ESTOQUE!$D189 - CONTROLE_ESTOQUE!$E189</f>
        <v>36</v>
      </c>
      <c r="G189" s="9" t="str">
        <f ca="1">IF(CONTROLE_ESTOQUE!$F189 &lt; CONTROLE_ESTOQUE!$C189, "COMPRAR URGENTE", "Estoque OK")</f>
        <v>Estoque OK</v>
      </c>
      <c r="K189"/>
    </row>
    <row r="190" spans="1:11" x14ac:dyDescent="0.3">
      <c r="A190" s="14" t="s">
        <v>523</v>
      </c>
      <c r="B190" s="14" t="str">
        <f>_xlfn.XLOOKUP(Tabela_Controle_Estoque[[#This Row],[ID_Produto]],Tabela_Produtos[ID_Produto],Tabela_Produtos[Descricao_Produto],"N/A")</f>
        <v>Switch Core Layer 3</v>
      </c>
      <c r="C190" s="14">
        <f>_xlfn.XLOOKUP(Tabela_Controle_Estoque[[#This Row],[ID_Produto]],Tabela_Produtos[ID_Produto],Tabela_Produtos[Estoque_Minimo],"N/A")</f>
        <v>1</v>
      </c>
      <c r="D190" s="14">
        <f ca="1">SUMIFS(Tabela_Movimentacao_Geral[Quantidade],Tabela_Movimentacao_Geral[ID Produto],CONTROLE_ESTOQUE!$A190,Tabela_Movimentacao_Geral[Tipo Fluxo], "Entrada")</f>
        <v>19</v>
      </c>
      <c r="E190" s="14">
        <f ca="1">SUMIFS(Tabela_Movimentacao_Geral[Quantidade], Tabela_Movimentacao_Geral[ID Produto],CONTROLE_ESTOQUE!$A190,Tabela_Movimentacao_Geral[Tipo Fluxo], "Saida")</f>
        <v>3</v>
      </c>
      <c r="F190" s="14">
        <f ca="1">CONTROLE_ESTOQUE!$D190 - CONTROLE_ESTOQUE!$E190</f>
        <v>16</v>
      </c>
      <c r="G190" s="14" t="str">
        <f ca="1">IF(CONTROLE_ESTOQUE!$F190 &lt; CONTROLE_ESTOQUE!$C190, "COMPRAR URGENTE", "Estoque OK")</f>
        <v>Estoque OK</v>
      </c>
      <c r="K190"/>
    </row>
    <row r="191" spans="1:11" x14ac:dyDescent="0.3">
      <c r="A191" s="9" t="s">
        <v>525</v>
      </c>
      <c r="B191" s="9" t="str">
        <f>_xlfn.XLOOKUP(Tabela_Controle_Estoque[[#This Row],[ID_Produto]],Tabela_Produtos[ID_Produto],Tabela_Produtos[Descricao_Produto],"N/A")</f>
        <v>Firewall Hardware Mid</v>
      </c>
      <c r="C191" s="9">
        <f>_xlfn.XLOOKUP(Tabela_Controle_Estoque[[#This Row],[ID_Produto]],Tabela_Produtos[ID_Produto],Tabela_Produtos[Estoque_Minimo],"N/A")</f>
        <v>2</v>
      </c>
      <c r="D191" s="9">
        <f ca="1">SUMIFS(Tabela_Movimentacao_Geral[Quantidade],Tabela_Movimentacao_Geral[ID Produto],CONTROLE_ESTOQUE!$A191,Tabela_Movimentacao_Geral[Tipo Fluxo], "Entrada")</f>
        <v>119</v>
      </c>
      <c r="E191" s="9">
        <f ca="1">SUMIFS(Tabela_Movimentacao_Geral[Quantidade], Tabela_Movimentacao_Geral[ID Produto],CONTROLE_ESTOQUE!$A191,Tabela_Movimentacao_Geral[Tipo Fluxo], "Saida")</f>
        <v>119</v>
      </c>
      <c r="F191" s="9">
        <f ca="1">CONTROLE_ESTOQUE!$D191 - CONTROLE_ESTOQUE!$E191</f>
        <v>0</v>
      </c>
      <c r="G191" s="9" t="str">
        <f ca="1">IF(CONTROLE_ESTOQUE!$F191 &lt; CONTROLE_ESTOQUE!$C191, "COMPRAR URGENTE", "Estoque OK")</f>
        <v>COMPRAR URGENTE</v>
      </c>
      <c r="K191"/>
    </row>
    <row r="192" spans="1:11" x14ac:dyDescent="0.3">
      <c r="A192" s="14" t="s">
        <v>527</v>
      </c>
      <c r="B192" s="14" t="str">
        <f>_xlfn.XLOOKUP(Tabela_Controle_Estoque[[#This Row],[ID_Produto]],Tabela_Produtos[ID_Produto],Tabela_Produtos[Descricao_Produto],"N/A")</f>
        <v>Antena Wi-Fi High Gain</v>
      </c>
      <c r="C192" s="14">
        <f>_xlfn.XLOOKUP(Tabela_Controle_Estoque[[#This Row],[ID_Produto]],Tabela_Produtos[ID_Produto],Tabela_Produtos[Estoque_Minimo],"N/A")</f>
        <v>15</v>
      </c>
      <c r="D192" s="14">
        <f ca="1">SUMIFS(Tabela_Movimentacao_Geral[Quantidade],Tabela_Movimentacao_Geral[ID Produto],CONTROLE_ESTOQUE!$A192,Tabela_Movimentacao_Geral[Tipo Fluxo], "Entrada")</f>
        <v>47</v>
      </c>
      <c r="E192" s="14">
        <f ca="1">SUMIFS(Tabela_Movimentacao_Geral[Quantidade], Tabela_Movimentacao_Geral[ID Produto],CONTROLE_ESTOQUE!$A192,Tabela_Movimentacao_Geral[Tipo Fluxo], "Saida")</f>
        <v>26</v>
      </c>
      <c r="F192" s="14">
        <f ca="1">CONTROLE_ESTOQUE!$D192 - CONTROLE_ESTOQUE!$E192</f>
        <v>21</v>
      </c>
      <c r="G192" s="14" t="str">
        <f ca="1">IF(CONTROLE_ESTOQUE!$F192 &lt; CONTROLE_ESTOQUE!$C192, "COMPRAR URGENTE", "Estoque OK")</f>
        <v>Estoque OK</v>
      </c>
      <c r="K192"/>
    </row>
    <row r="193" spans="1:11" x14ac:dyDescent="0.3">
      <c r="A193" s="9" t="s">
        <v>529</v>
      </c>
      <c r="B193" s="9" t="str">
        <f>_xlfn.XLOOKUP(Tabela_Controle_Estoque[[#This Row],[ID_Produto]],Tabela_Produtos[ID_Produto],Tabela_Produtos[Descricao_Produto],"N/A")</f>
        <v>Protetor Surto Coaxial</v>
      </c>
      <c r="C193" s="9">
        <f>_xlfn.XLOOKUP(Tabela_Controle_Estoque[[#This Row],[ID_Produto]],Tabela_Produtos[ID_Produto],Tabela_Produtos[Estoque_Minimo],"N/A")</f>
        <v>20</v>
      </c>
      <c r="D193" s="9">
        <f ca="1">SUMIFS(Tabela_Movimentacao_Geral[Quantidade],Tabela_Movimentacao_Geral[ID Produto],CONTROLE_ESTOQUE!$A193,Tabela_Movimentacao_Geral[Tipo Fluxo], "Entrada")</f>
        <v>135</v>
      </c>
      <c r="E193" s="9">
        <f ca="1">SUMIFS(Tabela_Movimentacao_Geral[Quantidade], Tabela_Movimentacao_Geral[ID Produto],CONTROLE_ESTOQUE!$A193,Tabela_Movimentacao_Geral[Tipo Fluxo], "Saida")</f>
        <v>67</v>
      </c>
      <c r="F193" s="9">
        <f ca="1">CONTROLE_ESTOQUE!$D193 - CONTROLE_ESTOQUE!$E193</f>
        <v>68</v>
      </c>
      <c r="G193" s="9" t="str">
        <f ca="1">IF(CONTROLE_ESTOQUE!$F193 &lt; CONTROLE_ESTOQUE!$C193, "COMPRAR URGENTE", "Estoque OK")</f>
        <v>Estoque OK</v>
      </c>
      <c r="K193"/>
    </row>
    <row r="194" spans="1:11" x14ac:dyDescent="0.3">
      <c r="A194" s="14" t="s">
        <v>531</v>
      </c>
      <c r="B194" s="14" t="str">
        <f>_xlfn.XLOOKUP(Tabela_Controle_Estoque[[#This Row],[ID_Produto]],Tabela_Produtos[ID_Produto],Tabela_Produtos[Descricao_Produto],"N/A")</f>
        <v>Mini Rack 6U Parede</v>
      </c>
      <c r="C194" s="14">
        <f>_xlfn.XLOOKUP(Tabela_Controle_Estoque[[#This Row],[ID_Produto]],Tabela_Produtos[ID_Produto],Tabela_Produtos[Estoque_Minimo],"N/A")</f>
        <v>6</v>
      </c>
      <c r="D194" s="14">
        <f ca="1">SUMIFS(Tabela_Movimentacao_Geral[Quantidade],Tabela_Movimentacao_Geral[ID Produto],CONTROLE_ESTOQUE!$A194,Tabela_Movimentacao_Geral[Tipo Fluxo], "Entrada")</f>
        <v>33</v>
      </c>
      <c r="E194" s="14">
        <f ca="1">SUMIFS(Tabela_Movimentacao_Geral[Quantidade], Tabela_Movimentacao_Geral[ID Produto],CONTROLE_ESTOQUE!$A194,Tabela_Movimentacao_Geral[Tipo Fluxo], "Saida")</f>
        <v>19</v>
      </c>
      <c r="F194" s="14">
        <f ca="1">CONTROLE_ESTOQUE!$D194 - CONTROLE_ESTOQUE!$E194</f>
        <v>14</v>
      </c>
      <c r="G194" s="14" t="str">
        <f ca="1">IF(CONTROLE_ESTOQUE!$F194 &lt; CONTROLE_ESTOQUE!$C194, "COMPRAR URGENTE", "Estoque OK")</f>
        <v>Estoque OK</v>
      </c>
      <c r="K194"/>
    </row>
    <row r="195" spans="1:11" x14ac:dyDescent="0.3">
      <c r="A195" s="9" t="s">
        <v>533</v>
      </c>
      <c r="B195" s="9" t="str">
        <f>_xlfn.XLOOKUP(Tabela_Controle_Estoque[[#This Row],[ID_Produto]],Tabela_Produtos[ID_Produto],Tabela_Produtos[Descricao_Produto],"N/A")</f>
        <v>Patch Cord Cat6a 2m</v>
      </c>
      <c r="C195" s="9">
        <f>_xlfn.XLOOKUP(Tabela_Controle_Estoque[[#This Row],[ID_Produto]],Tabela_Produtos[ID_Produto],Tabela_Produtos[Estoque_Minimo],"N/A")</f>
        <v>50</v>
      </c>
      <c r="D195" s="9">
        <f ca="1">SUMIFS(Tabela_Movimentacao_Geral[Quantidade],Tabela_Movimentacao_Geral[ID Produto],CONTROLE_ESTOQUE!$A195,Tabela_Movimentacao_Geral[Tipo Fluxo], "Entrada")</f>
        <v>156</v>
      </c>
      <c r="E195" s="9">
        <f ca="1">SUMIFS(Tabela_Movimentacao_Geral[Quantidade], Tabela_Movimentacao_Geral[ID Produto],CONTROLE_ESTOQUE!$A195,Tabela_Movimentacao_Geral[Tipo Fluxo], "Saida")</f>
        <v>82</v>
      </c>
      <c r="F195" s="9">
        <f ca="1">CONTROLE_ESTOQUE!$D195 - CONTROLE_ESTOQUE!$E195</f>
        <v>74</v>
      </c>
      <c r="G195" s="9" t="str">
        <f ca="1">IF(CONTROLE_ESTOQUE!$F195 &lt; CONTROLE_ESTOQUE!$C195, "COMPRAR URGENTE", "Estoque OK")</f>
        <v>Estoque OK</v>
      </c>
      <c r="K195"/>
    </row>
    <row r="196" spans="1:11" x14ac:dyDescent="0.3">
      <c r="A196" s="14" t="s">
        <v>535</v>
      </c>
      <c r="B196" s="14" t="str">
        <f>_xlfn.XLOOKUP(Tabela_Controle_Estoque[[#This Row],[ID_Produto]],Tabela_Produtos[ID_Produto],Tabela_Produtos[Descricao_Produto],"N/A")</f>
        <v>Terminador Optico</v>
      </c>
      <c r="C196" s="14">
        <f>_xlfn.XLOOKUP(Tabela_Controle_Estoque[[#This Row],[ID_Produto]],Tabela_Produtos[ID_Produto],Tabela_Produtos[Estoque_Minimo],"N/A")</f>
        <v>20</v>
      </c>
      <c r="D196" s="14">
        <f ca="1">SUMIFS(Tabela_Movimentacao_Geral[Quantidade],Tabela_Movimentacao_Geral[ID Produto],CONTROLE_ESTOQUE!$A196,Tabela_Movimentacao_Geral[Tipo Fluxo], "Entrada")</f>
        <v>188</v>
      </c>
      <c r="E196" s="14">
        <f ca="1">SUMIFS(Tabela_Movimentacao_Geral[Quantidade], Tabela_Movimentacao_Geral[ID Produto],CONTROLE_ESTOQUE!$A196,Tabela_Movimentacao_Geral[Tipo Fluxo], "Saida")</f>
        <v>162</v>
      </c>
      <c r="F196" s="14">
        <f ca="1">CONTROLE_ESTOQUE!$D196 - CONTROLE_ESTOQUE!$E196</f>
        <v>26</v>
      </c>
      <c r="G196" s="14" t="str">
        <f ca="1">IF(CONTROLE_ESTOQUE!$F196 &lt; CONTROLE_ESTOQUE!$C196, "COMPRAR URGENTE", "Estoque OK")</f>
        <v>Estoque OK</v>
      </c>
      <c r="K196"/>
    </row>
    <row r="197" spans="1:11" x14ac:dyDescent="0.3">
      <c r="A197" s="9" t="s">
        <v>537</v>
      </c>
      <c r="B197" s="9" t="str">
        <f>_xlfn.XLOOKUP(Tabela_Controle_Estoque[[#This Row],[ID_Produto]],Tabela_Produtos[ID_Produto],Tabela_Produtos[Descricao_Produto],"N/A")</f>
        <v>Kit Chaves Precisao</v>
      </c>
      <c r="C197" s="9">
        <f>_xlfn.XLOOKUP(Tabela_Controle_Estoque[[#This Row],[ID_Produto]],Tabela_Produtos[ID_Produto],Tabela_Produtos[Estoque_Minimo],"N/A")</f>
        <v>15</v>
      </c>
      <c r="D197" s="9">
        <f ca="1">SUMIFS(Tabela_Movimentacao_Geral[Quantidade],Tabela_Movimentacao_Geral[ID Produto],CONTROLE_ESTOQUE!$A197,Tabela_Movimentacao_Geral[Tipo Fluxo], "Entrada")</f>
        <v>201</v>
      </c>
      <c r="E197" s="9">
        <f ca="1">SUMIFS(Tabela_Movimentacao_Geral[Quantidade], Tabela_Movimentacao_Geral[ID Produto],CONTROLE_ESTOQUE!$A197,Tabela_Movimentacao_Geral[Tipo Fluxo], "Saida")</f>
        <v>69</v>
      </c>
      <c r="F197" s="9">
        <f ca="1">CONTROLE_ESTOQUE!$D197 - CONTROLE_ESTOQUE!$E197</f>
        <v>132</v>
      </c>
      <c r="G197" s="9" t="str">
        <f ca="1">IF(CONTROLE_ESTOQUE!$F197 &lt; CONTROLE_ESTOQUE!$C197, "COMPRAR URGENTE", "Estoque OK")</f>
        <v>Estoque OK</v>
      </c>
      <c r="K197"/>
    </row>
    <row r="198" spans="1:11" x14ac:dyDescent="0.3">
      <c r="A198" s="14" t="s">
        <v>539</v>
      </c>
      <c r="B198" s="14" t="str">
        <f>_xlfn.XLOOKUP(Tabela_Controle_Estoque[[#This Row],[ID_Produto]],Tabela_Produtos[ID_Produto],Tabela_Produtos[Descricao_Produto],"N/A")</f>
        <v>Soprador Térmico 1800W</v>
      </c>
      <c r="C198" s="14">
        <f>_xlfn.XLOOKUP(Tabela_Controle_Estoque[[#This Row],[ID_Produto]],Tabela_Produtos[ID_Produto],Tabela_Produtos[Estoque_Minimo],"N/A")</f>
        <v>5</v>
      </c>
      <c r="D198" s="14">
        <f ca="1">SUMIFS(Tabela_Movimentacao_Geral[Quantidade],Tabela_Movimentacao_Geral[ID Produto],CONTROLE_ESTOQUE!$A198,Tabela_Movimentacao_Geral[Tipo Fluxo], "Entrada")</f>
        <v>170</v>
      </c>
      <c r="E198" s="14">
        <f ca="1">SUMIFS(Tabela_Movimentacao_Geral[Quantidade], Tabela_Movimentacao_Geral[ID Produto],CONTROLE_ESTOQUE!$A198,Tabela_Movimentacao_Geral[Tipo Fluxo], "Saida")</f>
        <v>107</v>
      </c>
      <c r="F198" s="14">
        <f ca="1">CONTROLE_ESTOQUE!$D198 - CONTROLE_ESTOQUE!$E198</f>
        <v>63</v>
      </c>
      <c r="G198" s="14" t="str">
        <f ca="1">IF(CONTROLE_ESTOQUE!$F198 &lt; CONTROLE_ESTOQUE!$C198, "COMPRAR URGENTE", "Estoque OK")</f>
        <v>Estoque OK</v>
      </c>
      <c r="K198"/>
    </row>
    <row r="199" spans="1:11" x14ac:dyDescent="0.3">
      <c r="A199" s="9" t="s">
        <v>541</v>
      </c>
      <c r="B199" s="9" t="str">
        <f>_xlfn.XLOOKUP(Tabela_Controle_Estoque[[#This Row],[ID_Produto]],Tabela_Produtos[ID_Produto],Tabela_Produtos[Descricao_Produto],"N/A")</f>
        <v>Ferro de Solda 40W</v>
      </c>
      <c r="C199" s="9">
        <f>_xlfn.XLOOKUP(Tabela_Controle_Estoque[[#This Row],[ID_Produto]],Tabela_Produtos[ID_Produto],Tabela_Produtos[Estoque_Minimo],"N/A")</f>
        <v>12</v>
      </c>
      <c r="D199" s="9">
        <f ca="1">SUMIFS(Tabela_Movimentacao_Geral[Quantidade],Tabela_Movimentacao_Geral[ID Produto],CONTROLE_ESTOQUE!$A199,Tabela_Movimentacao_Geral[Tipo Fluxo], "Entrada")</f>
        <v>159</v>
      </c>
      <c r="E199" s="9">
        <f ca="1">SUMIFS(Tabela_Movimentacao_Geral[Quantidade], Tabela_Movimentacao_Geral[ID Produto],CONTROLE_ESTOQUE!$A199,Tabela_Movimentacao_Geral[Tipo Fluxo], "Saida")</f>
        <v>0</v>
      </c>
      <c r="F199" s="9">
        <f ca="1">CONTROLE_ESTOQUE!$D199 - CONTROLE_ESTOQUE!$E199</f>
        <v>159</v>
      </c>
      <c r="G199" s="9" t="str">
        <f ca="1">IF(CONTROLE_ESTOQUE!$F199 &lt; CONTROLE_ESTOQUE!$C199, "COMPRAR URGENTE", "Estoque OK")</f>
        <v>Estoque OK</v>
      </c>
      <c r="K199"/>
    </row>
    <row r="200" spans="1:11" x14ac:dyDescent="0.3">
      <c r="A200" s="14" t="s">
        <v>543</v>
      </c>
      <c r="B200" s="14" t="str">
        <f>_xlfn.XLOOKUP(Tabela_Controle_Estoque[[#This Row],[ID_Produto]],Tabela_Produtos[ID_Produto],Tabela_Produtos[Descricao_Produto],"N/A")</f>
        <v>Sugador de Solda</v>
      </c>
      <c r="C200" s="14">
        <f>_xlfn.XLOOKUP(Tabela_Controle_Estoque[[#This Row],[ID_Produto]],Tabela_Produtos[ID_Produto],Tabela_Produtos[Estoque_Minimo],"N/A")</f>
        <v>20</v>
      </c>
      <c r="D200" s="14">
        <f ca="1">SUMIFS(Tabela_Movimentacao_Geral[Quantidade],Tabela_Movimentacao_Geral[ID Produto],CONTROLE_ESTOQUE!$A200,Tabela_Movimentacao_Geral[Tipo Fluxo], "Entrada")</f>
        <v>244</v>
      </c>
      <c r="E200" s="14">
        <f ca="1">SUMIFS(Tabela_Movimentacao_Geral[Quantidade], Tabela_Movimentacao_Geral[ID Produto],CONTROLE_ESTOQUE!$A200,Tabela_Movimentacao_Geral[Tipo Fluxo], "Saida")</f>
        <v>103</v>
      </c>
      <c r="F200" s="14">
        <f ca="1">CONTROLE_ESTOQUE!$D200 - CONTROLE_ESTOQUE!$E200</f>
        <v>141</v>
      </c>
      <c r="G200" s="14" t="str">
        <f ca="1">IF(CONTROLE_ESTOQUE!$F200 &lt; CONTROLE_ESTOQUE!$C200, "COMPRAR URGENTE", "Estoque OK")</f>
        <v>Estoque OK</v>
      </c>
      <c r="K200"/>
    </row>
    <row r="201" spans="1:11" x14ac:dyDescent="0.3">
      <c r="A201" s="14" t="s">
        <v>545</v>
      </c>
      <c r="B201" s="9" t="str">
        <f>_xlfn.XLOOKUP(Tabela_Controle_Estoque[[#This Row],[ID_Produto]],Tabela_Produtos[ID_Produto],Tabela_Produtos[Descricao_Produto],"N/A")</f>
        <v>Estacao de Solda Prof</v>
      </c>
      <c r="C201" s="9">
        <f>_xlfn.XLOOKUP(Tabela_Controle_Estoque[[#This Row],[ID_Produto]],Tabela_Produtos[ID_Produto],Tabela_Produtos[Estoque_Minimo],"N/A")</f>
        <v>3</v>
      </c>
      <c r="D201" s="9">
        <f ca="1">SUMIFS(Tabela_Movimentacao_Geral[Quantidade],Tabela_Movimentacao_Geral[ID Produto],CONTROLE_ESTOQUE!$A201,Tabela_Movimentacao_Geral[Tipo Fluxo], "Entrada")</f>
        <v>165</v>
      </c>
      <c r="E201" s="9">
        <f ca="1">SUMIFS(Tabela_Movimentacao_Geral[Quantidade], Tabela_Movimentacao_Geral[ID Produto],CONTROLE_ESTOQUE!$A201,Tabela_Movimentacao_Geral[Tipo Fluxo], "Saida")</f>
        <v>38</v>
      </c>
      <c r="F201" s="9">
        <f ca="1">CONTROLE_ESTOQUE!$D201 - CONTROLE_ESTOQUE!$E201</f>
        <v>127</v>
      </c>
      <c r="G201" s="9" t="str">
        <f ca="1">IF(CONTROLE_ESTOQUE!$F201 &lt; CONTROLE_ESTOQUE!$C201, "COMPRAR URGENTE", "Estoque OK")</f>
        <v>Estoque OK</v>
      </c>
      <c r="K201"/>
    </row>
  </sheetData>
  <phoneticPr fontId="4" type="noConversion"/>
  <conditionalFormatting sqref="G2:G201">
    <cfRule type="containsText" dxfId="1" priority="1" operator="containsText" text="OK">
      <formula>NOT(ISERROR(SEARCH("OK",G2)))</formula>
    </cfRule>
    <cfRule type="containsText" dxfId="0" priority="2" operator="containsText" text="COMPRAR">
      <formula>NOT(ISERROR(SEARCH("COMPRAR",G2)))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C9E7-4618-450D-852A-996512012CC6}">
  <sheetPr codeName="Planilha4"/>
  <dimension ref="A1:T35"/>
  <sheetViews>
    <sheetView tabSelected="1" zoomScale="55" zoomScaleNormal="55" workbookViewId="0">
      <selection activeCell="A13" sqref="A13"/>
    </sheetView>
  </sheetViews>
  <sheetFormatPr defaultRowHeight="14.4" x14ac:dyDescent="0.3"/>
  <cols>
    <col min="1" max="1" width="24.5546875" bestFit="1" customWidth="1"/>
    <col min="2" max="2" width="33.44140625" bestFit="1" customWidth="1"/>
    <col min="3" max="3" width="21.21875" customWidth="1"/>
    <col min="4" max="4" width="21" customWidth="1"/>
    <col min="5" max="5" width="20.109375" customWidth="1"/>
    <col min="6" max="6" width="19.88671875" customWidth="1"/>
    <col min="8" max="9" width="24.5546875" bestFit="1" customWidth="1"/>
    <col min="10" max="10" width="18.5546875" bestFit="1" customWidth="1"/>
    <col min="11" max="11" width="22.44140625" customWidth="1"/>
    <col min="12" max="12" width="10.21875" bestFit="1" customWidth="1"/>
    <col min="19" max="19" width="27.5546875" bestFit="1" customWidth="1"/>
    <col min="20" max="20" width="24.5546875" bestFit="1" customWidth="1"/>
  </cols>
  <sheetData>
    <row r="1" spans="1:20" x14ac:dyDescent="0.3">
      <c r="H1" s="18" t="s">
        <v>572</v>
      </c>
      <c r="I1" t="s">
        <v>612</v>
      </c>
    </row>
    <row r="3" spans="1:20" x14ac:dyDescent="0.3">
      <c r="A3" s="18" t="s">
        <v>572</v>
      </c>
      <c r="B3" t="s">
        <v>612</v>
      </c>
      <c r="H3" s="18" t="s">
        <v>586</v>
      </c>
      <c r="I3" t="s">
        <v>588</v>
      </c>
      <c r="S3" s="18" t="s">
        <v>572</v>
      </c>
      <c r="T3" t="s">
        <v>612</v>
      </c>
    </row>
    <row r="4" spans="1:20" x14ac:dyDescent="0.3">
      <c r="H4" s="19" t="s">
        <v>590</v>
      </c>
      <c r="I4" s="5">
        <v>2472515.5</v>
      </c>
    </row>
    <row r="5" spans="1:20" x14ac:dyDescent="0.3">
      <c r="A5" s="18" t="s">
        <v>586</v>
      </c>
      <c r="B5" t="s">
        <v>588</v>
      </c>
      <c r="H5" s="19" t="s">
        <v>591</v>
      </c>
      <c r="I5" s="5">
        <v>3714283.5</v>
      </c>
      <c r="S5" s="18" t="s">
        <v>586</v>
      </c>
      <c r="T5" t="s">
        <v>588</v>
      </c>
    </row>
    <row r="6" spans="1:20" x14ac:dyDescent="0.3">
      <c r="A6" s="19" t="s">
        <v>2</v>
      </c>
      <c r="B6" s="5">
        <v>9530099</v>
      </c>
      <c r="H6" s="19" t="s">
        <v>592</v>
      </c>
      <c r="I6" s="5">
        <v>4557761</v>
      </c>
      <c r="S6" s="19" t="s">
        <v>328</v>
      </c>
      <c r="T6" s="5">
        <v>4424000</v>
      </c>
    </row>
    <row r="7" spans="1:20" x14ac:dyDescent="0.3">
      <c r="A7" s="19" t="s">
        <v>6</v>
      </c>
      <c r="B7" s="5">
        <v>12729245</v>
      </c>
      <c r="H7" s="19" t="s">
        <v>593</v>
      </c>
      <c r="I7" s="5">
        <v>5348226.5</v>
      </c>
      <c r="S7" s="19" t="s">
        <v>526</v>
      </c>
      <c r="T7" s="5">
        <v>2023000</v>
      </c>
    </row>
    <row r="8" spans="1:20" x14ac:dyDescent="0.3">
      <c r="A8" s="19" t="s">
        <v>4</v>
      </c>
      <c r="B8" s="5">
        <v>9375288</v>
      </c>
      <c r="H8" s="19" t="s">
        <v>594</v>
      </c>
      <c r="I8" s="5">
        <v>2254123.5</v>
      </c>
      <c r="S8" s="19" t="s">
        <v>308</v>
      </c>
      <c r="T8" s="5">
        <v>2012500</v>
      </c>
    </row>
    <row r="9" spans="1:20" x14ac:dyDescent="0.3">
      <c r="A9" s="19" t="s">
        <v>587</v>
      </c>
      <c r="B9" s="5">
        <v>31634632</v>
      </c>
      <c r="H9" s="19" t="s">
        <v>595</v>
      </c>
      <c r="I9" s="5">
        <v>1429261.5</v>
      </c>
      <c r="S9" s="19" t="s">
        <v>518</v>
      </c>
      <c r="T9" s="5">
        <v>1978800</v>
      </c>
    </row>
    <row r="10" spans="1:20" x14ac:dyDescent="0.3">
      <c r="H10" s="19" t="s">
        <v>596</v>
      </c>
      <c r="I10" s="5">
        <v>2326359.5</v>
      </c>
      <c r="S10" s="19" t="s">
        <v>194</v>
      </c>
      <c r="T10" s="5">
        <v>1317600</v>
      </c>
    </row>
    <row r="11" spans="1:20" x14ac:dyDescent="0.3">
      <c r="A11" t="str">
        <f>B3</f>
        <v>(Tudo)</v>
      </c>
      <c r="B11" s="5">
        <f>GETPIVOTDATA("Valor Total",$A$5)</f>
        <v>31634632</v>
      </c>
      <c r="H11" s="19" t="s">
        <v>597</v>
      </c>
      <c r="I11" s="5">
        <v>1505276.5</v>
      </c>
      <c r="S11" s="19" t="s">
        <v>587</v>
      </c>
      <c r="T11" s="5">
        <v>11755900</v>
      </c>
    </row>
    <row r="12" spans="1:20" x14ac:dyDescent="0.3">
      <c r="H12" s="19" t="s">
        <v>598</v>
      </c>
      <c r="I12" s="5">
        <v>604122</v>
      </c>
    </row>
    <row r="13" spans="1:20" x14ac:dyDescent="0.3">
      <c r="A13" t="str">
        <f>IF(CALCULUS!$A$11="Saida","Fluxo de Caixa (Saída)", IF(CALCULUS!$A$11="Entrada", "Fluxo de Caixa (Entrada)", "Fluxo de Caixa (Total)"))</f>
        <v>Fluxo de Caixa (Total)</v>
      </c>
      <c r="H13" s="19" t="s">
        <v>599</v>
      </c>
      <c r="I13" s="5">
        <v>3713712.5</v>
      </c>
    </row>
    <row r="14" spans="1:20" x14ac:dyDescent="0.3">
      <c r="H14" s="19" t="s">
        <v>600</v>
      </c>
      <c r="I14" s="5">
        <v>1276103.5</v>
      </c>
      <c r="S14" t="str">
        <f>IF(CALCULUS!$A$11="Saida","Ranking de Receita por Produto (Saídas)", IF(CALCULUS!$A$11="Entrada", "Ranking de Receita por Produto (Entradas)", "Ranking de Receita por Produto (Total)"))</f>
        <v>Ranking de Receita por Produto (Total)</v>
      </c>
    </row>
    <row r="15" spans="1:20" x14ac:dyDescent="0.3">
      <c r="H15" s="19" t="s">
        <v>601</v>
      </c>
      <c r="I15" s="5">
        <v>2432886.5</v>
      </c>
    </row>
    <row r="16" spans="1:20" x14ac:dyDescent="0.3">
      <c r="H16" s="19" t="s">
        <v>587</v>
      </c>
      <c r="I16" s="5">
        <v>31634632</v>
      </c>
    </row>
    <row r="18" spans="1:11" x14ac:dyDescent="0.3">
      <c r="H18" t="str">
        <f>IF(CALCULUS!$A$11="Saida","Evolução do Faturamento Mensal (Saídas)", IF(CALCULUS!$A$11="Entrada", "Evolução do Faturamento Mensal (Entradas)","Evolução do Faturamento Mensal (Total)"))</f>
        <v>Evolução do Faturamento Mensal (Total)</v>
      </c>
    </row>
    <row r="19" spans="1:11" x14ac:dyDescent="0.3">
      <c r="C19" t="s">
        <v>605</v>
      </c>
      <c r="D19" t="s">
        <v>582</v>
      </c>
      <c r="E19" t="s">
        <v>602</v>
      </c>
      <c r="F19" t="s">
        <v>603</v>
      </c>
    </row>
    <row r="20" spans="1:11" x14ac:dyDescent="0.3">
      <c r="C20" s="5">
        <f ca="1">SUMIFS(Tabela_Movimentacao_Geral[Valor Total],Tabela_Movimentacao_Geral[Tipo Fluxo], "Saida", Tabela_Movimentacao_Geral[Status Financeiro], "Pago")</f>
        <v>3393774.5</v>
      </c>
      <c r="D20" s="5">
        <f ca="1">SUMIFS(Tabela_Movimentacao_Geral[Valor Total], Tabela_Movimentacao_Geral[Tipo Fluxo], "Saida", Tabela_Movimentacao_Geral[Status Financeiro], "Atrasado")</f>
        <v>2854062.5</v>
      </c>
      <c r="E20" s="5">
        <f ca="1">SUMIFS(Tabela_Movimentacao_Geral[Valor Total], Tabela_Movimentacao_Geral[Tipo Fluxo], "Saida", Tabela_Movimentacao_Geral[Status Financeiro], "Pendente")</f>
        <v>3692572.5</v>
      </c>
      <c r="F20" s="5">
        <f ca="1">SUM(Dashboard[[#This Row],[Faturamento ]:[Contas a Receber]])</f>
        <v>9940409.5</v>
      </c>
    </row>
    <row r="21" spans="1:11" x14ac:dyDescent="0.3">
      <c r="C21" t="s">
        <v>604</v>
      </c>
      <c r="D21" t="s">
        <v>582</v>
      </c>
      <c r="E21" t="s">
        <v>602</v>
      </c>
      <c r="F21" t="s">
        <v>603</v>
      </c>
    </row>
    <row r="22" spans="1:11" x14ac:dyDescent="0.3">
      <c r="C22" s="5">
        <f ca="1">SUMIFS(Tabela_Movimentacao_Geral[Valor Total],Tabela_Movimentacao_Geral[Tipo Fluxo], "Entrada", Tabela_Movimentacao_Geral[Status Financeiro], "Pago")</f>
        <v>9335470.5</v>
      </c>
      <c r="D22" s="5">
        <f ca="1">SUMIFS(Tabela_Movimentacao_Geral[Valor Total], Tabela_Movimentacao_Geral[Tipo Fluxo], "Entrada", Tabela_Movimentacao_Geral[Status Financeiro], "Atrasado")</f>
        <v>6521225.5</v>
      </c>
      <c r="E22" s="5">
        <f ca="1">SUMIFS(Tabela_Movimentacao_Geral[Valor Total], Tabela_Movimentacao_Geral[Tipo Fluxo], "Entrada", Tabela_Movimentacao_Geral[Status Financeiro], "Pendente")</f>
        <v>5837526.5</v>
      </c>
      <c r="F22" s="5">
        <f ca="1">SUM(Dashboard2[[#This Row],[Faturamento]:[Contas a Receber]])</f>
        <v>21694222.5</v>
      </c>
      <c r="J22" s="18" t="s">
        <v>586</v>
      </c>
      <c r="K22" t="s">
        <v>611</v>
      </c>
    </row>
    <row r="23" spans="1:11" ht="15" thickBot="1" x14ac:dyDescent="0.35">
      <c r="J23" s="19" t="s">
        <v>610</v>
      </c>
      <c r="K23" s="28">
        <v>57</v>
      </c>
    </row>
    <row r="24" spans="1:11" ht="16.2" thickBot="1" x14ac:dyDescent="0.35">
      <c r="C24" s="20" t="s">
        <v>607</v>
      </c>
      <c r="D24" s="21"/>
      <c r="E24" s="21"/>
      <c r="F24" s="22"/>
      <c r="J24" s="19" t="s">
        <v>609</v>
      </c>
      <c r="K24" s="28">
        <v>143</v>
      </c>
    </row>
    <row r="25" spans="1:11" x14ac:dyDescent="0.3">
      <c r="J25" s="19" t="s">
        <v>587</v>
      </c>
      <c r="K25" s="28">
        <v>200</v>
      </c>
    </row>
    <row r="27" spans="1:11" x14ac:dyDescent="0.3">
      <c r="K27">
        <f>GETPIVOTDATA("ID_Produto",$J$22)</f>
        <v>200</v>
      </c>
    </row>
    <row r="28" spans="1:11" x14ac:dyDescent="0.3">
      <c r="A28" s="18" t="s">
        <v>586</v>
      </c>
      <c r="B28" t="s">
        <v>608</v>
      </c>
    </row>
    <row r="29" spans="1:11" x14ac:dyDescent="0.3">
      <c r="A29" s="19" t="s">
        <v>5</v>
      </c>
      <c r="B29" s="28">
        <v>346</v>
      </c>
    </row>
    <row r="30" spans="1:11" x14ac:dyDescent="0.3">
      <c r="A30" s="19" t="s">
        <v>3</v>
      </c>
      <c r="B30" s="28">
        <v>317</v>
      </c>
    </row>
    <row r="31" spans="1:11" x14ac:dyDescent="0.3">
      <c r="A31" s="19" t="s">
        <v>7</v>
      </c>
      <c r="B31" s="28">
        <v>357</v>
      </c>
    </row>
    <row r="32" spans="1:11" x14ac:dyDescent="0.3">
      <c r="A32" s="19" t="s">
        <v>587</v>
      </c>
      <c r="B32" s="28">
        <v>1020</v>
      </c>
    </row>
    <row r="35" spans="1:1" x14ac:dyDescent="0.3">
      <c r="A35" t="str">
        <f>IF(CALCULUS!$A$11="Saida","Monitoramento de Pedidos e Entregas (Saídas)", IF(CALCULUS!$A$11="Entrada", "Monitoramento de Pedidos e Entregas (Entradas)","Monitoramento de Pedidos e Entregas (Total)"))</f>
        <v>Monitoramento de Pedidos e Entregas (Total)</v>
      </c>
    </row>
  </sheetData>
  <mergeCells count="1">
    <mergeCell ref="C24:F24"/>
  </mergeCells>
  <pageMargins left="0.511811024" right="0.511811024" top="0.78740157499999996" bottom="0.78740157499999996" header="0.31496062000000002" footer="0.31496062000000002"/>
  <pageSetup paperSize="9" orientation="portrait" r:id="rId6"/>
  <drawing r:id="rId7"/>
  <tableParts count="2">
    <tablePart r:id="rId8"/>
    <tablePart r:id="rId9"/>
  </tableParts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72B2-1BC6-490B-B643-F401A6A1586E}">
  <sheetPr codeName="Planilha5"/>
  <dimension ref="A1"/>
  <sheetViews>
    <sheetView showGridLines="0" zoomScale="70" zoomScaleNormal="70" workbookViewId="0">
      <selection activeCell="S34" sqref="S34"/>
    </sheetView>
  </sheetViews>
  <sheetFormatPr defaultRowHeight="14.4" x14ac:dyDescent="0.3"/>
  <cols>
    <col min="1" max="2" width="19.21875" customWidth="1"/>
    <col min="3" max="3" width="19.5546875" customWidth="1"/>
    <col min="4" max="4" width="18.21875" customWidth="1"/>
    <col min="5" max="5" width="18.6640625" customWidth="1"/>
    <col min="6" max="6" width="16.5546875" bestFit="1" customWidth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2C7C20-569C-4C27-984C-9BDF806D0B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DB_MOVIMENTACAO</vt:lpstr>
      <vt:lpstr>AUX_CADASTROS</vt:lpstr>
      <vt:lpstr>CONTROLE_ESTOQUE</vt:lpstr>
      <vt:lpstr>CALCULUS</vt:lpstr>
      <vt:lpstr>DASHBOARD</vt:lpstr>
      <vt:lpstr>CALCULUS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Toledo Bonemer De Salvi</dc:creator>
  <cp:lastModifiedBy>Fabio Toledo Bonemer De Salvi</cp:lastModifiedBy>
  <dcterms:created xsi:type="dcterms:W3CDTF">2026-05-01T15:42:04Z</dcterms:created>
  <dcterms:modified xsi:type="dcterms:W3CDTF">2026-05-04T14:23:25Z</dcterms:modified>
</cp:coreProperties>
</file>